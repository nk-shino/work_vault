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7b0076a08544424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nksv523.ad.nkc.co.jp\第二工場実装課用\1係用\Job作成\マクロ等\bin\"/>
    </mc:Choice>
  </mc:AlternateContent>
  <bookViews>
    <workbookView visibility="veryHidden" xWindow="1900" yWindow="1190" windowWidth="15810" windowHeight="10810" activeTab="5" xr2:uid="{9CF85E94-15D2-411C-BD1E-806D33CEB942}"/>
  </bookViews>
  <sheets>
    <sheet name="設定" sheetId="1" r:id="rId1"/>
    <sheet name="job" sheetId="15" r:id="rId2"/>
    <sheet name="実装指示" sheetId="12" r:id="rId3"/>
    <sheet name="Job印刷" sheetId="23" r:id="rId4"/>
    <sheet name="差分明細" sheetId="19" r:id="rId5"/>
    <sheet name="出力用シート" sheetId="8" r:id="rId6"/>
    <sheet name="出力用シート (1)" sheetId="24" r:id="rId7"/>
    <sheet name="出力用シート (2)" sheetId="25" r:id="rId8"/>
    <sheet name="CSV" sheetId="9" r:id="rId9"/>
    <sheet name="台数入力" sheetId="10" r:id="rId10"/>
    <sheet name="使用数" sheetId="11" r:id="rId11"/>
  </sheets>
  <functionGroups builtInGroupCount="19"/>
  <definedNames>
    <definedName name="_xlnm.Print_Area" localSheetId="5">出力用シート!$A$1:$L$49</definedName>
    <definedName name="_xlnm.Print_Area" localSheetId="6">'出力用シート (1)'!$A$1:$L$25</definedName>
    <definedName name="_xlnm.Print_Area" localSheetId="7">'出力用シート (2)'!$A$1:$L$24</definedName>
    <definedName name="RibbonAddress">設定!$A$2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4" i="25" l="1"/>
  <c r="AJ24" i="25"/>
  <c r="AI24" i="25"/>
  <c r="AH24" i="25"/>
  <c r="AG24" i="25"/>
  <c r="AF24" i="25"/>
  <c r="AE24" i="25"/>
  <c r="AD24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K24" i="25"/>
  <c r="F24" i="25"/>
  <c r="E24" i="25"/>
  <c r="D24" i="25"/>
  <c r="C24" i="25"/>
  <c r="AK23" i="25"/>
  <c r="AJ23" i="25"/>
  <c r="AI23" i="25"/>
  <c r="AH23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F23" i="25"/>
  <c r="E23" i="25"/>
  <c r="D23" i="25"/>
  <c r="C23" i="25"/>
  <c r="AK22" i="25"/>
  <c r="AJ22" i="25"/>
  <c r="AI22" i="25"/>
  <c r="AH22" i="25"/>
  <c r="AG22" i="25"/>
  <c r="AF22" i="25"/>
  <c r="AE22" i="25"/>
  <c r="AD22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K22" i="25"/>
  <c r="F22" i="25"/>
  <c r="E22" i="25"/>
  <c r="D22" i="25"/>
  <c r="C22" i="25"/>
  <c r="AK21" i="25"/>
  <c r="AJ21" i="25"/>
  <c r="AI21" i="25"/>
  <c r="AH21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F21" i="25"/>
  <c r="E21" i="25"/>
  <c r="D21" i="25"/>
  <c r="C21" i="25"/>
  <c r="AK20" i="25"/>
  <c r="AJ20" i="25"/>
  <c r="AI20" i="25"/>
  <c r="AH20" i="25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F20" i="25"/>
  <c r="E20" i="25"/>
  <c r="D20" i="25"/>
  <c r="C20" i="25"/>
  <c r="AK19" i="25"/>
  <c r="AJ19" i="25"/>
  <c r="AI19" i="25"/>
  <c r="AH19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K19" i="25"/>
  <c r="F19" i="25"/>
  <c r="E19" i="25"/>
  <c r="D19" i="25"/>
  <c r="C19" i="25"/>
  <c r="AK18" i="25"/>
  <c r="AJ18" i="25"/>
  <c r="AI18" i="25"/>
  <c r="AH18" i="25"/>
  <c r="AG18" i="25"/>
  <c r="AF18" i="25"/>
  <c r="AE18" i="25"/>
  <c r="AD18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K18" i="25"/>
  <c r="F18" i="25"/>
  <c r="E18" i="25"/>
  <c r="D18" i="25"/>
  <c r="C18" i="25"/>
  <c r="AK17" i="25"/>
  <c r="AJ17" i="25"/>
  <c r="AI17" i="25"/>
  <c r="AH17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K17" i="25"/>
  <c r="F17" i="25"/>
  <c r="E17" i="25"/>
  <c r="D17" i="25"/>
  <c r="C17" i="25"/>
  <c r="AK16" i="25"/>
  <c r="AJ16" i="25"/>
  <c r="AI16" i="25"/>
  <c r="AH16" i="25"/>
  <c r="AG16" i="25"/>
  <c r="AF16" i="25"/>
  <c r="AE16" i="25"/>
  <c r="AD16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F16" i="25"/>
  <c r="E16" i="25"/>
  <c r="D16" i="25"/>
  <c r="C16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F15" i="25"/>
  <c r="E15" i="25"/>
  <c r="D15" i="25"/>
  <c r="C15" i="25"/>
  <c r="AK14" i="25"/>
  <c r="AJ14" i="25"/>
  <c r="AI14" i="25"/>
  <c r="AH14" i="25"/>
  <c r="AG14" i="25"/>
  <c r="AF14" i="25"/>
  <c r="AE14" i="25"/>
  <c r="AD14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F14" i="25"/>
  <c r="E14" i="25"/>
  <c r="D14" i="25"/>
  <c r="C14" i="25"/>
  <c r="AK13" i="25"/>
  <c r="AJ13" i="25"/>
  <c r="AI13" i="25"/>
  <c r="AH13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K13" i="25"/>
  <c r="F13" i="25"/>
  <c r="E13" i="25"/>
  <c r="D13" i="25"/>
  <c r="C13" i="25"/>
  <c r="AK12" i="25"/>
  <c r="AJ12" i="25"/>
  <c r="AI12" i="25"/>
  <c r="AH12" i="25"/>
  <c r="AG12" i="25"/>
  <c r="AF12" i="25"/>
  <c r="AE12" i="25"/>
  <c r="AD12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K12" i="25"/>
  <c r="F12" i="25"/>
  <c r="E12" i="25"/>
  <c r="D12" i="25"/>
  <c r="C12" i="25"/>
  <c r="AK11" i="25"/>
  <c r="AJ11" i="25"/>
  <c r="AI11" i="25"/>
  <c r="AH11" i="25"/>
  <c r="AG11" i="25"/>
  <c r="AF11" i="25"/>
  <c r="AE11" i="25"/>
  <c r="AD11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F11" i="25"/>
  <c r="E11" i="25"/>
  <c r="D11" i="25"/>
  <c r="C11" i="25"/>
  <c r="AK10" i="25"/>
  <c r="AJ10" i="25"/>
  <c r="AI10" i="25"/>
  <c r="AH10" i="25"/>
  <c r="AG10" i="25"/>
  <c r="AF10" i="25"/>
  <c r="AE10" i="25"/>
  <c r="AD10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F10" i="25"/>
  <c r="E10" i="25"/>
  <c r="D10" i="25"/>
  <c r="C10" i="25"/>
  <c r="AK9" i="25"/>
  <c r="AJ9" i="25"/>
  <c r="AI9" i="25"/>
  <c r="AH9" i="25"/>
  <c r="AG9" i="25"/>
  <c r="AF9" i="25"/>
  <c r="AE9" i="25"/>
  <c r="AD9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M9" i="25"/>
  <c r="K9" i="25"/>
  <c r="F9" i="25"/>
  <c r="E9" i="25"/>
  <c r="D9" i="25"/>
  <c r="C9" i="25"/>
  <c r="AK8" i="25"/>
  <c r="AJ8" i="25"/>
  <c r="AI8" i="25"/>
  <c r="AH8" i="25"/>
  <c r="AG8" i="25"/>
  <c r="AF8" i="25"/>
  <c r="AE8" i="25"/>
  <c r="AD8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M8" i="25"/>
  <c r="K8" i="25"/>
  <c r="F8" i="25"/>
  <c r="E8" i="25"/>
  <c r="D8" i="25"/>
  <c r="C8" i="25"/>
  <c r="AK7" i="25"/>
  <c r="AJ7" i="25"/>
  <c r="AI7" i="25"/>
  <c r="AH7" i="25"/>
  <c r="AG7" i="25"/>
  <c r="AF7" i="25"/>
  <c r="AE7" i="25"/>
  <c r="AD7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M7" i="25"/>
  <c r="K7" i="25"/>
  <c r="F7" i="25"/>
  <c r="E7" i="25"/>
  <c r="D7" i="25"/>
  <c r="C7" i="25"/>
  <c r="AK6" i="25"/>
  <c r="AJ6" i="25"/>
  <c r="AI6" i="25"/>
  <c r="AH6" i="25"/>
  <c r="AG6" i="25"/>
  <c r="AF6" i="25"/>
  <c r="AE6" i="25"/>
  <c r="AD6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F6" i="25"/>
  <c r="E6" i="25"/>
  <c r="D6" i="25"/>
  <c r="C6" i="25"/>
  <c r="AK5" i="25"/>
  <c r="AJ5" i="25"/>
  <c r="AI5" i="25"/>
  <c r="AH5" i="25"/>
  <c r="AG5" i="25"/>
  <c r="AF5" i="25"/>
  <c r="AE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F5" i="25"/>
  <c r="E5" i="25"/>
  <c r="D5" i="25"/>
  <c r="C5" i="25"/>
  <c r="AK4" i="25"/>
  <c r="AJ4" i="25"/>
  <c r="AI4" i="25"/>
  <c r="AH4" i="25"/>
  <c r="AG4" i="25"/>
  <c r="AF4" i="25"/>
  <c r="AE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AK3" i="25"/>
  <c r="AJ3" i="25"/>
  <c r="AI3" i="25"/>
  <c r="AH3" i="25"/>
  <c r="AG3" i="25"/>
  <c r="AF3" i="25"/>
  <c r="AE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D3" i="25"/>
  <c r="AK2" i="25"/>
  <c r="AJ2" i="25"/>
  <c r="AI2" i="25"/>
  <c r="AH2" i="25"/>
  <c r="AG2" i="25"/>
  <c r="AF2" i="25"/>
  <c r="AE2" i="25"/>
  <c r="AD2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M25" i="24"/>
  <c r="K25" i="24"/>
  <c r="I25" i="24"/>
  <c r="G25" i="24"/>
  <c r="F25" i="24"/>
  <c r="E25" i="24"/>
  <c r="D25" i="24"/>
  <c r="C25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M24" i="24"/>
  <c r="K24" i="24"/>
  <c r="I24" i="24"/>
  <c r="G24" i="24"/>
  <c r="F24" i="24"/>
  <c r="E24" i="24"/>
  <c r="D24" i="24"/>
  <c r="C24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M23" i="24"/>
  <c r="K23" i="24"/>
  <c r="I23" i="24"/>
  <c r="G23" i="24"/>
  <c r="F23" i="24"/>
  <c r="E23" i="24"/>
  <c r="D23" i="24"/>
  <c r="C23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F22" i="24"/>
  <c r="E22" i="24"/>
  <c r="D22" i="24"/>
  <c r="C22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F21" i="24"/>
  <c r="E21" i="24"/>
  <c r="D21" i="24"/>
  <c r="C21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M20" i="24"/>
  <c r="K20" i="24"/>
  <c r="I20" i="24"/>
  <c r="G20" i="24"/>
  <c r="F20" i="24"/>
  <c r="E20" i="24"/>
  <c r="D20" i="24"/>
  <c r="C20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M19" i="24"/>
  <c r="I19" i="24"/>
  <c r="G19" i="24"/>
  <c r="F19" i="24"/>
  <c r="E19" i="24"/>
  <c r="D19" i="24"/>
  <c r="C19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M18" i="24"/>
  <c r="K18" i="24"/>
  <c r="I18" i="24"/>
  <c r="G18" i="24"/>
  <c r="F18" i="24"/>
  <c r="E18" i="24"/>
  <c r="D18" i="24"/>
  <c r="C18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F17" i="24"/>
  <c r="E17" i="24"/>
  <c r="D17" i="24"/>
  <c r="C17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F16" i="24"/>
  <c r="E16" i="24"/>
  <c r="D16" i="24"/>
  <c r="C16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M15" i="24"/>
  <c r="F15" i="24"/>
  <c r="E15" i="24"/>
  <c r="D15" i="24"/>
  <c r="C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M14" i="24"/>
  <c r="K14" i="24"/>
  <c r="F14" i="24"/>
  <c r="E14" i="24"/>
  <c r="D14" i="24"/>
  <c r="C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M13" i="24"/>
  <c r="F13" i="24"/>
  <c r="E13" i="24"/>
  <c r="D13" i="24"/>
  <c r="C13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L12" i="24"/>
  <c r="F12" i="24"/>
  <c r="E12" i="24"/>
  <c r="D12" i="24"/>
  <c r="C12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M11" i="24"/>
  <c r="L11" i="24"/>
  <c r="J11" i="24"/>
  <c r="F11" i="24"/>
  <c r="E11" i="24"/>
  <c r="D11" i="24"/>
  <c r="C11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M10" i="24"/>
  <c r="I10" i="24"/>
  <c r="F10" i="24"/>
  <c r="E10" i="24"/>
  <c r="D10" i="24"/>
  <c r="C10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F9" i="24"/>
  <c r="E9" i="24"/>
  <c r="D9" i="24"/>
  <c r="C9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F8" i="24"/>
  <c r="E8" i="24"/>
  <c r="D8" i="24"/>
  <c r="C8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F7" i="24"/>
  <c r="E7" i="24"/>
  <c r="D7" i="24"/>
  <c r="C7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F6" i="24"/>
  <c r="E6" i="24"/>
  <c r="D6" i="24"/>
  <c r="C6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D4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G3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AA2" i="11" l="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A2" i="11"/>
  <c r="BB2" i="11"/>
  <c r="BC2" i="11"/>
  <c r="BD2" i="11"/>
  <c r="BE2" i="11"/>
  <c r="BF2" i="11"/>
  <c r="BG2" i="11"/>
  <c r="BH2" i="11"/>
  <c r="BI2" i="11"/>
  <c r="BJ2" i="11"/>
  <c r="BK2" i="11"/>
  <c r="BL2" i="11"/>
  <c r="BM2" i="11"/>
  <c r="BN2" i="11"/>
  <c r="BO2" i="11"/>
  <c r="BP2" i="11"/>
  <c r="BQ2" i="11"/>
  <c r="BR2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C3" i="12" l="1"/>
  <c r="H2" i="8" l="1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W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W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U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U30" i="8"/>
  <c r="V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W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T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T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T35" i="8"/>
  <c r="U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T36" i="8"/>
  <c r="U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S38" i="8"/>
  <c r="T38" i="8"/>
  <c r="U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S41" i="8"/>
  <c r="T41" i="8"/>
  <c r="U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Q42" i="8"/>
  <c r="S42" i="8"/>
  <c r="T42" i="8"/>
  <c r="U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S43" i="8"/>
  <c r="T43" i="8"/>
  <c r="U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Q44" i="8"/>
  <c r="T44" i="8"/>
  <c r="U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P45" i="8"/>
  <c r="Q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P46" i="8"/>
  <c r="Q46" i="8"/>
  <c r="S46" i="8"/>
  <c r="U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P47" i="8"/>
  <c r="Q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P48" i="8"/>
  <c r="Q48" i="8"/>
  <c r="S48" i="8"/>
  <c r="T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1" i="11" l="1"/>
  <c r="A2" i="11"/>
  <c r="B2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B3" i="11"/>
  <c r="C3" i="11"/>
  <c r="D3" i="11"/>
  <c r="F3" i="11"/>
  <c r="B4" i="11"/>
  <c r="C4" i="11"/>
  <c r="D4" i="11"/>
  <c r="F4" i="11"/>
  <c r="B5" i="11"/>
  <c r="C5" i="11"/>
  <c r="D5" i="11"/>
  <c r="F5" i="11"/>
  <c r="B6" i="11"/>
  <c r="C6" i="11"/>
  <c r="D6" i="11"/>
  <c r="F6" i="11"/>
  <c r="B7" i="11"/>
  <c r="C7" i="11"/>
  <c r="D7" i="11"/>
  <c r="F7" i="11"/>
  <c r="B8" i="11"/>
  <c r="C8" i="11"/>
  <c r="D8" i="11"/>
  <c r="F8" i="11"/>
  <c r="B9" i="11"/>
  <c r="C9" i="11"/>
  <c r="D9" i="11"/>
  <c r="F9" i="11"/>
  <c r="B10" i="11"/>
  <c r="C10" i="11"/>
  <c r="D10" i="11"/>
  <c r="F10" i="11"/>
  <c r="B11" i="11"/>
  <c r="C11" i="11"/>
  <c r="D11" i="11"/>
  <c r="F11" i="11"/>
  <c r="B12" i="11"/>
  <c r="C12" i="11"/>
  <c r="D12" i="11"/>
  <c r="F12" i="11"/>
  <c r="B13" i="11"/>
  <c r="C13" i="11"/>
  <c r="D13" i="11"/>
  <c r="F13" i="11"/>
  <c r="B14" i="11"/>
  <c r="C14" i="11"/>
  <c r="D14" i="11"/>
  <c r="F14" i="11"/>
  <c r="B15" i="11"/>
  <c r="C15" i="11"/>
  <c r="D15" i="11"/>
  <c r="F15" i="11"/>
  <c r="B16" i="11"/>
  <c r="C16" i="11"/>
  <c r="D16" i="11"/>
  <c r="F16" i="11"/>
  <c r="B17" i="11"/>
  <c r="C17" i="11"/>
  <c r="D17" i="11"/>
  <c r="F17" i="11"/>
  <c r="B18" i="11"/>
  <c r="C18" i="11"/>
  <c r="D18" i="11"/>
  <c r="F18" i="11"/>
  <c r="B19" i="11"/>
  <c r="C19" i="11"/>
  <c r="D19" i="11"/>
  <c r="F19" i="11"/>
  <c r="B20" i="11"/>
  <c r="C20" i="11"/>
  <c r="D20" i="11"/>
  <c r="F20" i="11"/>
  <c r="B21" i="11"/>
  <c r="C21" i="11"/>
  <c r="D21" i="11"/>
  <c r="F21" i="11"/>
  <c r="B22" i="11"/>
  <c r="C22" i="11"/>
  <c r="D22" i="11"/>
  <c r="F22" i="11"/>
  <c r="B23" i="11"/>
  <c r="C23" i="11"/>
  <c r="D23" i="11"/>
  <c r="F23" i="11"/>
  <c r="B24" i="11"/>
  <c r="C24" i="11"/>
  <c r="D24" i="11"/>
  <c r="F24" i="11"/>
  <c r="B25" i="11"/>
  <c r="C25" i="11"/>
  <c r="D25" i="11"/>
  <c r="F25" i="11"/>
  <c r="B26" i="11"/>
  <c r="C26" i="11"/>
  <c r="D26" i="11"/>
  <c r="F26" i="11"/>
  <c r="B27" i="11"/>
  <c r="C27" i="11"/>
  <c r="D27" i="11"/>
  <c r="F27" i="11"/>
  <c r="B28" i="11"/>
  <c r="C28" i="11"/>
  <c r="D28" i="11"/>
  <c r="F28" i="11"/>
  <c r="B29" i="11"/>
  <c r="C29" i="11"/>
  <c r="D29" i="11"/>
  <c r="F29" i="11"/>
  <c r="B30" i="11"/>
  <c r="C30" i="11"/>
  <c r="D30" i="11"/>
  <c r="F30" i="11"/>
  <c r="B31" i="11"/>
  <c r="C31" i="11"/>
  <c r="D31" i="11"/>
  <c r="F31" i="11"/>
  <c r="B32" i="11"/>
  <c r="C32" i="11"/>
  <c r="D32" i="11"/>
  <c r="F32" i="11"/>
  <c r="B33" i="11"/>
  <c r="C33" i="11"/>
  <c r="D33" i="11"/>
  <c r="F33" i="11"/>
  <c r="B34" i="11"/>
  <c r="C34" i="11"/>
  <c r="D34" i="11"/>
  <c r="F34" i="11"/>
  <c r="B35" i="11"/>
  <c r="C35" i="11"/>
  <c r="D35" i="11"/>
  <c r="F35" i="11"/>
  <c r="B36" i="11"/>
  <c r="C36" i="11"/>
  <c r="D36" i="11"/>
  <c r="F36" i="11"/>
  <c r="B37" i="11"/>
  <c r="C37" i="11"/>
  <c r="D37" i="11"/>
  <c r="F37" i="11"/>
  <c r="B38" i="11"/>
  <c r="C38" i="11"/>
  <c r="D38" i="11"/>
  <c r="F38" i="11"/>
  <c r="B39" i="11"/>
  <c r="C39" i="11"/>
  <c r="D39" i="11"/>
  <c r="F39" i="11"/>
  <c r="B40" i="11"/>
  <c r="C40" i="11"/>
  <c r="D40" i="11"/>
  <c r="F40" i="11"/>
  <c r="B41" i="11"/>
  <c r="C41" i="11"/>
  <c r="D41" i="11"/>
  <c r="F41" i="11"/>
  <c r="B42" i="11"/>
  <c r="C42" i="11"/>
  <c r="D42" i="11"/>
  <c r="F42" i="11"/>
  <c r="A1" i="10"/>
  <c r="A2" i="10"/>
  <c r="B2" i="10"/>
  <c r="C2" i="10"/>
  <c r="D2" i="10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V34" i="11" s="1"/>
  <c r="W5" i="10"/>
  <c r="W38" i="11" s="1"/>
  <c r="X5" i="10"/>
  <c r="X39" i="11" s="1"/>
  <c r="V46" i="8" s="1"/>
  <c r="Y5" i="10"/>
  <c r="Z5" i="10"/>
  <c r="Z32" i="11" s="1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G2" i="8"/>
  <c r="G3" i="8"/>
  <c r="D4" i="8"/>
  <c r="G5" i="8"/>
  <c r="C6" i="8"/>
  <c r="D6" i="8"/>
  <c r="E6" i="8"/>
  <c r="F6" i="8"/>
  <c r="C7" i="8"/>
  <c r="D7" i="8"/>
  <c r="E7" i="8"/>
  <c r="F7" i="8"/>
  <c r="C8" i="8"/>
  <c r="D8" i="8"/>
  <c r="E8" i="8"/>
  <c r="F8" i="8"/>
  <c r="C9" i="8"/>
  <c r="D9" i="8"/>
  <c r="E9" i="8"/>
  <c r="F9" i="8"/>
  <c r="C10" i="8"/>
  <c r="D10" i="8"/>
  <c r="E10" i="8"/>
  <c r="F10" i="8"/>
  <c r="C11" i="8"/>
  <c r="D11" i="8"/>
  <c r="E11" i="8"/>
  <c r="F11" i="8"/>
  <c r="C12" i="8"/>
  <c r="D12" i="8"/>
  <c r="E12" i="8"/>
  <c r="F12" i="8"/>
  <c r="C13" i="8"/>
  <c r="D13" i="8"/>
  <c r="E13" i="8"/>
  <c r="F13" i="8"/>
  <c r="C14" i="8"/>
  <c r="D14" i="8"/>
  <c r="E14" i="8"/>
  <c r="F14" i="8"/>
  <c r="C15" i="8"/>
  <c r="D15" i="8"/>
  <c r="E15" i="8"/>
  <c r="F15" i="8"/>
  <c r="C16" i="8"/>
  <c r="D16" i="8"/>
  <c r="E16" i="8"/>
  <c r="F16" i="8"/>
  <c r="C17" i="8"/>
  <c r="D17" i="8"/>
  <c r="E17" i="8"/>
  <c r="F17" i="8"/>
  <c r="C18" i="8"/>
  <c r="D18" i="8"/>
  <c r="E18" i="8"/>
  <c r="F18" i="8"/>
  <c r="C19" i="8"/>
  <c r="D19" i="8"/>
  <c r="E19" i="8"/>
  <c r="F19" i="8"/>
  <c r="C20" i="8"/>
  <c r="D20" i="8"/>
  <c r="E20" i="8"/>
  <c r="F20" i="8"/>
  <c r="C21" i="8"/>
  <c r="D21" i="8"/>
  <c r="E21" i="8"/>
  <c r="F21" i="8"/>
  <c r="C22" i="8"/>
  <c r="D22" i="8"/>
  <c r="E22" i="8"/>
  <c r="F22" i="8"/>
  <c r="C23" i="8"/>
  <c r="D23" i="8"/>
  <c r="E23" i="8"/>
  <c r="F23" i="8"/>
  <c r="C24" i="8"/>
  <c r="D24" i="8"/>
  <c r="E24" i="8"/>
  <c r="F24" i="8"/>
  <c r="C25" i="8"/>
  <c r="D25" i="8"/>
  <c r="E25" i="8"/>
  <c r="F25" i="8"/>
  <c r="G26" i="8"/>
  <c r="G27" i="8"/>
  <c r="D28" i="8"/>
  <c r="G29" i="8"/>
  <c r="C30" i="8"/>
  <c r="D30" i="8"/>
  <c r="E30" i="8"/>
  <c r="F30" i="8"/>
  <c r="C31" i="8"/>
  <c r="D31" i="8"/>
  <c r="E31" i="8"/>
  <c r="F31" i="8"/>
  <c r="C32" i="8"/>
  <c r="D32" i="8"/>
  <c r="E32" i="8"/>
  <c r="F32" i="8"/>
  <c r="C33" i="8"/>
  <c r="D33" i="8"/>
  <c r="E33" i="8"/>
  <c r="F33" i="8"/>
  <c r="C34" i="8"/>
  <c r="D34" i="8"/>
  <c r="E34" i="8"/>
  <c r="F34" i="8"/>
  <c r="C35" i="8"/>
  <c r="D35" i="8"/>
  <c r="E35" i="8"/>
  <c r="F35" i="8"/>
  <c r="C36" i="8"/>
  <c r="D36" i="8"/>
  <c r="E36" i="8"/>
  <c r="F36" i="8"/>
  <c r="C37" i="8"/>
  <c r="D37" i="8"/>
  <c r="E37" i="8"/>
  <c r="F37" i="8"/>
  <c r="C38" i="8"/>
  <c r="D38" i="8"/>
  <c r="E38" i="8"/>
  <c r="F38" i="8"/>
  <c r="C39" i="8"/>
  <c r="D39" i="8"/>
  <c r="E39" i="8"/>
  <c r="F39" i="8"/>
  <c r="C40" i="8"/>
  <c r="D40" i="8"/>
  <c r="E40" i="8"/>
  <c r="F40" i="8"/>
  <c r="C41" i="8"/>
  <c r="D41" i="8"/>
  <c r="E41" i="8"/>
  <c r="F41" i="8"/>
  <c r="C42" i="8"/>
  <c r="D42" i="8"/>
  <c r="E42" i="8"/>
  <c r="F42" i="8"/>
  <c r="C43" i="8"/>
  <c r="D43" i="8"/>
  <c r="E43" i="8"/>
  <c r="F43" i="8"/>
  <c r="C44" i="8"/>
  <c r="D44" i="8"/>
  <c r="E44" i="8"/>
  <c r="F44" i="8"/>
  <c r="C45" i="8"/>
  <c r="D45" i="8"/>
  <c r="E45" i="8"/>
  <c r="F45" i="8"/>
  <c r="C46" i="8"/>
  <c r="D46" i="8"/>
  <c r="E46" i="8"/>
  <c r="F46" i="8"/>
  <c r="C47" i="8"/>
  <c r="D47" i="8"/>
  <c r="E47" i="8"/>
  <c r="F47" i="8"/>
  <c r="C48" i="8"/>
  <c r="D48" i="8"/>
  <c r="E48" i="8"/>
  <c r="F48" i="8"/>
  <c r="C49" i="8"/>
  <c r="D49" i="8"/>
  <c r="E49" i="8"/>
  <c r="F49" i="8"/>
  <c r="N4" i="24" l="1"/>
  <c r="N3" i="25"/>
  <c r="M4" i="24"/>
  <c r="M3" i="25"/>
  <c r="L4" i="24"/>
  <c r="L3" i="25"/>
  <c r="K4" i="24"/>
  <c r="K3" i="25"/>
  <c r="J3" i="25"/>
  <c r="J4" i="24"/>
  <c r="I3" i="25"/>
  <c r="I4" i="24"/>
  <c r="H4" i="24"/>
  <c r="H3" i="25"/>
  <c r="G4" i="24"/>
  <c r="G3" i="25"/>
  <c r="AJ28" i="8"/>
  <c r="AJ4" i="8"/>
  <c r="AF28" i="8"/>
  <c r="AF4" i="8"/>
  <c r="AB28" i="8"/>
  <c r="AB4" i="8"/>
  <c r="AI28" i="8"/>
  <c r="AI4" i="8"/>
  <c r="AE28" i="8"/>
  <c r="AE4" i="8"/>
  <c r="AA28" i="8"/>
  <c r="AA4" i="8"/>
  <c r="AH4" i="8"/>
  <c r="AH28" i="8"/>
  <c r="AD4" i="8"/>
  <c r="AD28" i="8"/>
  <c r="Z4" i="8"/>
  <c r="Z28" i="8"/>
  <c r="AK4" i="8"/>
  <c r="AK28" i="8"/>
  <c r="AG4" i="8"/>
  <c r="AG28" i="8"/>
  <c r="AC4" i="8"/>
  <c r="AC28" i="8"/>
  <c r="Y4" i="8"/>
  <c r="Y28" i="8"/>
  <c r="Z27" i="11"/>
  <c r="X4" i="8"/>
  <c r="X28" i="8"/>
  <c r="Z42" i="11"/>
  <c r="W4" i="8"/>
  <c r="W28" i="8"/>
  <c r="V44" i="11"/>
  <c r="V48" i="11"/>
  <c r="V4" i="8"/>
  <c r="V28" i="8"/>
  <c r="X43" i="11"/>
  <c r="X33" i="11"/>
  <c r="W33" i="11"/>
  <c r="U28" i="8"/>
  <c r="U4" i="8"/>
  <c r="V29" i="11"/>
  <c r="T4" i="8"/>
  <c r="T28" i="8"/>
  <c r="U34" i="11"/>
  <c r="S4" i="8"/>
  <c r="S28" i="8"/>
  <c r="T45" i="11"/>
  <c r="R4" i="8"/>
  <c r="R28" i="8"/>
  <c r="S35" i="11"/>
  <c r="Q4" i="8"/>
  <c r="Q28" i="8"/>
  <c r="R34" i="11"/>
  <c r="P41" i="8" s="1"/>
  <c r="P4" i="8"/>
  <c r="P28" i="8"/>
  <c r="Q23" i="11"/>
  <c r="O5" i="25" s="1"/>
  <c r="O28" i="8"/>
  <c r="O4" i="8"/>
  <c r="N4" i="8"/>
  <c r="N28" i="8"/>
  <c r="M4" i="8"/>
  <c r="M28" i="8"/>
  <c r="L4" i="8"/>
  <c r="L28" i="8"/>
  <c r="K4" i="8"/>
  <c r="K28" i="8"/>
  <c r="J4" i="8"/>
  <c r="J28" i="8"/>
  <c r="I4" i="8"/>
  <c r="I28" i="8"/>
  <c r="H4" i="8"/>
  <c r="H28" i="8"/>
  <c r="P33" i="11"/>
  <c r="N15" i="25" s="1"/>
  <c r="O28" i="11"/>
  <c r="N32" i="11"/>
  <c r="L14" i="25" s="1"/>
  <c r="L35" i="11"/>
  <c r="K24" i="11"/>
  <c r="J34" i="11"/>
  <c r="I32" i="11"/>
  <c r="T37" i="11"/>
  <c r="R44" i="8" s="1"/>
  <c r="T41" i="11"/>
  <c r="R48" i="8" s="1"/>
  <c r="T35" i="11"/>
  <c r="R42" i="8" s="1"/>
  <c r="S43" i="11"/>
  <c r="R36" i="11"/>
  <c r="P43" i="8" s="1"/>
  <c r="P28" i="11"/>
  <c r="N10" i="25" s="1"/>
  <c r="O42" i="11"/>
  <c r="O22" i="11"/>
  <c r="O37" i="11"/>
  <c r="L41" i="11"/>
  <c r="L45" i="11"/>
  <c r="L30" i="11"/>
  <c r="J38" i="11"/>
  <c r="J32" i="11"/>
  <c r="J46" i="11"/>
  <c r="Z46" i="11"/>
  <c r="N44" i="11"/>
  <c r="P43" i="11"/>
  <c r="J42" i="11"/>
  <c r="V40" i="11"/>
  <c r="P39" i="11"/>
  <c r="R38" i="11"/>
  <c r="Z36" i="11"/>
  <c r="R31" i="11"/>
  <c r="R27" i="11"/>
  <c r="W46" i="11"/>
  <c r="O45" i="11"/>
  <c r="K44" i="11"/>
  <c r="W41" i="11"/>
  <c r="U48" i="8" s="1"/>
  <c r="S40" i="11"/>
  <c r="K39" i="11"/>
  <c r="K26" i="11"/>
  <c r="R46" i="11"/>
  <c r="R42" i="11"/>
  <c r="P49" i="8" s="1"/>
  <c r="N40" i="11"/>
  <c r="Z38" i="11"/>
  <c r="J36" i="11"/>
  <c r="N34" i="11"/>
  <c r="R32" i="11"/>
  <c r="N29" i="11"/>
  <c r="L11" i="25" s="1"/>
  <c r="O24" i="11"/>
  <c r="M6" i="25" s="1"/>
  <c r="Y4" i="11"/>
  <c r="W7" i="8" s="1"/>
  <c r="Y6" i="11"/>
  <c r="W9" i="8" s="1"/>
  <c r="Y8" i="11"/>
  <c r="W11" i="8" s="1"/>
  <c r="Y10" i="11"/>
  <c r="W13" i="8" s="1"/>
  <c r="Y12" i="11"/>
  <c r="W15" i="8" s="1"/>
  <c r="Y14" i="11"/>
  <c r="W17" i="8" s="1"/>
  <c r="Y16" i="11"/>
  <c r="Y18" i="11"/>
  <c r="Y20" i="11"/>
  <c r="W23" i="8" s="1"/>
  <c r="Y5" i="11"/>
  <c r="W8" i="8" s="1"/>
  <c r="Y9" i="11"/>
  <c r="W12" i="8" s="1"/>
  <c r="Y13" i="11"/>
  <c r="W16" i="8" s="1"/>
  <c r="Y17" i="11"/>
  <c r="Y21" i="11"/>
  <c r="W24" i="8" s="1"/>
  <c r="Y3" i="11"/>
  <c r="W6" i="8" s="1"/>
  <c r="Y7" i="11"/>
  <c r="W10" i="8" s="1"/>
  <c r="Y11" i="11"/>
  <c r="W14" i="8" s="1"/>
  <c r="Y15" i="11"/>
  <c r="W18" i="8" s="1"/>
  <c r="Y19" i="11"/>
  <c r="W22" i="8" s="1"/>
  <c r="Y22" i="11"/>
  <c r="W25" i="8" s="1"/>
  <c r="Y24" i="11"/>
  <c r="Y26" i="11"/>
  <c r="Y28" i="11"/>
  <c r="W35" i="8" s="1"/>
  <c r="Y29" i="11"/>
  <c r="W36" i="8" s="1"/>
  <c r="Y31" i="11"/>
  <c r="Y33" i="11"/>
  <c r="Y35" i="11"/>
  <c r="Y23" i="11"/>
  <c r="W30" i="8" s="1"/>
  <c r="M4" i="11"/>
  <c r="K7" i="24" s="1"/>
  <c r="M6" i="11"/>
  <c r="K9" i="24" s="1"/>
  <c r="M8" i="11"/>
  <c r="K11" i="24" s="1"/>
  <c r="M10" i="11"/>
  <c r="K13" i="24" s="1"/>
  <c r="M12" i="11"/>
  <c r="K15" i="24" s="1"/>
  <c r="M14" i="11"/>
  <c r="K17" i="24" s="1"/>
  <c r="M16" i="11"/>
  <c r="K19" i="24" s="1"/>
  <c r="M18" i="11"/>
  <c r="K21" i="24" s="1"/>
  <c r="M20" i="11"/>
  <c r="M3" i="11"/>
  <c r="K6" i="24" s="1"/>
  <c r="M5" i="11"/>
  <c r="K8" i="24" s="1"/>
  <c r="M7" i="11"/>
  <c r="K10" i="24" s="1"/>
  <c r="M11" i="11"/>
  <c r="M15" i="11"/>
  <c r="M19" i="11"/>
  <c r="K22" i="24" s="1"/>
  <c r="M9" i="11"/>
  <c r="K12" i="24" s="1"/>
  <c r="M13" i="11"/>
  <c r="K16" i="24" s="1"/>
  <c r="M17" i="11"/>
  <c r="M21" i="11"/>
  <c r="M22" i="11"/>
  <c r="M24" i="11"/>
  <c r="K6" i="25" s="1"/>
  <c r="M26" i="11"/>
  <c r="K33" i="8" s="1"/>
  <c r="M28" i="11"/>
  <c r="M30" i="11"/>
  <c r="K37" i="8" s="1"/>
  <c r="M27" i="11"/>
  <c r="M33" i="11"/>
  <c r="M35" i="11"/>
  <c r="K42" i="8" s="1"/>
  <c r="I45" i="11"/>
  <c r="Q44" i="11"/>
  <c r="Q41" i="11"/>
  <c r="I40" i="11"/>
  <c r="X4" i="11"/>
  <c r="V7" i="8" s="1"/>
  <c r="X3" i="11"/>
  <c r="V6" i="8" s="1"/>
  <c r="X5" i="11"/>
  <c r="V8" i="8" s="1"/>
  <c r="X7" i="11"/>
  <c r="V10" i="8" s="1"/>
  <c r="X9" i="11"/>
  <c r="V12" i="8" s="1"/>
  <c r="X11" i="11"/>
  <c r="V14" i="8" s="1"/>
  <c r="X13" i="11"/>
  <c r="V16" i="8" s="1"/>
  <c r="X15" i="11"/>
  <c r="V18" i="8" s="1"/>
  <c r="X17" i="11"/>
  <c r="V20" i="8" s="1"/>
  <c r="X19" i="11"/>
  <c r="V22" i="8" s="1"/>
  <c r="X21" i="11"/>
  <c r="V24" i="8" s="1"/>
  <c r="X8" i="11"/>
  <c r="V11" i="8" s="1"/>
  <c r="X12" i="11"/>
  <c r="V15" i="8" s="1"/>
  <c r="X16" i="11"/>
  <c r="V19" i="8" s="1"/>
  <c r="X20" i="11"/>
  <c r="V23" i="8" s="1"/>
  <c r="X23" i="11"/>
  <c r="X25" i="11"/>
  <c r="X27" i="11"/>
  <c r="V34" i="8" s="1"/>
  <c r="X29" i="11"/>
  <c r="V36" i="8" s="1"/>
  <c r="X31" i="11"/>
  <c r="V38" i="8" s="1"/>
  <c r="X6" i="11"/>
  <c r="V9" i="8" s="1"/>
  <c r="X10" i="11"/>
  <c r="V13" i="8" s="1"/>
  <c r="X14" i="11"/>
  <c r="V17" i="8" s="1"/>
  <c r="X18" i="11"/>
  <c r="V21" i="8" s="1"/>
  <c r="X22" i="11"/>
  <c r="V25" i="8" s="1"/>
  <c r="X24" i="11"/>
  <c r="V31" i="8" s="1"/>
  <c r="X26" i="11"/>
  <c r="V33" i="8" s="1"/>
  <c r="X32" i="11"/>
  <c r="X34" i="11"/>
  <c r="V41" i="8" s="1"/>
  <c r="X36" i="11"/>
  <c r="V43" i="8" s="1"/>
  <c r="X38" i="11"/>
  <c r="X40" i="11"/>
  <c r="X42" i="11"/>
  <c r="X44" i="11"/>
  <c r="X46" i="11"/>
  <c r="T4" i="11"/>
  <c r="R7" i="8" s="1"/>
  <c r="T3" i="11"/>
  <c r="R6" i="8" s="1"/>
  <c r="T5" i="11"/>
  <c r="R8" i="8" s="1"/>
  <c r="T7" i="11"/>
  <c r="R10" i="8" s="1"/>
  <c r="T9" i="11"/>
  <c r="R12" i="8" s="1"/>
  <c r="T11" i="11"/>
  <c r="R14" i="8" s="1"/>
  <c r="T13" i="11"/>
  <c r="R16" i="8" s="1"/>
  <c r="T15" i="11"/>
  <c r="R18" i="8" s="1"/>
  <c r="T17" i="11"/>
  <c r="R20" i="8" s="1"/>
  <c r="T19" i="11"/>
  <c r="R22" i="8" s="1"/>
  <c r="T21" i="11"/>
  <c r="R24" i="8" s="1"/>
  <c r="T6" i="11"/>
  <c r="R9" i="8" s="1"/>
  <c r="T10" i="11"/>
  <c r="R13" i="8" s="1"/>
  <c r="T14" i="11"/>
  <c r="R17" i="8" s="1"/>
  <c r="T18" i="11"/>
  <c r="R21" i="8" s="1"/>
  <c r="T23" i="11"/>
  <c r="R30" i="8" s="1"/>
  <c r="T25" i="11"/>
  <c r="R32" i="8" s="1"/>
  <c r="T27" i="11"/>
  <c r="R34" i="8" s="1"/>
  <c r="T29" i="11"/>
  <c r="R36" i="8" s="1"/>
  <c r="T31" i="11"/>
  <c r="R38" i="8" s="1"/>
  <c r="T8" i="11"/>
  <c r="R11" i="8" s="1"/>
  <c r="T12" i="11"/>
  <c r="R15" i="8" s="1"/>
  <c r="T16" i="11"/>
  <c r="R19" i="8" s="1"/>
  <c r="T20" i="11"/>
  <c r="R23" i="8" s="1"/>
  <c r="T22" i="11"/>
  <c r="R25" i="8" s="1"/>
  <c r="T24" i="11"/>
  <c r="R31" i="8" s="1"/>
  <c r="T26" i="11"/>
  <c r="R33" i="8" s="1"/>
  <c r="T28" i="11"/>
  <c r="R35" i="8" s="1"/>
  <c r="T32" i="11"/>
  <c r="R39" i="8" s="1"/>
  <c r="T34" i="11"/>
  <c r="R41" i="8" s="1"/>
  <c r="T36" i="11"/>
  <c r="R43" i="8" s="1"/>
  <c r="T38" i="11"/>
  <c r="R45" i="8" s="1"/>
  <c r="T40" i="11"/>
  <c r="R47" i="8" s="1"/>
  <c r="T42" i="11"/>
  <c r="R49" i="8" s="1"/>
  <c r="T44" i="11"/>
  <c r="T46" i="11"/>
  <c r="P4" i="11"/>
  <c r="N7" i="24" s="1"/>
  <c r="P3" i="11"/>
  <c r="N6" i="24" s="1"/>
  <c r="P5" i="11"/>
  <c r="N8" i="24" s="1"/>
  <c r="P7" i="11"/>
  <c r="N10" i="24" s="1"/>
  <c r="P9" i="11"/>
  <c r="N12" i="24" s="1"/>
  <c r="P11" i="11"/>
  <c r="N14" i="24" s="1"/>
  <c r="P13" i="11"/>
  <c r="N16" i="24" s="1"/>
  <c r="P15" i="11"/>
  <c r="N18" i="24" s="1"/>
  <c r="P17" i="11"/>
  <c r="N20" i="24" s="1"/>
  <c r="P19" i="11"/>
  <c r="N22" i="24" s="1"/>
  <c r="P21" i="11"/>
  <c r="N24" i="24" s="1"/>
  <c r="P8" i="11"/>
  <c r="N11" i="24" s="1"/>
  <c r="P12" i="11"/>
  <c r="N15" i="24" s="1"/>
  <c r="P16" i="11"/>
  <c r="N19" i="24" s="1"/>
  <c r="P20" i="11"/>
  <c r="N23" i="24" s="1"/>
  <c r="P23" i="11"/>
  <c r="N5" i="25" s="1"/>
  <c r="P25" i="11"/>
  <c r="N7" i="25" s="1"/>
  <c r="P27" i="11"/>
  <c r="N9" i="25" s="1"/>
  <c r="P29" i="11"/>
  <c r="N11" i="25" s="1"/>
  <c r="P31" i="11"/>
  <c r="N13" i="25" s="1"/>
  <c r="P6" i="11"/>
  <c r="N9" i="24" s="1"/>
  <c r="P10" i="11"/>
  <c r="N13" i="24" s="1"/>
  <c r="P14" i="11"/>
  <c r="N17" i="24" s="1"/>
  <c r="P18" i="11"/>
  <c r="N21" i="24" s="1"/>
  <c r="P22" i="11"/>
  <c r="N25" i="24" s="1"/>
  <c r="P24" i="11"/>
  <c r="N6" i="25" s="1"/>
  <c r="P26" i="11"/>
  <c r="N8" i="25" s="1"/>
  <c r="P30" i="11"/>
  <c r="N12" i="25" s="1"/>
  <c r="P32" i="11"/>
  <c r="N14" i="25" s="1"/>
  <c r="P34" i="11"/>
  <c r="N16" i="25" s="1"/>
  <c r="P36" i="11"/>
  <c r="P38" i="11"/>
  <c r="P40" i="11"/>
  <c r="P42" i="11"/>
  <c r="P44" i="11"/>
  <c r="P46" i="11"/>
  <c r="L4" i="11"/>
  <c r="J7" i="24" s="1"/>
  <c r="L3" i="11"/>
  <c r="J6" i="24" s="1"/>
  <c r="L5" i="11"/>
  <c r="J8" i="24" s="1"/>
  <c r="L7" i="11"/>
  <c r="J10" i="24" s="1"/>
  <c r="L9" i="11"/>
  <c r="J12" i="24" s="1"/>
  <c r="L11" i="11"/>
  <c r="L13" i="11"/>
  <c r="J16" i="24" s="1"/>
  <c r="L15" i="11"/>
  <c r="J18" i="24" s="1"/>
  <c r="L17" i="11"/>
  <c r="L19" i="11"/>
  <c r="L21" i="11"/>
  <c r="J24" i="24" s="1"/>
  <c r="L6" i="11"/>
  <c r="J9" i="24" s="1"/>
  <c r="L10" i="11"/>
  <c r="J13" i="24" s="1"/>
  <c r="L14" i="11"/>
  <c r="J17" i="24" s="1"/>
  <c r="L18" i="11"/>
  <c r="L23" i="11"/>
  <c r="J5" i="25" s="1"/>
  <c r="L25" i="11"/>
  <c r="J7" i="25" s="1"/>
  <c r="L27" i="11"/>
  <c r="L29" i="11"/>
  <c r="L31" i="11"/>
  <c r="L8" i="11"/>
  <c r="L12" i="11"/>
  <c r="J15" i="24" s="1"/>
  <c r="L16" i="11"/>
  <c r="J19" i="24" s="1"/>
  <c r="L20" i="11"/>
  <c r="J23" i="24" s="1"/>
  <c r="L22" i="11"/>
  <c r="J25" i="24" s="1"/>
  <c r="L24" i="11"/>
  <c r="J6" i="25" s="1"/>
  <c r="L26" i="11"/>
  <c r="J8" i="25" s="1"/>
  <c r="L28" i="11"/>
  <c r="L32" i="11"/>
  <c r="L34" i="11"/>
  <c r="L36" i="11"/>
  <c r="L38" i="11"/>
  <c r="L40" i="11"/>
  <c r="L42" i="11"/>
  <c r="L44" i="11"/>
  <c r="L46" i="11"/>
  <c r="V47" i="11"/>
  <c r="V46" i="11"/>
  <c r="Q46" i="11"/>
  <c r="K46" i="11"/>
  <c r="X45" i="11"/>
  <c r="S45" i="11"/>
  <c r="M45" i="11"/>
  <c r="Z44" i="11"/>
  <c r="U44" i="11"/>
  <c r="O44" i="11"/>
  <c r="J44" i="11"/>
  <c r="W43" i="11"/>
  <c r="Q43" i="11"/>
  <c r="L43" i="11"/>
  <c r="Y42" i="11"/>
  <c r="S42" i="11"/>
  <c r="Q49" i="8" s="1"/>
  <c r="N42" i="11"/>
  <c r="I42" i="11"/>
  <c r="U41" i="11"/>
  <c r="P41" i="11"/>
  <c r="K41" i="11"/>
  <c r="W40" i="11"/>
  <c r="R40" i="11"/>
  <c r="M40" i="11"/>
  <c r="K47" i="8" s="1"/>
  <c r="Y39" i="11"/>
  <c r="T39" i="11"/>
  <c r="R46" i="8" s="1"/>
  <c r="O39" i="11"/>
  <c r="I39" i="11"/>
  <c r="V38" i="11"/>
  <c r="Q38" i="11"/>
  <c r="K38" i="11"/>
  <c r="X37" i="11"/>
  <c r="V44" i="8" s="1"/>
  <c r="S37" i="11"/>
  <c r="M37" i="11"/>
  <c r="K44" i="8" s="1"/>
  <c r="Y36" i="11"/>
  <c r="Q36" i="11"/>
  <c r="I36" i="11"/>
  <c r="K35" i="11"/>
  <c r="M34" i="11"/>
  <c r="O33" i="11"/>
  <c r="Y32" i="11"/>
  <c r="Q32" i="11"/>
  <c r="Q31" i="11"/>
  <c r="O13" i="25" s="1"/>
  <c r="X30" i="11"/>
  <c r="K30" i="11"/>
  <c r="M29" i="11"/>
  <c r="Q27" i="11"/>
  <c r="Y25" i="11"/>
  <c r="U4" i="11"/>
  <c r="S7" i="8" s="1"/>
  <c r="U6" i="11"/>
  <c r="S9" i="8" s="1"/>
  <c r="U8" i="11"/>
  <c r="S11" i="8" s="1"/>
  <c r="U10" i="11"/>
  <c r="S13" i="8" s="1"/>
  <c r="U12" i="11"/>
  <c r="S15" i="8" s="1"/>
  <c r="U14" i="11"/>
  <c r="S17" i="8" s="1"/>
  <c r="U16" i="11"/>
  <c r="S19" i="8" s="1"/>
  <c r="U18" i="11"/>
  <c r="S21" i="8" s="1"/>
  <c r="U20" i="11"/>
  <c r="S23" i="8" s="1"/>
  <c r="U7" i="11"/>
  <c r="S10" i="8" s="1"/>
  <c r="U11" i="11"/>
  <c r="S14" i="8" s="1"/>
  <c r="U15" i="11"/>
  <c r="S18" i="8" s="1"/>
  <c r="U19" i="11"/>
  <c r="S22" i="8" s="1"/>
  <c r="U3" i="11"/>
  <c r="S6" i="8" s="1"/>
  <c r="U5" i="11"/>
  <c r="S8" i="8" s="1"/>
  <c r="U9" i="11"/>
  <c r="S12" i="8" s="1"/>
  <c r="U13" i="11"/>
  <c r="S16" i="8" s="1"/>
  <c r="U17" i="11"/>
  <c r="S20" i="8" s="1"/>
  <c r="U21" i="11"/>
  <c r="S24" i="8" s="1"/>
  <c r="U22" i="11"/>
  <c r="S25" i="8" s="1"/>
  <c r="U24" i="11"/>
  <c r="S31" i="8" s="1"/>
  <c r="U26" i="11"/>
  <c r="S33" i="8" s="1"/>
  <c r="U28" i="11"/>
  <c r="S35" i="8" s="1"/>
  <c r="U23" i="11"/>
  <c r="S30" i="8" s="1"/>
  <c r="U27" i="11"/>
  <c r="S34" i="8" s="1"/>
  <c r="U30" i="11"/>
  <c r="S37" i="8" s="1"/>
  <c r="U33" i="11"/>
  <c r="U35" i="11"/>
  <c r="U25" i="11"/>
  <c r="S32" i="8" s="1"/>
  <c r="U31" i="11"/>
  <c r="G4" i="8"/>
  <c r="I4" i="11"/>
  <c r="G7" i="24" s="1"/>
  <c r="I6" i="11"/>
  <c r="G9" i="24" s="1"/>
  <c r="I8" i="11"/>
  <c r="G11" i="24" s="1"/>
  <c r="I10" i="11"/>
  <c r="I12" i="11"/>
  <c r="I14" i="11"/>
  <c r="I16" i="11"/>
  <c r="G19" i="8" s="1"/>
  <c r="I18" i="11"/>
  <c r="I20" i="11"/>
  <c r="G23" i="8" s="1"/>
  <c r="I5" i="11"/>
  <c r="G8" i="24" s="1"/>
  <c r="I9" i="11"/>
  <c r="I13" i="11"/>
  <c r="I17" i="11"/>
  <c r="G20" i="8" s="1"/>
  <c r="I21" i="11"/>
  <c r="G24" i="8" s="1"/>
  <c r="I3" i="11"/>
  <c r="G6" i="24" s="1"/>
  <c r="I7" i="11"/>
  <c r="G10" i="24" s="1"/>
  <c r="I11" i="11"/>
  <c r="I15" i="11"/>
  <c r="G18" i="8" s="1"/>
  <c r="I19" i="11"/>
  <c r="I22" i="11"/>
  <c r="G25" i="8" s="1"/>
  <c r="I24" i="11"/>
  <c r="I26" i="11"/>
  <c r="I28" i="11"/>
  <c r="I30" i="11"/>
  <c r="I29" i="11"/>
  <c r="I31" i="11"/>
  <c r="I33" i="11"/>
  <c r="I35" i="11"/>
  <c r="I37" i="11"/>
  <c r="I23" i="11"/>
  <c r="Y45" i="11"/>
  <c r="U42" i="11"/>
  <c r="Y37" i="11"/>
  <c r="W3" i="11"/>
  <c r="U6" i="8" s="1"/>
  <c r="W5" i="11"/>
  <c r="U8" i="8" s="1"/>
  <c r="W7" i="11"/>
  <c r="U10" i="8" s="1"/>
  <c r="W9" i="11"/>
  <c r="U12" i="8" s="1"/>
  <c r="W11" i="11"/>
  <c r="U14" i="8" s="1"/>
  <c r="W13" i="11"/>
  <c r="U16" i="8" s="1"/>
  <c r="W15" i="11"/>
  <c r="U18" i="8" s="1"/>
  <c r="W17" i="11"/>
  <c r="U20" i="8" s="1"/>
  <c r="W19" i="11"/>
  <c r="U22" i="8" s="1"/>
  <c r="W21" i="11"/>
  <c r="U24" i="8" s="1"/>
  <c r="W6" i="11"/>
  <c r="U9" i="8" s="1"/>
  <c r="W10" i="11"/>
  <c r="U13" i="8" s="1"/>
  <c r="W14" i="11"/>
  <c r="U17" i="8" s="1"/>
  <c r="W18" i="11"/>
  <c r="U21" i="8" s="1"/>
  <c r="W4" i="11"/>
  <c r="U7" i="8" s="1"/>
  <c r="W8" i="11"/>
  <c r="U11" i="8" s="1"/>
  <c r="W12" i="11"/>
  <c r="U15" i="8" s="1"/>
  <c r="W16" i="11"/>
  <c r="U19" i="8" s="1"/>
  <c r="W20" i="11"/>
  <c r="U23" i="8" s="1"/>
  <c r="W23" i="11"/>
  <c r="W25" i="11"/>
  <c r="W27" i="11"/>
  <c r="U34" i="8" s="1"/>
  <c r="W29" i="11"/>
  <c r="W22" i="11"/>
  <c r="W32" i="11"/>
  <c r="W34" i="11"/>
  <c r="W36" i="11"/>
  <c r="W24" i="11"/>
  <c r="U31" i="8" s="1"/>
  <c r="W30" i="11"/>
  <c r="S3" i="11"/>
  <c r="S5" i="11"/>
  <c r="S7" i="11"/>
  <c r="S9" i="11"/>
  <c r="Q12" i="8" s="1"/>
  <c r="S11" i="11"/>
  <c r="S13" i="11"/>
  <c r="Q16" i="8" s="1"/>
  <c r="S15" i="11"/>
  <c r="S17" i="11"/>
  <c r="Q20" i="8" s="1"/>
  <c r="S19" i="11"/>
  <c r="S21" i="11"/>
  <c r="Q24" i="8" s="1"/>
  <c r="S8" i="11"/>
  <c r="S12" i="11"/>
  <c r="S16" i="11"/>
  <c r="S20" i="11"/>
  <c r="S4" i="11"/>
  <c r="Q7" i="8" s="1"/>
  <c r="S6" i="11"/>
  <c r="S10" i="11"/>
  <c r="S14" i="11"/>
  <c r="S18" i="11"/>
  <c r="S23" i="11"/>
  <c r="Q30" i="8" s="1"/>
  <c r="S25" i="11"/>
  <c r="Q32" i="8" s="1"/>
  <c r="S27" i="11"/>
  <c r="S29" i="11"/>
  <c r="Q36" i="8" s="1"/>
  <c r="S22" i="11"/>
  <c r="S24" i="11"/>
  <c r="S28" i="11"/>
  <c r="S31" i="11"/>
  <c r="S32" i="11"/>
  <c r="S34" i="11"/>
  <c r="Q41" i="8" s="1"/>
  <c r="S36" i="11"/>
  <c r="Q43" i="8" s="1"/>
  <c r="S26" i="11"/>
  <c r="O3" i="11"/>
  <c r="M6" i="24" s="1"/>
  <c r="O5" i="11"/>
  <c r="M8" i="24" s="1"/>
  <c r="O7" i="11"/>
  <c r="O9" i="11"/>
  <c r="M12" i="24" s="1"/>
  <c r="O11" i="11"/>
  <c r="O13" i="11"/>
  <c r="M16" i="24" s="1"/>
  <c r="O15" i="11"/>
  <c r="O17" i="11"/>
  <c r="O19" i="11"/>
  <c r="M22" i="24" s="1"/>
  <c r="O21" i="11"/>
  <c r="O4" i="11"/>
  <c r="M7" i="24" s="1"/>
  <c r="O6" i="11"/>
  <c r="M9" i="24" s="1"/>
  <c r="O10" i="11"/>
  <c r="O14" i="11"/>
  <c r="M17" i="24" s="1"/>
  <c r="O18" i="11"/>
  <c r="M21" i="24" s="1"/>
  <c r="O8" i="11"/>
  <c r="O12" i="11"/>
  <c r="O16" i="11"/>
  <c r="O20" i="11"/>
  <c r="O23" i="11"/>
  <c r="O25" i="11"/>
  <c r="O27" i="11"/>
  <c r="O29" i="11"/>
  <c r="O26" i="11"/>
  <c r="O30" i="11"/>
  <c r="O32" i="11"/>
  <c r="O34" i="11"/>
  <c r="M16" i="25" s="1"/>
  <c r="O36" i="11"/>
  <c r="O31" i="11"/>
  <c r="M13" i="25" s="1"/>
  <c r="K3" i="11"/>
  <c r="I6" i="24" s="1"/>
  <c r="K5" i="11"/>
  <c r="I8" i="24" s="1"/>
  <c r="K7" i="11"/>
  <c r="K9" i="11"/>
  <c r="I12" i="24" s="1"/>
  <c r="K11" i="11"/>
  <c r="I14" i="24" s="1"/>
  <c r="K13" i="11"/>
  <c r="I16" i="24" s="1"/>
  <c r="K15" i="11"/>
  <c r="K17" i="11"/>
  <c r="K19" i="11"/>
  <c r="I22" i="24" s="1"/>
  <c r="K21" i="11"/>
  <c r="K4" i="11"/>
  <c r="I7" i="24" s="1"/>
  <c r="K8" i="11"/>
  <c r="I11" i="24" s="1"/>
  <c r="K12" i="11"/>
  <c r="I15" i="24" s="1"/>
  <c r="K16" i="11"/>
  <c r="K20" i="11"/>
  <c r="K22" i="11"/>
  <c r="I25" i="8" s="1"/>
  <c r="K6" i="11"/>
  <c r="I9" i="24" s="1"/>
  <c r="K10" i="11"/>
  <c r="I13" i="24" s="1"/>
  <c r="K14" i="11"/>
  <c r="I17" i="24" s="1"/>
  <c r="K18" i="11"/>
  <c r="I21" i="24" s="1"/>
  <c r="K23" i="11"/>
  <c r="K25" i="11"/>
  <c r="K27" i="11"/>
  <c r="K29" i="11"/>
  <c r="K28" i="11"/>
  <c r="K32" i="11"/>
  <c r="K34" i="11"/>
  <c r="K36" i="11"/>
  <c r="U46" i="11"/>
  <c r="O46" i="11"/>
  <c r="W45" i="11"/>
  <c r="Q45" i="11"/>
  <c r="Y44" i="11"/>
  <c r="S44" i="11"/>
  <c r="I44" i="11"/>
  <c r="U43" i="11"/>
  <c r="K43" i="11"/>
  <c r="W42" i="11"/>
  <c r="M42" i="11"/>
  <c r="K49" i="8" s="1"/>
  <c r="Y41" i="11"/>
  <c r="O41" i="11"/>
  <c r="I41" i="11"/>
  <c r="Q40" i="11"/>
  <c r="K40" i="11"/>
  <c r="S39" i="11"/>
  <c r="M39" i="11"/>
  <c r="U38" i="11"/>
  <c r="O38" i="11"/>
  <c r="W37" i="11"/>
  <c r="Q37" i="11"/>
  <c r="L37" i="11"/>
  <c r="V36" i="11"/>
  <c r="N36" i="11"/>
  <c r="X35" i="11"/>
  <c r="V42" i="8" s="1"/>
  <c r="P35" i="11"/>
  <c r="N17" i="25" s="1"/>
  <c r="Z34" i="11"/>
  <c r="T33" i="11"/>
  <c r="R40" i="8" s="1"/>
  <c r="L33" i="11"/>
  <c r="V32" i="11"/>
  <c r="W31" i="11"/>
  <c r="M31" i="11"/>
  <c r="K38" i="8" s="1"/>
  <c r="T30" i="11"/>
  <c r="R37" i="8" s="1"/>
  <c r="X28" i="11"/>
  <c r="V35" i="8" s="1"/>
  <c r="I27" i="11"/>
  <c r="M25" i="11"/>
  <c r="Q4" i="11"/>
  <c r="O7" i="24" s="1"/>
  <c r="Q6" i="11"/>
  <c r="O9" i="24" s="1"/>
  <c r="Q8" i="11"/>
  <c r="Q10" i="11"/>
  <c r="Q12" i="11"/>
  <c r="Q14" i="11"/>
  <c r="O17" i="24" s="1"/>
  <c r="Q16" i="11"/>
  <c r="Q18" i="11"/>
  <c r="O21" i="24" s="1"/>
  <c r="Q20" i="11"/>
  <c r="Q3" i="11"/>
  <c r="O6" i="24" s="1"/>
  <c r="Q9" i="11"/>
  <c r="Q13" i="11"/>
  <c r="Q17" i="11"/>
  <c r="Q21" i="11"/>
  <c r="Q5" i="11"/>
  <c r="O8" i="24" s="1"/>
  <c r="Q7" i="11"/>
  <c r="Q11" i="11"/>
  <c r="Q15" i="11"/>
  <c r="Q19" i="11"/>
  <c r="O22" i="24" s="1"/>
  <c r="Q22" i="11"/>
  <c r="Q24" i="11"/>
  <c r="O6" i="25" s="1"/>
  <c r="Q26" i="11"/>
  <c r="Q28" i="11"/>
  <c r="O10" i="25" s="1"/>
  <c r="Q30" i="11"/>
  <c r="O12" i="25" s="1"/>
  <c r="Q25" i="11"/>
  <c r="Q29" i="11"/>
  <c r="O11" i="25" s="1"/>
  <c r="Q33" i="11"/>
  <c r="Q35" i="11"/>
  <c r="O17" i="25" s="1"/>
  <c r="M46" i="11"/>
  <c r="M43" i="11"/>
  <c r="Y40" i="11"/>
  <c r="U39" i="11"/>
  <c r="M38" i="11"/>
  <c r="Y30" i="11"/>
  <c r="Z3" i="11"/>
  <c r="X6" i="8" s="1"/>
  <c r="Z4" i="11"/>
  <c r="X7" i="8" s="1"/>
  <c r="Z6" i="11"/>
  <c r="X9" i="8" s="1"/>
  <c r="Z8" i="11"/>
  <c r="X11" i="8" s="1"/>
  <c r="Z10" i="11"/>
  <c r="X13" i="8" s="1"/>
  <c r="Z12" i="11"/>
  <c r="X15" i="8" s="1"/>
  <c r="Z14" i="11"/>
  <c r="X17" i="8" s="1"/>
  <c r="Z16" i="11"/>
  <c r="X19" i="8" s="1"/>
  <c r="Z18" i="11"/>
  <c r="X21" i="8" s="1"/>
  <c r="Z20" i="11"/>
  <c r="X23" i="8" s="1"/>
  <c r="Z7" i="11"/>
  <c r="X10" i="8" s="1"/>
  <c r="Z11" i="11"/>
  <c r="X14" i="8" s="1"/>
  <c r="Z15" i="11"/>
  <c r="X18" i="8" s="1"/>
  <c r="Z19" i="11"/>
  <c r="X22" i="8" s="1"/>
  <c r="Z22" i="11"/>
  <c r="Z24" i="11"/>
  <c r="X31" i="8" s="1"/>
  <c r="Z26" i="11"/>
  <c r="Z28" i="11"/>
  <c r="X35" i="8" s="1"/>
  <c r="Z30" i="11"/>
  <c r="Z5" i="11"/>
  <c r="X8" i="8" s="1"/>
  <c r="Z9" i="11"/>
  <c r="X12" i="8" s="1"/>
  <c r="Z13" i="11"/>
  <c r="Z17" i="11"/>
  <c r="Z21" i="11"/>
  <c r="Z23" i="11"/>
  <c r="Z25" i="11"/>
  <c r="Z29" i="11"/>
  <c r="X36" i="8" s="1"/>
  <c r="Z31" i="11"/>
  <c r="Z33" i="11"/>
  <c r="Z35" i="11"/>
  <c r="Z37" i="11"/>
  <c r="Z39" i="11"/>
  <c r="Z41" i="11"/>
  <c r="Z43" i="11"/>
  <c r="Z45" i="11"/>
  <c r="V3" i="11"/>
  <c r="T6" i="8" s="1"/>
  <c r="V4" i="11"/>
  <c r="T7" i="8" s="1"/>
  <c r="V6" i="11"/>
  <c r="T9" i="8" s="1"/>
  <c r="V8" i="11"/>
  <c r="T11" i="8" s="1"/>
  <c r="V10" i="11"/>
  <c r="T13" i="8" s="1"/>
  <c r="V12" i="11"/>
  <c r="T15" i="8" s="1"/>
  <c r="V14" i="11"/>
  <c r="T17" i="8" s="1"/>
  <c r="V16" i="11"/>
  <c r="T19" i="8" s="1"/>
  <c r="V18" i="11"/>
  <c r="T21" i="8" s="1"/>
  <c r="V20" i="11"/>
  <c r="T23" i="8" s="1"/>
  <c r="V5" i="11"/>
  <c r="T8" i="8" s="1"/>
  <c r="V9" i="11"/>
  <c r="T12" i="8" s="1"/>
  <c r="V13" i="11"/>
  <c r="T16" i="8" s="1"/>
  <c r="V17" i="11"/>
  <c r="T20" i="8" s="1"/>
  <c r="V21" i="11"/>
  <c r="T24" i="8" s="1"/>
  <c r="V22" i="11"/>
  <c r="T25" i="8" s="1"/>
  <c r="V24" i="11"/>
  <c r="T31" i="8" s="1"/>
  <c r="V26" i="11"/>
  <c r="V28" i="11"/>
  <c r="V30" i="11"/>
  <c r="V7" i="11"/>
  <c r="T10" i="8" s="1"/>
  <c r="V11" i="11"/>
  <c r="T14" i="8" s="1"/>
  <c r="V15" i="11"/>
  <c r="T18" i="8" s="1"/>
  <c r="V19" i="11"/>
  <c r="T22" i="8" s="1"/>
  <c r="V23" i="11"/>
  <c r="T30" i="8" s="1"/>
  <c r="V25" i="11"/>
  <c r="T32" i="8" s="1"/>
  <c r="V27" i="11"/>
  <c r="V33" i="11"/>
  <c r="V35" i="11"/>
  <c r="V37" i="11"/>
  <c r="V39" i="11"/>
  <c r="T46" i="8" s="1"/>
  <c r="V41" i="11"/>
  <c r="V43" i="11"/>
  <c r="V45" i="11"/>
  <c r="R3" i="11"/>
  <c r="R5" i="11"/>
  <c r="R4" i="11"/>
  <c r="R6" i="11"/>
  <c r="R8" i="11"/>
  <c r="R10" i="11"/>
  <c r="R12" i="11"/>
  <c r="R14" i="11"/>
  <c r="R16" i="11"/>
  <c r="R18" i="11"/>
  <c r="R20" i="11"/>
  <c r="R7" i="11"/>
  <c r="R11" i="11"/>
  <c r="R15" i="11"/>
  <c r="R19" i="11"/>
  <c r="R22" i="11"/>
  <c r="R24" i="11"/>
  <c r="R26" i="11"/>
  <c r="R28" i="11"/>
  <c r="R30" i="11"/>
  <c r="R9" i="11"/>
  <c r="R13" i="11"/>
  <c r="R17" i="11"/>
  <c r="R21" i="11"/>
  <c r="R23" i="11"/>
  <c r="P30" i="8" s="1"/>
  <c r="R25" i="11"/>
  <c r="R29" i="11"/>
  <c r="R33" i="11"/>
  <c r="P40" i="8" s="1"/>
  <c r="R35" i="11"/>
  <c r="P42" i="8" s="1"/>
  <c r="R37" i="11"/>
  <c r="P44" i="8" s="1"/>
  <c r="R39" i="11"/>
  <c r="R41" i="11"/>
  <c r="R43" i="11"/>
  <c r="R45" i="11"/>
  <c r="N3" i="11"/>
  <c r="L6" i="24" s="1"/>
  <c r="N5" i="11"/>
  <c r="N4" i="11"/>
  <c r="L7" i="24" s="1"/>
  <c r="N6" i="11"/>
  <c r="L9" i="24" s="1"/>
  <c r="N8" i="11"/>
  <c r="N10" i="11"/>
  <c r="L13" i="24" s="1"/>
  <c r="N12" i="11"/>
  <c r="L15" i="24" s="1"/>
  <c r="N14" i="11"/>
  <c r="L17" i="24" s="1"/>
  <c r="N16" i="11"/>
  <c r="L19" i="24" s="1"/>
  <c r="N18" i="11"/>
  <c r="L21" i="24" s="1"/>
  <c r="N20" i="11"/>
  <c r="L23" i="24" s="1"/>
  <c r="N9" i="11"/>
  <c r="N13" i="11"/>
  <c r="L16" i="24" s="1"/>
  <c r="N17" i="11"/>
  <c r="L20" i="24" s="1"/>
  <c r="N21" i="11"/>
  <c r="L24" i="24" s="1"/>
  <c r="N22" i="11"/>
  <c r="L25" i="24" s="1"/>
  <c r="N24" i="11"/>
  <c r="L6" i="25" s="1"/>
  <c r="N26" i="11"/>
  <c r="L8" i="25" s="1"/>
  <c r="N28" i="11"/>
  <c r="L10" i="25" s="1"/>
  <c r="N30" i="11"/>
  <c r="L12" i="25" s="1"/>
  <c r="N7" i="11"/>
  <c r="L10" i="24" s="1"/>
  <c r="N11" i="11"/>
  <c r="L14" i="24" s="1"/>
  <c r="N15" i="11"/>
  <c r="L18" i="24" s="1"/>
  <c r="N19" i="11"/>
  <c r="N23" i="11"/>
  <c r="N25" i="11"/>
  <c r="N31" i="11"/>
  <c r="L13" i="25" s="1"/>
  <c r="N27" i="11"/>
  <c r="N33" i="11"/>
  <c r="L15" i="25" s="1"/>
  <c r="N35" i="11"/>
  <c r="N37" i="11"/>
  <c r="N39" i="11"/>
  <c r="N41" i="11"/>
  <c r="N43" i="11"/>
  <c r="N45" i="11"/>
  <c r="J3" i="11"/>
  <c r="H6" i="24" s="1"/>
  <c r="J5" i="11"/>
  <c r="H8" i="24" s="1"/>
  <c r="J4" i="11"/>
  <c r="H7" i="24" s="1"/>
  <c r="J6" i="11"/>
  <c r="H9" i="24" s="1"/>
  <c r="J8" i="11"/>
  <c r="H11" i="24" s="1"/>
  <c r="J10" i="11"/>
  <c r="H13" i="24" s="1"/>
  <c r="J12" i="11"/>
  <c r="H15" i="24" s="1"/>
  <c r="J14" i="11"/>
  <c r="H17" i="24" s="1"/>
  <c r="J16" i="11"/>
  <c r="H19" i="24" s="1"/>
  <c r="J18" i="11"/>
  <c r="H21" i="24" s="1"/>
  <c r="J20" i="11"/>
  <c r="J7" i="11"/>
  <c r="H10" i="24" s="1"/>
  <c r="J11" i="11"/>
  <c r="H14" i="24" s="1"/>
  <c r="J15" i="11"/>
  <c r="H18" i="24" s="1"/>
  <c r="J19" i="11"/>
  <c r="J22" i="11"/>
  <c r="J24" i="11"/>
  <c r="J26" i="11"/>
  <c r="J28" i="11"/>
  <c r="J30" i="11"/>
  <c r="J9" i="11"/>
  <c r="H12" i="24" s="1"/>
  <c r="J13" i="11"/>
  <c r="H16" i="24" s="1"/>
  <c r="J17" i="11"/>
  <c r="H20" i="24" s="1"/>
  <c r="J21" i="11"/>
  <c r="J23" i="11"/>
  <c r="J25" i="11"/>
  <c r="J27" i="11"/>
  <c r="J29" i="11"/>
  <c r="J31" i="11"/>
  <c r="J33" i="11"/>
  <c r="J35" i="11"/>
  <c r="J37" i="11"/>
  <c r="J39" i="11"/>
  <c r="J41" i="11"/>
  <c r="J43" i="11"/>
  <c r="J45" i="11"/>
  <c r="Y46" i="11"/>
  <c r="S46" i="11"/>
  <c r="N46" i="11"/>
  <c r="I46" i="11"/>
  <c r="U45" i="11"/>
  <c r="P45" i="11"/>
  <c r="K45" i="11"/>
  <c r="W44" i="11"/>
  <c r="R44" i="11"/>
  <c r="M44" i="11"/>
  <c r="Y43" i="11"/>
  <c r="T43" i="11"/>
  <c r="O43" i="11"/>
  <c r="I43" i="11"/>
  <c r="V42" i="11"/>
  <c r="Q42" i="11"/>
  <c r="K42" i="11"/>
  <c r="X41" i="11"/>
  <c r="V48" i="8" s="1"/>
  <c r="S41" i="11"/>
  <c r="M41" i="11"/>
  <c r="Z40" i="11"/>
  <c r="U40" i="11"/>
  <c r="O40" i="11"/>
  <c r="J40" i="11"/>
  <c r="W39" i="11"/>
  <c r="Q39" i="11"/>
  <c r="L39" i="11"/>
  <c r="Y38" i="11"/>
  <c r="S38" i="11"/>
  <c r="N38" i="11"/>
  <c r="I38" i="11"/>
  <c r="U37" i="11"/>
  <c r="S44" i="8" s="1"/>
  <c r="P37" i="11"/>
  <c r="K37" i="11"/>
  <c r="U36" i="11"/>
  <c r="M36" i="11"/>
  <c r="K43" i="8" s="1"/>
  <c r="W35" i="11"/>
  <c r="O35" i="11"/>
  <c r="Y34" i="11"/>
  <c r="Q34" i="11"/>
  <c r="O16" i="25" s="1"/>
  <c r="I34" i="11"/>
  <c r="S33" i="11"/>
  <c r="Q40" i="8" s="1"/>
  <c r="K33" i="11"/>
  <c r="U32" i="11"/>
  <c r="M32" i="11"/>
  <c r="V31" i="11"/>
  <c r="K31" i="11"/>
  <c r="S30" i="11"/>
  <c r="U29" i="11"/>
  <c r="S36" i="8" s="1"/>
  <c r="W28" i="11"/>
  <c r="Y27" i="11"/>
  <c r="W26" i="11"/>
  <c r="U33" i="8" s="1"/>
  <c r="I25" i="11"/>
  <c r="M23" i="11"/>
  <c r="K5" i="25" s="1"/>
  <c r="G28" i="8"/>
  <c r="L34" i="8" l="1"/>
  <c r="L9" i="25"/>
  <c r="J46" i="8"/>
  <c r="J21" i="25"/>
  <c r="L32" i="8"/>
  <c r="L7" i="25"/>
  <c r="J47" i="8"/>
  <c r="J22" i="25"/>
  <c r="J20" i="8"/>
  <c r="J20" i="24"/>
  <c r="J45" i="8"/>
  <c r="J20" i="25"/>
  <c r="N44" i="8"/>
  <c r="N19" i="25"/>
  <c r="L46" i="8"/>
  <c r="L21" i="25"/>
  <c r="L22" i="8"/>
  <c r="L22" i="24"/>
  <c r="K45" i="8"/>
  <c r="K20" i="25"/>
  <c r="J40" i="8"/>
  <c r="J15" i="25"/>
  <c r="J43" i="8"/>
  <c r="J18" i="25"/>
  <c r="J21" i="8"/>
  <c r="J21" i="24"/>
  <c r="L41" i="8"/>
  <c r="L16" i="25"/>
  <c r="J44" i="8"/>
  <c r="J19" i="25"/>
  <c r="K40" i="8"/>
  <c r="K15" i="25"/>
  <c r="L44" i="8"/>
  <c r="L19" i="25"/>
  <c r="G22" i="8"/>
  <c r="G22" i="24"/>
  <c r="J41" i="8"/>
  <c r="J16" i="25"/>
  <c r="J14" i="8"/>
  <c r="J14" i="24"/>
  <c r="N49" i="8"/>
  <c r="N24" i="25"/>
  <c r="N46" i="8"/>
  <c r="N21" i="25"/>
  <c r="J42" i="8"/>
  <c r="J17" i="25"/>
  <c r="L49" i="8"/>
  <c r="L24" i="25"/>
  <c r="J39" i="8"/>
  <c r="J14" i="25"/>
  <c r="N47" i="8"/>
  <c r="N22" i="25"/>
  <c r="K35" i="8"/>
  <c r="K10" i="25"/>
  <c r="L48" i="8"/>
  <c r="L23" i="25"/>
  <c r="L30" i="8"/>
  <c r="L5" i="25"/>
  <c r="M30" i="8"/>
  <c r="M5" i="25"/>
  <c r="J35" i="8"/>
  <c r="J10" i="25"/>
  <c r="J38" i="8"/>
  <c r="J13" i="25"/>
  <c r="N45" i="8"/>
  <c r="N20" i="25"/>
  <c r="L47" i="8"/>
  <c r="L22" i="25"/>
  <c r="K46" i="8"/>
  <c r="K21" i="25"/>
  <c r="G21" i="8"/>
  <c r="G21" i="24"/>
  <c r="J36" i="8"/>
  <c r="J11" i="25"/>
  <c r="N43" i="8"/>
  <c r="N18" i="25"/>
  <c r="J48" i="8"/>
  <c r="J23" i="25"/>
  <c r="H23" i="8"/>
  <c r="H23" i="24"/>
  <c r="L42" i="8"/>
  <c r="L17" i="25"/>
  <c r="L45" i="8"/>
  <c r="L20" i="25"/>
  <c r="H24" i="8"/>
  <c r="H24" i="24"/>
  <c r="H25" i="8"/>
  <c r="H25" i="24"/>
  <c r="O16" i="8"/>
  <c r="O16" i="24"/>
  <c r="L43" i="8"/>
  <c r="L18" i="25"/>
  <c r="K36" i="8"/>
  <c r="K11" i="25"/>
  <c r="J49" i="8"/>
  <c r="J24" i="25"/>
  <c r="J34" i="8"/>
  <c r="J9" i="25"/>
  <c r="J22" i="8"/>
  <c r="J22" i="24"/>
  <c r="O45" i="8"/>
  <c r="O20" i="25"/>
  <c r="O40" i="8"/>
  <c r="O15" i="25"/>
  <c r="O24" i="25"/>
  <c r="O49" i="8"/>
  <c r="O39" i="8"/>
  <c r="O14" i="25"/>
  <c r="O46" i="8"/>
  <c r="O21" i="25"/>
  <c r="O22" i="25"/>
  <c r="O47" i="8"/>
  <c r="O18" i="25"/>
  <c r="O43" i="8"/>
  <c r="N48" i="8"/>
  <c r="N23" i="25"/>
  <c r="O44" i="8"/>
  <c r="O19" i="25"/>
  <c r="O23" i="25"/>
  <c r="O48" i="8"/>
  <c r="G17" i="8"/>
  <c r="G17" i="24"/>
  <c r="G13" i="8"/>
  <c r="G13" i="24"/>
  <c r="G15" i="8"/>
  <c r="G15" i="24"/>
  <c r="G12" i="8"/>
  <c r="G12" i="24"/>
  <c r="G14" i="8"/>
  <c r="G14" i="24"/>
  <c r="K41" i="8"/>
  <c r="K16" i="25"/>
  <c r="M37" i="8"/>
  <c r="M12" i="25"/>
  <c r="K39" i="8"/>
  <c r="K14" i="25"/>
  <c r="K48" i="8"/>
  <c r="K23" i="25"/>
  <c r="M49" i="8"/>
  <c r="M24" i="25"/>
  <c r="M36" i="8"/>
  <c r="M11" i="25"/>
  <c r="M46" i="8"/>
  <c r="M21" i="25"/>
  <c r="M19" i="25"/>
  <c r="M44" i="8"/>
  <c r="M23" i="25"/>
  <c r="M48" i="8"/>
  <c r="M39" i="8"/>
  <c r="M14" i="25"/>
  <c r="L8" i="8"/>
  <c r="L8" i="24"/>
  <c r="M22" i="25"/>
  <c r="M47" i="8"/>
  <c r="M45" i="8"/>
  <c r="M20" i="25"/>
  <c r="J37" i="8"/>
  <c r="J12" i="25"/>
  <c r="M42" i="8"/>
  <c r="M17" i="25"/>
  <c r="M18" i="25"/>
  <c r="M43" i="8"/>
  <c r="M40" i="8"/>
  <c r="M15" i="25"/>
  <c r="M35" i="8"/>
  <c r="M10" i="25"/>
  <c r="H46" i="8"/>
  <c r="H21" i="25"/>
  <c r="H30" i="8"/>
  <c r="H5" i="25"/>
  <c r="H31" i="8"/>
  <c r="H6" i="25"/>
  <c r="H44" i="8"/>
  <c r="H19" i="25"/>
  <c r="H40" i="8"/>
  <c r="H15" i="25"/>
  <c r="H38" i="8"/>
  <c r="H13" i="25"/>
  <c r="H39" i="8"/>
  <c r="H14" i="25"/>
  <c r="H37" i="8"/>
  <c r="H12" i="25"/>
  <c r="H43" i="8"/>
  <c r="H18" i="25"/>
  <c r="H36" i="8"/>
  <c r="H11" i="25"/>
  <c r="H34" i="8"/>
  <c r="H9" i="25"/>
  <c r="H35" i="8"/>
  <c r="H10" i="25"/>
  <c r="H47" i="8"/>
  <c r="H22" i="25"/>
  <c r="H48" i="8"/>
  <c r="H23" i="25"/>
  <c r="H32" i="8"/>
  <c r="H7" i="25"/>
  <c r="H33" i="8"/>
  <c r="H8" i="25"/>
  <c r="H49" i="8"/>
  <c r="H24" i="25"/>
  <c r="H22" i="8"/>
  <c r="H22" i="24"/>
  <c r="G16" i="8"/>
  <c r="G16" i="24"/>
  <c r="H41" i="8"/>
  <c r="H16" i="25"/>
  <c r="H45" i="8"/>
  <c r="H20" i="25"/>
  <c r="G30" i="8"/>
  <c r="G5" i="25"/>
  <c r="G33" i="8"/>
  <c r="G8" i="25"/>
  <c r="G43" i="8"/>
  <c r="G18" i="25"/>
  <c r="G39" i="8"/>
  <c r="G14" i="25"/>
  <c r="G41" i="8"/>
  <c r="G16" i="25"/>
  <c r="G42" i="8"/>
  <c r="G17" i="25"/>
  <c r="G47" i="8"/>
  <c r="G22" i="25"/>
  <c r="G49" i="8"/>
  <c r="G24" i="25"/>
  <c r="G34" i="8"/>
  <c r="G9" i="25"/>
  <c r="G31" i="8"/>
  <c r="G6" i="25"/>
  <c r="G45" i="8"/>
  <c r="G20" i="25"/>
  <c r="G32" i="8"/>
  <c r="G7" i="25"/>
  <c r="G37" i="8"/>
  <c r="G12" i="25"/>
  <c r="G35" i="8"/>
  <c r="G10" i="25"/>
  <c r="I33" i="8"/>
  <c r="I8" i="25"/>
  <c r="I30" i="8"/>
  <c r="I5" i="25"/>
  <c r="I44" i="8"/>
  <c r="I19" i="25"/>
  <c r="I41" i="8"/>
  <c r="I16" i="25"/>
  <c r="G44" i="8"/>
  <c r="G19" i="25"/>
  <c r="G46" i="8"/>
  <c r="G21" i="25"/>
  <c r="I46" i="8"/>
  <c r="I21" i="25"/>
  <c r="I48" i="8"/>
  <c r="I23" i="25"/>
  <c r="I49" i="8"/>
  <c r="I24" i="25"/>
  <c r="G48" i="8"/>
  <c r="G23" i="25"/>
  <c r="I39" i="8"/>
  <c r="I14" i="25"/>
  <c r="I31" i="8"/>
  <c r="I6" i="25"/>
  <c r="I47" i="8"/>
  <c r="I22" i="25"/>
  <c r="I37" i="8"/>
  <c r="I12" i="25"/>
  <c r="I35" i="8"/>
  <c r="I10" i="25"/>
  <c r="G40" i="8"/>
  <c r="G15" i="25"/>
  <c r="I40" i="8"/>
  <c r="I15" i="25"/>
  <c r="H42" i="8"/>
  <c r="H17" i="25"/>
  <c r="I43" i="8"/>
  <c r="I18" i="25"/>
  <c r="I38" i="8"/>
  <c r="I13" i="25"/>
  <c r="I36" i="8"/>
  <c r="I11" i="25"/>
  <c r="G38" i="8"/>
  <c r="G13" i="25"/>
  <c r="I34" i="8"/>
  <c r="I9" i="25"/>
  <c r="G36" i="8"/>
  <c r="G11" i="25"/>
  <c r="I32" i="8"/>
  <c r="I7" i="25"/>
  <c r="I45" i="8"/>
  <c r="I20" i="25"/>
  <c r="I42" i="8"/>
  <c r="I17" i="25"/>
  <c r="J16" i="8"/>
  <c r="P32" i="8"/>
  <c r="P33" i="8"/>
  <c r="K16" i="8"/>
  <c r="P12" i="8"/>
  <c r="P31" i="8"/>
  <c r="P34" i="8"/>
  <c r="L20" i="8"/>
  <c r="P24" i="8"/>
  <c r="P37" i="8"/>
  <c r="P25" i="8"/>
  <c r="P16" i="8"/>
  <c r="P36" i="8"/>
  <c r="P35" i="8"/>
  <c r="P22" i="8"/>
  <c r="P23" i="8"/>
  <c r="P15" i="8"/>
  <c r="K17" i="8"/>
  <c r="I6" i="8"/>
  <c r="H20" i="8"/>
  <c r="J25" i="8"/>
  <c r="J32" i="8"/>
  <c r="N39" i="8"/>
  <c r="N32" i="8"/>
  <c r="L39" i="8"/>
  <c r="H16" i="8"/>
  <c r="L40" i="8"/>
  <c r="I23" i="8"/>
  <c r="J30" i="8"/>
  <c r="N30" i="8"/>
  <c r="I24" i="8"/>
  <c r="N33" i="8"/>
  <c r="K15" i="8"/>
  <c r="N40" i="8"/>
  <c r="N41" i="8"/>
  <c r="M32" i="8"/>
  <c r="K30" i="8"/>
  <c r="N36" i="8"/>
  <c r="K21" i="8"/>
  <c r="O30" i="8"/>
  <c r="Q39" i="8"/>
  <c r="Q25" i="8"/>
  <c r="Q9" i="8"/>
  <c r="Q15" i="8"/>
  <c r="P38" i="8"/>
  <c r="L31" i="8"/>
  <c r="M33" i="8"/>
  <c r="Q33" i="8"/>
  <c r="Q38" i="8"/>
  <c r="Q21" i="8"/>
  <c r="Q11" i="8"/>
  <c r="Q18" i="8"/>
  <c r="Q10" i="8"/>
  <c r="J23" i="8"/>
  <c r="P39" i="8"/>
  <c r="Q37" i="8"/>
  <c r="Q35" i="8"/>
  <c r="Q34" i="8"/>
  <c r="Q17" i="8"/>
  <c r="Q23" i="8"/>
  <c r="Q8" i="8"/>
  <c r="Q31" i="8"/>
  <c r="Q13" i="8"/>
  <c r="Q19" i="8"/>
  <c r="Q22" i="8"/>
  <c r="Q14" i="8"/>
  <c r="Q6" i="8"/>
  <c r="N34" i="8"/>
  <c r="L14" i="8"/>
  <c r="L13" i="8"/>
  <c r="L10" i="8"/>
  <c r="L6" i="8"/>
  <c r="L9" i="8"/>
  <c r="L7" i="8"/>
  <c r="I20" i="8"/>
  <c r="M13" i="8"/>
  <c r="M6" i="8"/>
  <c r="I17" i="8"/>
  <c r="I18" i="8"/>
  <c r="M11" i="8"/>
  <c r="M9" i="8"/>
  <c r="M12" i="8"/>
  <c r="I19" i="8"/>
  <c r="I16" i="8"/>
  <c r="M7" i="8"/>
  <c r="M10" i="8"/>
  <c r="L24" i="8"/>
  <c r="L23" i="8"/>
  <c r="I15" i="8"/>
  <c r="M8" i="8"/>
  <c r="J31" i="8"/>
  <c r="M31" i="8"/>
  <c r="M22" i="8"/>
  <c r="M25" i="8"/>
  <c r="L16" i="8"/>
  <c r="L19" i="8"/>
  <c r="I7" i="8"/>
  <c r="M23" i="8"/>
  <c r="M21" i="8"/>
  <c r="N23" i="8"/>
  <c r="L18" i="8"/>
  <c r="L15" i="8"/>
  <c r="M24" i="8"/>
  <c r="I21" i="8"/>
  <c r="M14" i="8"/>
  <c r="N25" i="8"/>
  <c r="M20" i="8"/>
  <c r="N21" i="8"/>
  <c r="H12" i="8"/>
  <c r="L25" i="8"/>
  <c r="J24" i="8"/>
  <c r="N17" i="8"/>
  <c r="N16" i="8"/>
  <c r="M16" i="8"/>
  <c r="N19" i="8"/>
  <c r="N22" i="8"/>
  <c r="J9" i="8"/>
  <c r="N20" i="8"/>
  <c r="M19" i="8"/>
  <c r="L17" i="8"/>
  <c r="J10" i="8"/>
  <c r="P18" i="8"/>
  <c r="P21" i="8"/>
  <c r="P13" i="8"/>
  <c r="P8" i="8"/>
  <c r="J19" i="8"/>
  <c r="P14" i="8"/>
  <c r="P19" i="8"/>
  <c r="P11" i="8"/>
  <c r="P6" i="8"/>
  <c r="M17" i="8"/>
  <c r="L21" i="8"/>
  <c r="P10" i="8"/>
  <c r="P17" i="8"/>
  <c r="P9" i="8"/>
  <c r="P20" i="8"/>
  <c r="P7" i="8"/>
  <c r="N37" i="8"/>
  <c r="N38" i="8"/>
  <c r="N35" i="8"/>
  <c r="M34" i="8"/>
  <c r="L33" i="8"/>
  <c r="J18" i="8"/>
  <c r="M18" i="8"/>
  <c r="J33" i="8"/>
  <c r="N24" i="8"/>
  <c r="H14" i="8"/>
  <c r="H19" i="8"/>
  <c r="L37" i="8"/>
  <c r="H17" i="8"/>
  <c r="L38" i="8"/>
  <c r="L35" i="8"/>
  <c r="O37" i="8"/>
  <c r="O21" i="8"/>
  <c r="I22" i="8"/>
  <c r="N31" i="8"/>
  <c r="H15" i="8"/>
  <c r="O35" i="8"/>
  <c r="H18" i="8"/>
  <c r="H21" i="8"/>
  <c r="H13" i="8"/>
  <c r="O33" i="8"/>
  <c r="N18" i="8"/>
  <c r="H11" i="8"/>
  <c r="H6" i="8"/>
  <c r="K7" i="8"/>
  <c r="K12" i="8"/>
  <c r="K10" i="8"/>
  <c r="J13" i="8"/>
  <c r="K8" i="8"/>
  <c r="K11" i="8"/>
  <c r="K6" i="8"/>
  <c r="I8" i="8"/>
  <c r="J8" i="8"/>
  <c r="J6" i="8"/>
  <c r="J7" i="8"/>
  <c r="H10" i="8"/>
  <c r="I9" i="8"/>
  <c r="N13" i="8"/>
  <c r="N14" i="8"/>
  <c r="N6" i="8"/>
  <c r="K13" i="8"/>
  <c r="L12" i="8"/>
  <c r="N8" i="8"/>
  <c r="K14" i="8"/>
  <c r="M15" i="8"/>
  <c r="J11" i="8"/>
  <c r="J12" i="8"/>
  <c r="N9" i="8"/>
  <c r="N15" i="8"/>
  <c r="N12" i="8"/>
  <c r="N7" i="8"/>
  <c r="L11" i="8"/>
  <c r="N11" i="8"/>
  <c r="N10" i="8"/>
  <c r="K9" i="8"/>
  <c r="O41" i="8"/>
  <c r="H7" i="8"/>
  <c r="O22" i="8"/>
  <c r="O8" i="8"/>
  <c r="O12" i="8"/>
  <c r="O19" i="8"/>
  <c r="O11" i="8"/>
  <c r="I11" i="8"/>
  <c r="I12" i="8"/>
  <c r="M38" i="8"/>
  <c r="K24" i="8"/>
  <c r="K22" i="8"/>
  <c r="K19" i="8"/>
  <c r="L36" i="8"/>
  <c r="H8" i="8"/>
  <c r="O36" i="8"/>
  <c r="O18" i="8"/>
  <c r="O24" i="8"/>
  <c r="O6" i="8"/>
  <c r="O17" i="8"/>
  <c r="O9" i="8"/>
  <c r="N42" i="8"/>
  <c r="I10" i="8"/>
  <c r="K20" i="8"/>
  <c r="K18" i="8"/>
  <c r="O32" i="8"/>
  <c r="O31" i="8"/>
  <c r="O14" i="8"/>
  <c r="O20" i="8"/>
  <c r="O23" i="8"/>
  <c r="O15" i="8"/>
  <c r="O7" i="8"/>
  <c r="I13" i="8"/>
  <c r="M41" i="8"/>
  <c r="O34" i="8"/>
  <c r="O38" i="8"/>
  <c r="K34" i="8"/>
  <c r="K31" i="8"/>
  <c r="K23" i="8"/>
  <c r="H9" i="8"/>
  <c r="O42" i="8"/>
  <c r="O25" i="8"/>
  <c r="O10" i="8"/>
  <c r="O13" i="8"/>
  <c r="K32" i="8"/>
  <c r="I14" i="8"/>
  <c r="J15" i="8"/>
  <c r="J17" i="8"/>
  <c r="K25" i="8"/>
  <c r="G8" i="8"/>
  <c r="G11" i="8"/>
  <c r="G9" i="8"/>
  <c r="G7" i="8"/>
  <c r="G10" i="8"/>
  <c r="G6" i="8"/>
</calcChain>
</file>

<file path=xl/sharedStrings.xml><?xml version="1.0" encoding="utf-8"?>
<sst xmlns="http://schemas.openxmlformats.org/spreadsheetml/2006/main" count="237" uniqueCount="70">
  <si>
    <t>CSV保存先</t>
    <rPh sb="3" eb="6">
      <t>ホゾンサキ</t>
    </rPh>
    <phoneticPr fontId="1"/>
  </si>
  <si>
    <t>実装点</t>
  </si>
  <si>
    <t>供給</t>
  </si>
  <si>
    <t>部品説明</t>
  </si>
  <si>
    <t>部品</t>
  </si>
  <si>
    <t>スロット</t>
  </si>
  <si>
    <t>シート</t>
    <phoneticPr fontId="8"/>
  </si>
  <si>
    <t>B側</t>
    <rPh sb="1" eb="2">
      <t>ガワ</t>
    </rPh>
    <phoneticPr fontId="8"/>
  </si>
  <si>
    <t xml:space="preserve"> </t>
    <phoneticPr fontId="8"/>
  </si>
  <si>
    <t>組数</t>
    <rPh sb="0" eb="1">
      <t>クミ</t>
    </rPh>
    <rPh sb="1" eb="2">
      <t>スウ</t>
    </rPh>
    <phoneticPr fontId="8"/>
  </si>
  <si>
    <t>台数</t>
    <rPh sb="0" eb="2">
      <t>ダイスウ</t>
    </rPh>
    <phoneticPr fontId="8"/>
  </si>
  <si>
    <t>　</t>
    <phoneticPr fontId="8"/>
  </si>
  <si>
    <t>A側</t>
    <rPh sb="1" eb="2">
      <t>ガワ</t>
    </rPh>
    <phoneticPr fontId="8"/>
  </si>
  <si>
    <t>取り付け
チェック</t>
    <rPh sb="0" eb="1">
      <t>ト</t>
    </rPh>
    <rPh sb="2" eb="3">
      <t>ツ</t>
    </rPh>
    <phoneticPr fontId="8"/>
  </si>
  <si>
    <t>トレイ</t>
  </si>
  <si>
    <t>薄型シングル</t>
  </si>
  <si>
    <t>サブスロット</t>
  </si>
  <si>
    <t>テーブル</t>
  </si>
  <si>
    <t>マシン名</t>
  </si>
  <si>
    <t>マシン番号</t>
  </si>
  <si>
    <t>シート数</t>
    <rPh sb="3" eb="4">
      <t>スウ</t>
    </rPh>
    <phoneticPr fontId="8"/>
  </si>
  <si>
    <t>＊面数</t>
    <rPh sb="1" eb="2">
      <t>メン</t>
    </rPh>
    <rPh sb="2" eb="3">
      <t>スウ</t>
    </rPh>
    <phoneticPr fontId="8"/>
  </si>
  <si>
    <t>\\nksv523.ad.nkc.co.jp\第二工場実装課用\1係用\AccessDB\NEW_NPM_Search\csvファイル置場</t>
    <phoneticPr fontId="1"/>
  </si>
  <si>
    <t>スピード</t>
    <phoneticPr fontId="1"/>
  </si>
  <si>
    <t>シート</t>
    <phoneticPr fontId="1"/>
  </si>
  <si>
    <t>要 確 認 事 項</t>
    <rPh sb="0" eb="1">
      <t>ヨウ</t>
    </rPh>
    <rPh sb="2" eb="5">
      <t>カクニン</t>
    </rPh>
    <rPh sb="6" eb="9">
      <t>ジコウ</t>
    </rPh>
    <phoneticPr fontId="3"/>
  </si>
  <si>
    <t>特 記 事 項</t>
    <rPh sb="0" eb="7">
      <t>トッキジコウ</t>
    </rPh>
    <phoneticPr fontId="3"/>
  </si>
  <si>
    <t>品目（出庫）</t>
    <rPh sb="0" eb="2">
      <t>ヒンモク</t>
    </rPh>
    <rPh sb="3" eb="5">
      <t>シュッコ</t>
    </rPh>
    <phoneticPr fontId="3"/>
  </si>
  <si>
    <t>指図（取付）</t>
    <rPh sb="0" eb="2">
      <t>サシズ</t>
    </rPh>
    <rPh sb="3" eb="5">
      <t>トリツケ</t>
    </rPh>
    <phoneticPr fontId="3"/>
  </si>
  <si>
    <t>生産台数</t>
  </si>
  <si>
    <t>印刷順序</t>
  </si>
  <si>
    <t>BHDP</t>
  </si>
  <si>
    <t/>
  </si>
  <si>
    <t>PPD</t>
  </si>
  <si>
    <t>QR</t>
  </si>
  <si>
    <t>プロファイル</t>
  </si>
  <si>
    <t>備考（Ｐ板名etc）</t>
  </si>
  <si>
    <t>HDP</t>
  </si>
  <si>
    <t>　</t>
  </si>
  <si>
    <t>印刷順序</t>
    <phoneticPr fontId="1"/>
  </si>
  <si>
    <t>UR-****_差分明細</t>
    <phoneticPr fontId="8"/>
  </si>
  <si>
    <t>No</t>
  </si>
  <si>
    <t>新品目コード</t>
    <rPh sb="0" eb="1">
      <t>シン</t>
    </rPh>
    <rPh sb="1" eb="3">
      <t>ヒンモク</t>
    </rPh>
    <phoneticPr fontId="4"/>
  </si>
  <si>
    <t>旧品目コード</t>
    <rPh sb="0" eb="1">
      <t>キュウ</t>
    </rPh>
    <rPh sb="1" eb="3">
      <t>ヒンモク</t>
    </rPh>
    <phoneticPr fontId="4"/>
  </si>
  <si>
    <t>必要数</t>
    <rPh sb="0" eb="3">
      <t>ヒツヨウスウ</t>
    </rPh>
    <phoneticPr fontId="4"/>
  </si>
  <si>
    <t>リボンアドレス</t>
    <phoneticPr fontId="1"/>
  </si>
  <si>
    <t>実装状況表</t>
    <rPh sb="0" eb="5">
      <t>ジッソウジョウ</t>
    </rPh>
    <phoneticPr fontId="1"/>
  </si>
  <si>
    <t>作成者　佐藤</t>
    <rPh sb="0" eb="3">
      <t>サクセイシャ</t>
    </rPh>
    <rPh sb="4" eb="6">
      <t>サトウ</t>
    </rPh>
    <phoneticPr fontId="6"/>
  </si>
  <si>
    <t>***</t>
    <phoneticPr fontId="1"/>
  </si>
  <si>
    <t>トレイセット表</t>
    <rPh sb="6" eb="7">
      <t>ヒョウ</t>
    </rPh>
    <phoneticPr fontId="1"/>
  </si>
  <si>
    <t>実装作業指示</t>
    <rPh sb="0" eb="2">
      <t>ジッソウ</t>
    </rPh>
    <rPh sb="2" eb="4">
      <t>サギョウ</t>
    </rPh>
    <rPh sb="4" eb="6">
      <t>シジ</t>
    </rPh>
    <phoneticPr fontId="1"/>
  </si>
  <si>
    <t>品目</t>
    <rPh sb="0" eb="2">
      <t>ヒンモク</t>
    </rPh>
    <phoneticPr fontId="0"/>
  </si>
  <si>
    <t>特 記 事 項</t>
    <rPh sb="0" eb="7">
      <t>トッキジコウ</t>
    </rPh>
    <phoneticPr fontId="0"/>
  </si>
  <si>
    <t>品目（出庫）</t>
    <rPh sb="0" eb="2">
      <t>ヒンモク</t>
    </rPh>
    <rPh sb="3" eb="5">
      <t>シュッコ</t>
    </rPh>
    <phoneticPr fontId="0"/>
  </si>
  <si>
    <t>指図（取付）</t>
    <rPh sb="0" eb="2">
      <t>サシズ</t>
    </rPh>
    <rPh sb="3" eb="5">
      <t>トリツケ</t>
    </rPh>
    <phoneticPr fontId="0"/>
  </si>
  <si>
    <t>着手日</t>
    <rPh sb="0" eb="2">
      <t>チャクシュ</t>
    </rPh>
    <rPh sb="2" eb="3">
      <t>ビ</t>
    </rPh>
    <phoneticPr fontId="0"/>
  </si>
  <si>
    <t>入庫日</t>
    <rPh sb="0" eb="2">
      <t>ニュウコ</t>
    </rPh>
    <rPh sb="2" eb="3">
      <t>ビ</t>
    </rPh>
    <phoneticPr fontId="0"/>
  </si>
  <si>
    <t>ト</t>
    <phoneticPr fontId="15"/>
  </si>
  <si>
    <t>\\nksv523.ad.nkc.co.jp\第二工場実装課用\1係用\SMTData\実装状況表2.xlsx</t>
    <phoneticPr fontId="1"/>
  </si>
  <si>
    <t>QR</t>
    <phoneticPr fontId="1"/>
  </si>
  <si>
    <t>\\nksv523.ad.nkc.co.jp\第二工場実装課用\1係用\Job作成\マクロ等\bin\QR.xlsx</t>
    <phoneticPr fontId="1"/>
  </si>
  <si>
    <t>試作</t>
    <rPh sb="0" eb="2">
      <t>シサク</t>
    </rPh>
    <phoneticPr fontId="1"/>
  </si>
  <si>
    <t>2/2</t>
    <phoneticPr fontId="1"/>
  </si>
  <si>
    <t>NPM-7</t>
  </si>
  <si>
    <t>生産データ: 260723-011</t>
  </si>
  <si>
    <t>LY62L1024GL-55LLI</t>
  </si>
  <si>
    <t>R5F56216BDLE#U0 DPU_TPM</t>
  </si>
  <si>
    <t>MK10DN512VMD10 OLV-4000_SPU</t>
  </si>
  <si>
    <t>FX20-60P-0.5SV20</t>
  </si>
  <si>
    <t>000212220414_URS-43351-02_P6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</si>
</sst>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#,##0_ "/>
    <numFmt numFmtId="178" formatCode="0_);[Red]\(0\)"/>
    <numFmt numFmtId="179" formatCode="aaa&quot;曜日&quot;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8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3"/>
      <name val="Meiryo UI"/>
      <family val="3"/>
      <charset val="128"/>
    </font>
    <font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12"/>
      <name val="ＭＳ Ｐゴシック"/>
      <family val="3"/>
      <charset val="128"/>
    </font>
    <font>
      <b/>
      <sz val="2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10"/>
      <name val="Meiryo UI"/>
      <family val="3"/>
      <charset val="128"/>
    </font>
    <font>
      <b/>
      <sz val="14"/>
      <color rgb="FFFFFFFF"/>
      <name val="ＭＳ Ｐゴシック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" xfId="0" applyBorder="1">
      <alignment vertical="center"/>
    </xf>
    <xf numFmtId="0" fontId="0" fillId="5" borderId="2" xfId="0" applyFill="1" applyBorder="1">
      <alignment vertical="center"/>
    </xf>
    <xf numFmtId="49" fontId="0" fillId="0" borderId="0" xfId="0" applyNumberFormat="1">
      <alignment vertical="center"/>
    </xf>
    <xf numFmtId="0" fontId="11" fillId="0" borderId="2" xfId="0" applyFont="1" applyBorder="1" applyAlignment="1">
      <alignment horizontal="center" vertical="center"/>
    </xf>
    <xf numFmtId="0" fontId="12" fillId="0" borderId="0" xfId="0" applyFont="1" applyAlignment="1"/>
    <xf numFmtId="0" fontId="12" fillId="0" borderId="0" xfId="0" applyFont="1" applyAlignment="1">
      <alignment vertical="top"/>
    </xf>
    <xf numFmtId="0" fontId="12" fillId="0" borderId="0" xfId="0" applyFont="1">
      <alignment vertical="center"/>
    </xf>
    <xf numFmtId="0" fontId="12" fillId="7" borderId="2" xfId="0" applyFont="1" applyFill="1" applyBorder="1" applyAlignment="1">
      <alignment horizontal="center" vertical="top"/>
    </xf>
    <xf numFmtId="0" fontId="12" fillId="7" borderId="2" xfId="0" applyFont="1" applyFill="1" applyBorder="1" applyAlignment="1">
      <alignment horizontal="center" vertical="top" wrapText="1"/>
    </xf>
    <xf numFmtId="0" fontId="0" fillId="0" borderId="0" xfId="0" applyAlignment="1"/>
    <xf numFmtId="0" fontId="14" fillId="0" borderId="2" xfId="0" applyFont="1" applyBorder="1" applyAlignment="1">
      <alignment vertical="center" wrapText="1"/>
    </xf>
    <xf numFmtId="49" fontId="14" fillId="0" borderId="2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left" vertical="top"/>
    </xf>
    <xf numFmtId="49" fontId="14" fillId="0" borderId="2" xfId="0" applyNumberFormat="1" applyFont="1" applyBorder="1" applyAlignment="1">
      <alignment vertical="center" wrapText="1"/>
    </xf>
    <xf numFmtId="49" fontId="14" fillId="0" borderId="2" xfId="0" quotePrefix="1" applyNumberFormat="1" applyFont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177" fontId="7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49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right" vertical="center"/>
    </xf>
    <xf numFmtId="49" fontId="19" fillId="0" borderId="2" xfId="0" applyNumberFormat="1" applyFont="1" applyBorder="1">
      <alignment vertical="center"/>
    </xf>
    <xf numFmtId="0" fontId="20" fillId="0" borderId="0" xfId="0" applyFont="1">
      <alignment vertical="center"/>
    </xf>
    <xf numFmtId="0" fontId="16" fillId="0" borderId="2" xfId="0" applyFont="1" applyBorder="1" applyAlignment="1">
      <alignment horizontal="left" vertical="center"/>
    </xf>
    <xf numFmtId="49" fontId="2" fillId="0" borderId="0" xfId="0" applyNumberFormat="1" applyFont="1">
      <alignment vertical="center"/>
    </xf>
    <xf numFmtId="0" fontId="17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2" fillId="7" borderId="12" xfId="0" applyFont="1" applyFill="1" applyBorder="1" applyAlignment="1">
      <alignment horizontal="center" vertical="top" wrapText="1"/>
    </xf>
    <xf numFmtId="0" fontId="14" fillId="0" borderId="12" xfId="0" applyFont="1" applyBorder="1" applyAlignment="1">
      <alignment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top" wrapText="1"/>
    </xf>
    <xf numFmtId="49" fontId="12" fillId="7" borderId="11" xfId="0" applyNumberFormat="1" applyFont="1" applyFill="1" applyBorder="1" applyAlignment="1">
      <alignment horizontal="center" vertical="top"/>
    </xf>
    <xf numFmtId="0" fontId="0" fillId="0" borderId="13" xfId="0" applyBorder="1" applyAlignment="1"/>
    <xf numFmtId="0" fontId="9" fillId="0" borderId="11" xfId="0" applyFont="1" applyBorder="1" applyAlignment="1">
      <alignment horizontal="left"/>
    </xf>
    <xf numFmtId="49" fontId="13" fillId="0" borderId="14" xfId="0" applyNumberFormat="1" applyFont="1" applyBorder="1" applyAlignment="1">
      <alignment horizontal="left" vertical="top"/>
    </xf>
    <xf numFmtId="0" fontId="11" fillId="0" borderId="11" xfId="0" applyFont="1" applyBorder="1" applyAlignment="1">
      <alignment horizontal="center" vertical="center"/>
    </xf>
    <xf numFmtId="0" fontId="14" fillId="0" borderId="11" xfId="0" applyFont="1" applyBorder="1" applyAlignment="1">
      <alignment vertical="center" wrapText="1"/>
    </xf>
    <xf numFmtId="49" fontId="14" fillId="0" borderId="11" xfId="0" applyNumberFormat="1" applyFont="1" applyBorder="1" applyAlignment="1">
      <alignment vertical="center" wrapText="1"/>
    </xf>
    <xf numFmtId="0" fontId="21" fillId="0" borderId="0" xfId="0" applyFont="1" applyAlignment="1">
      <alignment horizontal="center" vertical="center"/>
    </xf>
    <xf numFmtId="49" fontId="12" fillId="0" borderId="0" xfId="0" applyNumberFormat="1" applyFont="1" applyAlignment="1">
      <alignment horizontal="left"/>
    </xf>
    <xf numFmtId="0" fontId="18" fillId="12" borderId="2" xfId="0" applyFont="1" applyFill="1" applyBorder="1">
      <alignment vertical="center"/>
    </xf>
    <xf numFmtId="49" fontId="2" fillId="0" borderId="0" xfId="0" applyNumberFormat="1" applyFont="1" applyAlignment="1">
      <alignment vertical="center" wrapText="1"/>
    </xf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176" fontId="2" fillId="7" borderId="2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18" fillId="11" borderId="2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49" fontId="2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12" borderId="2" xfId="0" applyFont="1" applyFill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12" fillId="15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left" vertical="center" wrapText="1"/>
    </xf>
    <xf numFmtId="49" fontId="12" fillId="0" borderId="2" xfId="0" applyNumberFormat="1" applyFont="1" applyBorder="1" applyAlignment="1">
      <alignment horizontal="left" vertical="center" wrapText="1"/>
    </xf>
    <xf numFmtId="176" fontId="12" fillId="0" borderId="2" xfId="0" applyNumberFormat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14" borderId="2" xfId="0" applyFont="1" applyFill="1" applyBorder="1" applyAlignment="1">
      <alignment horizontal="center" vertical="top"/>
    </xf>
    <xf numFmtId="0" fontId="12" fillId="15" borderId="2" xfId="0" applyFont="1" applyFill="1" applyBorder="1" applyAlignment="1">
      <alignment horizontal="center" vertical="top" wrapText="1"/>
    </xf>
    <xf numFmtId="0" fontId="2" fillId="6" borderId="2" xfId="0" applyFont="1" applyFill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/>
    </xf>
    <xf numFmtId="0" fontId="16" fillId="16" borderId="11" xfId="0" applyFont="1" applyFill="1" applyBorder="1" applyAlignment="1">
      <alignment horizontal="left" vertical="center"/>
    </xf>
    <xf numFmtId="0" fontId="16" fillId="17" borderId="11" xfId="0" applyFont="1" applyFill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5" fillId="13" borderId="15" xfId="0" applyFont="1" applyFill="1" applyBorder="1" applyAlignment="1">
      <alignment horizontal="center" vertical="center" wrapText="1"/>
    </xf>
    <xf numFmtId="0" fontId="26" fillId="6" borderId="12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178" fontId="12" fillId="0" borderId="11" xfId="0" applyNumberFormat="1" applyFont="1" applyBorder="1" applyAlignment="1">
      <alignment horizontal="center" vertical="center" wrapText="1"/>
    </xf>
    <xf numFmtId="176" fontId="28" fillId="0" borderId="11" xfId="0" applyNumberFormat="1" applyFont="1" applyBorder="1" applyAlignment="1">
      <alignment horizontal="left" vertical="center" wrapText="1"/>
    </xf>
    <xf numFmtId="0" fontId="12" fillId="0" borderId="11" xfId="0" applyFont="1" applyBorder="1">
      <alignment vertical="center"/>
    </xf>
    <xf numFmtId="0" fontId="23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left" vertical="top"/>
    </xf>
    <xf numFmtId="0" fontId="28" fillId="14" borderId="11" xfId="0" applyFont="1" applyFill="1" applyBorder="1" applyAlignment="1">
      <alignment horizontal="center" vertical="center"/>
    </xf>
    <xf numFmtId="0" fontId="28" fillId="15" borderId="11" xfId="0" applyFont="1" applyFill="1" applyBorder="1" applyAlignment="1">
      <alignment horizontal="center" vertical="center" wrapText="1"/>
    </xf>
    <xf numFmtId="0" fontId="28" fillId="18" borderId="11" xfId="0" applyFont="1" applyFill="1" applyBorder="1" applyAlignment="1">
      <alignment horizontal="center" vertical="center"/>
    </xf>
    <xf numFmtId="0" fontId="28" fillId="0" borderId="11" xfId="0" applyFont="1" applyBorder="1" applyAlignment="1">
      <alignment horizontal="left" vertical="top" wrapText="1"/>
    </xf>
    <xf numFmtId="0" fontId="29" fillId="19" borderId="11" xfId="0" applyFont="1" applyFill="1" applyBorder="1" applyAlignment="1">
      <alignment horizontal="center" wrapText="1"/>
    </xf>
    <xf numFmtId="49" fontId="28" fillId="0" borderId="11" xfId="0" applyNumberFormat="1" applyFont="1" applyBorder="1" applyAlignment="1">
      <alignment horizontal="left" vertical="top" wrapText="1"/>
    </xf>
    <xf numFmtId="0" fontId="28" fillId="11" borderId="11" xfId="0" applyFont="1" applyFill="1" applyBorder="1" applyAlignment="1">
      <alignment horizontal="left" vertical="top" wrapText="1"/>
    </xf>
    <xf numFmtId="49" fontId="28" fillId="11" borderId="11" xfId="0" applyNumberFormat="1" applyFont="1" applyFill="1" applyBorder="1" applyAlignment="1">
      <alignment horizontal="left" vertical="top" wrapText="1"/>
    </xf>
    <xf numFmtId="176" fontId="28" fillId="0" borderId="11" xfId="0" applyNumberFormat="1" applyFont="1" applyBorder="1" applyAlignment="1">
      <alignment horizontal="left" vertical="top" wrapText="1"/>
    </xf>
    <xf numFmtId="0" fontId="17" fillId="20" borderId="11" xfId="0" applyFont="1" applyFill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179" fontId="12" fillId="0" borderId="11" xfId="0" applyNumberFormat="1" applyFont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56" fontId="0" fillId="0" borderId="8" xfId="0" quotePrefix="1" applyNumberFormat="1" applyBorder="1" applyAlignment="1">
      <alignment horizontal="left" vertical="center"/>
    </xf>
    <xf numFmtId="177" fontId="3" fillId="13" borderId="9" xfId="0" applyNumberFormat="1" applyFont="1" applyFill="1" applyBorder="1" applyAlignment="1">
      <alignment horizontal="center" vertical="center"/>
    </xf>
    <xf numFmtId="177" fontId="3" fillId="13" borderId="10" xfId="0" applyNumberFormat="1" applyFont="1" applyFill="1" applyBorder="1" applyAlignment="1">
      <alignment horizontal="center" vertical="center"/>
    </xf>
    <xf numFmtId="49" fontId="3" fillId="13" borderId="2" xfId="0" applyNumberFormat="1" applyFont="1" applyFill="1" applyBorder="1" applyAlignment="1">
      <alignment horizontal="center" vertical="center"/>
    </xf>
    <xf numFmtId="177" fontId="3" fillId="13" borderId="2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10"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fgColor rgb="FFFF0000"/>
          <bgColor rgb="FFFF000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fgColor rgb="FFFF0000"/>
          <bgColor rgb="FFFF000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fgColor rgb="FFFF0000"/>
          <bgColor rgb="FFFF000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fgColor rgb="FFFF0000"/>
          <bgColor rgb="FFFF000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B13AA1-7FC3-4A35-9AFA-D8F08186FBE1}">
  <we:reference id="b3dd1365-297b-4b62-8a90-305e7a3b4486" version="1.0.1.3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DB0FD-F418-490E-BA57-3F309E3EB40F}">
  <sheetPr codeName="Settings">
    <pageSetUpPr autoPageBreaks="0"/>
  </sheetPr>
  <dimension ref="A1:G2"/>
  <sheetViews>
    <sheetView workbookViewId="0">
      <selection activeCell="I8" sqref="I8"/>
    </sheetView>
  </sheetViews>
  <sheetFormatPr defaultRowHeight="18" x14ac:dyDescent="0.55000000000000004"/>
  <cols>
    <col min="1" max="1" width="15.08203125" bestFit="1" customWidth="1"/>
  </cols>
  <sheetData>
    <row r="1" spans="1:7" x14ac:dyDescent="0.55000000000000004">
      <c r="A1" t="s">
        <v>45</v>
      </c>
      <c r="C1" t="s">
        <v>0</v>
      </c>
      <c r="E1" t="s">
        <v>46</v>
      </c>
      <c r="G1" t="s">
        <v>59</v>
      </c>
    </row>
    <row r="2" spans="1:7" x14ac:dyDescent="0.55000000000000004">
      <c r="A2">
        <v>698256712</v>
      </c>
      <c r="C2" t="s">
        <v>22</v>
      </c>
      <c r="E2" t="s">
        <v>58</v>
      </c>
      <c r="G2" t="s">
        <v>60</v>
      </c>
    </row>
  </sheetData>
  <phoneticPr fontId="1"/>
  <pageMargins left="0.7" right="0.7" top="0.75" bottom="0.75" header="0.3" footer="0.3"/>
  <pageSetup paperSize="26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38E4-520B-49B6-AC62-CE6BF2C6F5E7}">
  <sheetPr codeName="Sheet_Job">
    <pageSetUpPr autoPageBreaks="0"/>
  </sheetPr>
  <dimension ref="A1:P61"/>
  <sheetViews>
    <sheetView zoomScale="70" zoomScaleNormal="70" workbookViewId="0"/>
  </sheetViews>
  <sheetFormatPr defaultColWidth="9" defaultRowHeight="26.15" customHeight="1" x14ac:dyDescent="0.55000000000000004"/>
  <cols>
    <col min="1" max="1" width="15.75" style="37" customWidth="1"/>
    <col min="2" max="2" width="4.25" style="37" customWidth="1"/>
    <col min="3" max="3" width="4.75" style="37" customWidth="1"/>
    <col min="4" max="4" width="5.58203125" style="37" customWidth="1"/>
    <col min="5" max="5" width="9.58203125" style="2" customWidth="1"/>
    <col min="6" max="6" width="23.83203125" style="37" customWidth="1"/>
    <col min="7" max="7" width="9.83203125" style="48" customWidth="1"/>
    <col min="8" max="8" width="13.58203125" style="2" customWidth="1"/>
    <col min="9" max="9" width="12.58203125" style="2" customWidth="1"/>
    <col min="10" max="10" width="7.58203125" style="2" customWidth="1"/>
    <col min="11" max="12" width="12.08203125" style="46" customWidth="1"/>
    <col min="13" max="13" width="37.08203125" style="2" customWidth="1"/>
    <col min="14" max="14" width="8.58203125" style="2" customWidth="1"/>
    <col min="15" max="16" width="5.58203125" style="49" customWidth="1"/>
    <col min="17" max="16384" width="9" style="2"/>
  </cols>
  <sheetData>
    <row r="1" spans="1:16" s="37" customFormat="1" ht="26.15" customHeight="1" x14ac:dyDescent="0.55000000000000004">
      <c r="G1" s="79"/>
      <c r="K1" s="80"/>
      <c r="L1" s="80"/>
      <c r="O1" s="81"/>
      <c r="P1" s="81"/>
    </row>
    <row r="2" spans="1:16" s="37" customFormat="1" ht="26.15" customHeight="1" x14ac:dyDescent="0.55000000000000004">
      <c r="G2" s="79"/>
      <c r="K2" s="80"/>
      <c r="L2" s="80"/>
      <c r="O2" s="81"/>
      <c r="P2" s="81"/>
    </row>
    <row r="3" spans="1:16" s="37" customFormat="1" ht="27" customHeight="1" x14ac:dyDescent="0.55000000000000004">
      <c r="D3" s="82"/>
      <c r="F3" s="83"/>
      <c r="G3" s="79"/>
      <c r="I3" s="79"/>
      <c r="K3" s="84"/>
      <c r="L3" s="84"/>
    </row>
    <row r="4" spans="1:16" ht="27" customHeight="1" x14ac:dyDescent="0.55000000000000004">
      <c r="A4" s="67" t="s">
        <v>33</v>
      </c>
      <c r="B4" s="67" t="s">
        <v>34</v>
      </c>
      <c r="C4" s="68" t="s">
        <v>51</v>
      </c>
      <c r="D4" s="69" t="s">
        <v>14</v>
      </c>
      <c r="E4" s="70" t="s">
        <v>35</v>
      </c>
      <c r="F4" s="92"/>
      <c r="G4" s="71" t="s">
        <v>52</v>
      </c>
      <c r="H4" s="72" t="s">
        <v>53</v>
      </c>
      <c r="I4" s="71" t="s">
        <v>54</v>
      </c>
      <c r="J4" s="72" t="s">
        <v>29</v>
      </c>
      <c r="K4" s="73" t="s">
        <v>55</v>
      </c>
      <c r="L4" s="73" t="s">
        <v>56</v>
      </c>
      <c r="M4" s="74" t="s">
        <v>36</v>
      </c>
      <c r="N4" s="72" t="s">
        <v>39</v>
      </c>
      <c r="O4" s="72" t="s">
        <v>37</v>
      </c>
      <c r="P4" s="72" t="s">
        <v>31</v>
      </c>
    </row>
    <row r="5" spans="1:16" ht="27" customHeight="1" x14ac:dyDescent="0.55000000000000004">
      <c r="A5" s="75"/>
      <c r="B5" s="75"/>
      <c r="C5" s="65"/>
      <c r="D5" s="65"/>
      <c r="E5" s="1"/>
      <c r="F5" s="93" t="s">
        <v>48</v>
      </c>
      <c r="G5" s="66"/>
      <c r="H5" s="48" t="s">
        <v>47</v>
      </c>
      <c r="I5" s="78"/>
      <c r="J5" s="76"/>
      <c r="K5" s="77"/>
      <c r="L5" s="77"/>
      <c r="M5" s="37"/>
      <c r="N5" s="76"/>
      <c r="O5" s="76"/>
      <c r="P5" s="76"/>
    </row>
    <row r="6" spans="1:16" s="89" customFormat="1" ht="27" customHeight="1" x14ac:dyDescent="0.55000000000000004">
      <c r="A6" s="47"/>
      <c r="B6" s="90"/>
      <c r="C6" s="91"/>
      <c r="D6" s="85" t="s">
        <v>57</v>
      </c>
      <c r="E6" s="86"/>
      <c r="F6" s="86"/>
      <c r="G6" s="87"/>
      <c r="H6" s="86"/>
      <c r="I6" s="87"/>
      <c r="J6" s="86"/>
      <c r="K6" s="88"/>
      <c r="L6" s="88"/>
      <c r="M6" s="94"/>
      <c r="N6" s="86"/>
      <c r="O6" s="95"/>
      <c r="P6" s="95"/>
    </row>
    <row r="7" spans="1:16" s="89" customFormat="1" ht="27" customHeight="1" x14ac:dyDescent="0.55000000000000004">
      <c r="A7" s="47"/>
      <c r="B7" s="90"/>
      <c r="C7" s="91"/>
      <c r="D7" s="85" t="s">
        <v>57</v>
      </c>
      <c r="E7" s="86"/>
      <c r="F7" s="86"/>
      <c r="G7" s="87"/>
      <c r="H7" s="86"/>
      <c r="I7" s="87"/>
      <c r="J7" s="86"/>
      <c r="K7" s="88"/>
      <c r="L7" s="88"/>
      <c r="M7" s="94"/>
      <c r="N7" s="86"/>
      <c r="O7" s="95"/>
      <c r="P7" s="95"/>
    </row>
    <row r="8" spans="1:16" s="89" customFormat="1" ht="27" customHeight="1" x14ac:dyDescent="0.55000000000000004">
      <c r="A8" s="47"/>
      <c r="B8" s="90"/>
      <c r="C8" s="91"/>
      <c r="D8" s="85" t="s">
        <v>57</v>
      </c>
      <c r="E8" s="86"/>
      <c r="F8" s="86"/>
      <c r="G8" s="87"/>
      <c r="H8" s="86"/>
      <c r="I8" s="87"/>
      <c r="J8" s="86"/>
      <c r="K8" s="88"/>
      <c r="L8" s="88"/>
      <c r="M8" s="94"/>
      <c r="N8" s="86"/>
      <c r="O8" s="95"/>
      <c r="P8" s="95"/>
    </row>
    <row r="9" spans="1:16" s="89" customFormat="1" ht="27" customHeight="1" x14ac:dyDescent="0.55000000000000004">
      <c r="A9" s="47"/>
      <c r="B9" s="90"/>
      <c r="C9" s="91"/>
      <c r="D9" s="85" t="s">
        <v>57</v>
      </c>
      <c r="E9" s="86"/>
      <c r="F9" s="86"/>
      <c r="G9" s="87"/>
      <c r="H9" s="86"/>
      <c r="I9" s="87"/>
      <c r="J9" s="86"/>
      <c r="K9" s="88"/>
      <c r="L9" s="88"/>
      <c r="M9" s="94"/>
      <c r="N9" s="86"/>
      <c r="O9" s="95"/>
      <c r="P9" s="95"/>
    </row>
    <row r="10" spans="1:16" s="89" customFormat="1" ht="27" customHeight="1" x14ac:dyDescent="0.55000000000000004">
      <c r="A10" s="47"/>
      <c r="B10" s="90"/>
      <c r="C10" s="91"/>
      <c r="D10" s="85" t="s">
        <v>57</v>
      </c>
      <c r="E10" s="86"/>
      <c r="F10" s="86"/>
      <c r="G10" s="87"/>
      <c r="H10" s="86"/>
      <c r="I10" s="87"/>
      <c r="J10" s="86"/>
      <c r="K10" s="88"/>
      <c r="L10" s="88"/>
      <c r="M10" s="94"/>
      <c r="N10" s="86"/>
      <c r="O10" s="95"/>
      <c r="P10" s="95"/>
    </row>
    <row r="11" spans="1:16" s="89" customFormat="1" ht="27" customHeight="1" x14ac:dyDescent="0.55000000000000004">
      <c r="A11" s="47"/>
      <c r="B11" s="90"/>
      <c r="C11" s="91"/>
      <c r="D11" s="85" t="s">
        <v>57</v>
      </c>
      <c r="E11" s="86"/>
      <c r="F11" s="86"/>
      <c r="G11" s="87"/>
      <c r="H11" s="86"/>
      <c r="I11" s="87"/>
      <c r="J11" s="86"/>
      <c r="K11" s="88"/>
      <c r="L11" s="88"/>
      <c r="M11" s="94"/>
      <c r="N11" s="86"/>
      <c r="O11" s="95"/>
      <c r="P11" s="95"/>
    </row>
    <row r="12" spans="1:16" s="89" customFormat="1" ht="27" customHeight="1" x14ac:dyDescent="0.55000000000000004">
      <c r="A12" s="47"/>
      <c r="B12" s="90"/>
      <c r="C12" s="91"/>
      <c r="D12" s="85" t="s">
        <v>57</v>
      </c>
      <c r="E12" s="86"/>
      <c r="F12" s="86"/>
      <c r="G12" s="87"/>
      <c r="H12" s="86"/>
      <c r="I12" s="87"/>
      <c r="J12" s="86"/>
      <c r="K12" s="88"/>
      <c r="L12" s="88"/>
      <c r="M12" s="94"/>
      <c r="N12" s="86"/>
      <c r="O12" s="95"/>
      <c r="P12" s="95"/>
    </row>
    <row r="13" spans="1:16" s="89" customFormat="1" ht="27" customHeight="1" x14ac:dyDescent="0.55000000000000004">
      <c r="A13" s="47"/>
      <c r="B13" s="90"/>
      <c r="C13" s="91"/>
      <c r="D13" s="85" t="s">
        <v>57</v>
      </c>
      <c r="E13" s="86"/>
      <c r="F13" s="86"/>
      <c r="G13" s="87"/>
      <c r="H13" s="86"/>
      <c r="I13" s="87"/>
      <c r="J13" s="86"/>
      <c r="K13" s="88"/>
      <c r="L13" s="88"/>
      <c r="M13" s="94"/>
      <c r="N13" s="86"/>
      <c r="O13" s="95"/>
      <c r="P13" s="95"/>
    </row>
    <row r="14" spans="1:16" s="89" customFormat="1" ht="27" customHeight="1" x14ac:dyDescent="0.55000000000000004">
      <c r="A14" s="47"/>
      <c r="B14" s="90"/>
      <c r="C14" s="91"/>
      <c r="D14" s="85" t="s">
        <v>57</v>
      </c>
      <c r="E14" s="86"/>
      <c r="F14" s="86"/>
      <c r="G14" s="87"/>
      <c r="H14" s="86"/>
      <c r="I14" s="87"/>
      <c r="J14" s="86"/>
      <c r="K14" s="88"/>
      <c r="L14" s="88"/>
      <c r="M14" s="94"/>
      <c r="N14" s="86"/>
      <c r="O14" s="95" t="s">
        <v>32</v>
      </c>
      <c r="P14" s="95" t="s">
        <v>32</v>
      </c>
    </row>
    <row r="15" spans="1:16" s="89" customFormat="1" ht="27" customHeight="1" x14ac:dyDescent="0.55000000000000004">
      <c r="A15" s="47"/>
      <c r="B15" s="90"/>
      <c r="C15" s="91"/>
      <c r="D15" s="85" t="s">
        <v>57</v>
      </c>
      <c r="E15" s="86"/>
      <c r="F15" s="86"/>
      <c r="G15" s="87"/>
      <c r="H15" s="86"/>
      <c r="I15" s="87"/>
      <c r="J15" s="86"/>
      <c r="K15" s="88"/>
      <c r="L15" s="88"/>
      <c r="M15" s="94"/>
      <c r="N15" s="86"/>
      <c r="O15" s="95" t="s">
        <v>32</v>
      </c>
      <c r="P15" s="95" t="s">
        <v>32</v>
      </c>
    </row>
    <row r="16" spans="1:16" s="89" customFormat="1" ht="27" customHeight="1" x14ac:dyDescent="0.55000000000000004">
      <c r="A16" s="47"/>
      <c r="B16" s="90"/>
      <c r="C16" s="91"/>
      <c r="D16" s="85" t="s">
        <v>57</v>
      </c>
      <c r="E16" s="86"/>
      <c r="F16" s="86"/>
      <c r="G16" s="87"/>
      <c r="H16" s="86"/>
      <c r="I16" s="87"/>
      <c r="J16" s="86"/>
      <c r="K16" s="88"/>
      <c r="L16" s="88"/>
      <c r="M16" s="94"/>
      <c r="N16" s="86"/>
      <c r="O16" s="95" t="s">
        <v>32</v>
      </c>
      <c r="P16" s="95" t="s">
        <v>32</v>
      </c>
    </row>
    <row r="17" spans="1:16" s="89" customFormat="1" ht="27" customHeight="1" x14ac:dyDescent="0.55000000000000004">
      <c r="A17" s="47"/>
      <c r="B17" s="90"/>
      <c r="C17" s="91"/>
      <c r="D17" s="85" t="s">
        <v>57</v>
      </c>
      <c r="E17" s="86"/>
      <c r="F17" s="86"/>
      <c r="G17" s="87"/>
      <c r="H17" s="86"/>
      <c r="I17" s="87"/>
      <c r="J17" s="86"/>
      <c r="K17" s="88"/>
      <c r="L17" s="88"/>
      <c r="M17" s="94"/>
      <c r="N17" s="86"/>
      <c r="O17" s="95" t="s">
        <v>32</v>
      </c>
      <c r="P17" s="95" t="s">
        <v>32</v>
      </c>
    </row>
    <row r="18" spans="1:16" s="89" customFormat="1" ht="27" customHeight="1" x14ac:dyDescent="0.55000000000000004">
      <c r="A18" s="47"/>
      <c r="B18" s="90"/>
      <c r="C18" s="91"/>
      <c r="D18" s="85" t="s">
        <v>57</v>
      </c>
      <c r="E18" s="86"/>
      <c r="F18" s="86"/>
      <c r="G18" s="87"/>
      <c r="H18" s="86"/>
      <c r="I18" s="87"/>
      <c r="J18" s="86"/>
      <c r="K18" s="88"/>
      <c r="L18" s="88"/>
      <c r="M18" s="94"/>
      <c r="N18" s="86"/>
      <c r="O18" s="95" t="s">
        <v>32</v>
      </c>
      <c r="P18" s="95" t="s">
        <v>32</v>
      </c>
    </row>
    <row r="19" spans="1:16" s="89" customFormat="1" ht="27" customHeight="1" x14ac:dyDescent="0.55000000000000004">
      <c r="A19" s="47"/>
      <c r="B19" s="90"/>
      <c r="C19" s="91"/>
      <c r="D19" s="85" t="s">
        <v>57</v>
      </c>
      <c r="E19" s="86"/>
      <c r="F19" s="86"/>
      <c r="G19" s="87"/>
      <c r="H19" s="86"/>
      <c r="I19" s="87"/>
      <c r="J19" s="86"/>
      <c r="K19" s="88"/>
      <c r="L19" s="88"/>
      <c r="M19" s="94"/>
      <c r="N19" s="86"/>
      <c r="O19" s="95" t="s">
        <v>32</v>
      </c>
      <c r="P19" s="95" t="s">
        <v>32</v>
      </c>
    </row>
    <row r="20" spans="1:16" s="89" customFormat="1" ht="27" customHeight="1" x14ac:dyDescent="0.55000000000000004">
      <c r="A20" s="47"/>
      <c r="B20" s="90"/>
      <c r="C20" s="91"/>
      <c r="D20" s="85" t="s">
        <v>57</v>
      </c>
      <c r="E20" s="86"/>
      <c r="F20" s="86"/>
      <c r="G20" s="87"/>
      <c r="H20" s="86"/>
      <c r="I20" s="87"/>
      <c r="J20" s="86"/>
      <c r="K20" s="88"/>
      <c r="L20" s="88"/>
      <c r="M20" s="94"/>
      <c r="N20" s="86"/>
      <c r="O20" s="95" t="s">
        <v>32</v>
      </c>
      <c r="P20" s="95" t="s">
        <v>32</v>
      </c>
    </row>
    <row r="21" spans="1:16" s="89" customFormat="1" ht="27" customHeight="1" x14ac:dyDescent="0.55000000000000004">
      <c r="A21" s="47"/>
      <c r="B21" s="90"/>
      <c r="C21" s="91"/>
      <c r="D21" s="85" t="s">
        <v>57</v>
      </c>
      <c r="E21" s="86"/>
      <c r="F21" s="86"/>
      <c r="G21" s="87"/>
      <c r="H21" s="86"/>
      <c r="I21" s="87"/>
      <c r="J21" s="86"/>
      <c r="K21" s="88"/>
      <c r="L21" s="88"/>
      <c r="M21" s="94"/>
      <c r="N21" s="86"/>
      <c r="O21" s="95" t="s">
        <v>32</v>
      </c>
      <c r="P21" s="95" t="s">
        <v>32</v>
      </c>
    </row>
    <row r="22" spans="1:16" s="89" customFormat="1" ht="27" customHeight="1" x14ac:dyDescent="0.55000000000000004">
      <c r="A22" s="47"/>
      <c r="B22" s="90"/>
      <c r="C22" s="91"/>
      <c r="D22" s="85" t="s">
        <v>57</v>
      </c>
      <c r="E22" s="86"/>
      <c r="F22" s="86"/>
      <c r="G22" s="87"/>
      <c r="H22" s="86"/>
      <c r="I22" s="87"/>
      <c r="J22" s="86"/>
      <c r="K22" s="88"/>
      <c r="L22" s="88"/>
      <c r="M22" s="94"/>
      <c r="N22" s="86"/>
      <c r="O22" s="95" t="s">
        <v>32</v>
      </c>
      <c r="P22" s="95" t="s">
        <v>32</v>
      </c>
    </row>
    <row r="23" spans="1:16" s="89" customFormat="1" ht="27" customHeight="1" x14ac:dyDescent="0.55000000000000004">
      <c r="A23" s="47"/>
      <c r="B23" s="90"/>
      <c r="C23" s="91"/>
      <c r="D23" s="85" t="s">
        <v>57</v>
      </c>
      <c r="E23" s="86"/>
      <c r="F23" s="86"/>
      <c r="G23" s="87"/>
      <c r="H23" s="86"/>
      <c r="I23" s="87"/>
      <c r="J23" s="86"/>
      <c r="K23" s="88"/>
      <c r="L23" s="88"/>
      <c r="M23" s="94"/>
      <c r="N23" s="86"/>
      <c r="O23" s="95" t="s">
        <v>32</v>
      </c>
      <c r="P23" s="95" t="s">
        <v>32</v>
      </c>
    </row>
    <row r="24" spans="1:16" s="89" customFormat="1" ht="27" customHeight="1" x14ac:dyDescent="0.55000000000000004">
      <c r="A24" s="47"/>
      <c r="B24" s="90"/>
      <c r="C24" s="91"/>
      <c r="D24" s="85" t="s">
        <v>57</v>
      </c>
      <c r="E24" s="86"/>
      <c r="F24" s="86"/>
      <c r="G24" s="87"/>
      <c r="H24" s="86"/>
      <c r="I24" s="87"/>
      <c r="J24" s="86"/>
      <c r="K24" s="88"/>
      <c r="L24" s="88"/>
      <c r="M24" s="94"/>
      <c r="N24" s="86"/>
      <c r="O24" s="95" t="s">
        <v>32</v>
      </c>
      <c r="P24" s="95" t="s">
        <v>32</v>
      </c>
    </row>
    <row r="25" spans="1:16" s="89" customFormat="1" ht="27" customHeight="1" x14ac:dyDescent="0.55000000000000004">
      <c r="A25" s="47"/>
      <c r="B25" s="90"/>
      <c r="C25" s="91"/>
      <c r="D25" s="85" t="s">
        <v>57</v>
      </c>
      <c r="E25" s="86"/>
      <c r="F25" s="86"/>
      <c r="G25" s="87"/>
      <c r="H25" s="86"/>
      <c r="I25" s="87"/>
      <c r="J25" s="86"/>
      <c r="K25" s="88"/>
      <c r="L25" s="88"/>
      <c r="M25" s="94"/>
      <c r="N25" s="86"/>
      <c r="O25" s="95" t="s">
        <v>32</v>
      </c>
      <c r="P25" s="95" t="s">
        <v>32</v>
      </c>
    </row>
    <row r="26" spans="1:16" s="89" customFormat="1" ht="27" customHeight="1" x14ac:dyDescent="0.55000000000000004">
      <c r="A26" s="47"/>
      <c r="B26" s="90"/>
      <c r="C26" s="91"/>
      <c r="D26" s="85" t="s">
        <v>57</v>
      </c>
      <c r="E26" s="86"/>
      <c r="F26" s="86"/>
      <c r="G26" s="87"/>
      <c r="H26" s="86"/>
      <c r="I26" s="87"/>
      <c r="J26" s="86"/>
      <c r="K26" s="88"/>
      <c r="L26" s="88"/>
      <c r="M26" s="94"/>
      <c r="N26" s="86"/>
      <c r="O26" s="95" t="s">
        <v>32</v>
      </c>
      <c r="P26" s="95" t="s">
        <v>32</v>
      </c>
    </row>
    <row r="27" spans="1:16" s="89" customFormat="1" ht="27" customHeight="1" x14ac:dyDescent="0.55000000000000004">
      <c r="A27" s="47"/>
      <c r="B27" s="90"/>
      <c r="C27" s="91"/>
      <c r="D27" s="85" t="s">
        <v>57</v>
      </c>
      <c r="E27" s="86"/>
      <c r="F27" s="86"/>
      <c r="G27" s="87"/>
      <c r="H27" s="86"/>
      <c r="I27" s="87"/>
      <c r="J27" s="86"/>
      <c r="K27" s="88"/>
      <c r="L27" s="88"/>
      <c r="M27" s="94"/>
      <c r="N27" s="86"/>
      <c r="O27" s="95" t="s">
        <v>32</v>
      </c>
      <c r="P27" s="95" t="s">
        <v>32</v>
      </c>
    </row>
    <row r="28" spans="1:16" s="89" customFormat="1" ht="27" customHeight="1" x14ac:dyDescent="0.55000000000000004">
      <c r="A28" s="47"/>
      <c r="B28" s="90"/>
      <c r="C28" s="91"/>
      <c r="D28" s="85" t="s">
        <v>57</v>
      </c>
      <c r="E28" s="86"/>
      <c r="F28" s="86"/>
      <c r="G28" s="87"/>
      <c r="H28" s="86"/>
      <c r="I28" s="87"/>
      <c r="J28" s="86"/>
      <c r="K28" s="88"/>
      <c r="L28" s="88"/>
      <c r="M28" s="94"/>
      <c r="N28" s="86"/>
      <c r="O28" s="95" t="s">
        <v>32</v>
      </c>
      <c r="P28" s="95" t="s">
        <v>32</v>
      </c>
    </row>
    <row r="29" spans="1:16" s="89" customFormat="1" ht="27" customHeight="1" x14ac:dyDescent="0.55000000000000004">
      <c r="A29" s="47"/>
      <c r="B29" s="90"/>
      <c r="C29" s="91"/>
      <c r="D29" s="85" t="s">
        <v>57</v>
      </c>
      <c r="E29" s="86"/>
      <c r="F29" s="86"/>
      <c r="G29" s="87"/>
      <c r="H29" s="86"/>
      <c r="I29" s="87"/>
      <c r="J29" s="86"/>
      <c r="K29" s="88"/>
      <c r="L29" s="88"/>
      <c r="M29" s="94"/>
      <c r="N29" s="86"/>
      <c r="O29" s="95" t="s">
        <v>32</v>
      </c>
      <c r="P29" s="95" t="s">
        <v>32</v>
      </c>
    </row>
    <row r="30" spans="1:16" s="89" customFormat="1" ht="27" customHeight="1" x14ac:dyDescent="0.55000000000000004">
      <c r="A30" s="47"/>
      <c r="B30" s="90"/>
      <c r="C30" s="91"/>
      <c r="D30" s="85" t="s">
        <v>57</v>
      </c>
      <c r="E30" s="86"/>
      <c r="F30" s="86"/>
      <c r="G30" s="87"/>
      <c r="H30" s="86"/>
      <c r="I30" s="87"/>
      <c r="J30" s="86"/>
      <c r="K30" s="88"/>
      <c r="L30" s="88"/>
      <c r="M30" s="94"/>
      <c r="N30" s="86"/>
      <c r="O30" s="95"/>
      <c r="P30" s="95"/>
    </row>
    <row r="31" spans="1:16" s="89" customFormat="1" ht="27" customHeight="1" x14ac:dyDescent="0.55000000000000004">
      <c r="A31" s="47"/>
      <c r="B31" s="90"/>
      <c r="C31" s="91"/>
      <c r="D31" s="85" t="s">
        <v>57</v>
      </c>
      <c r="E31" s="86"/>
      <c r="F31" s="86"/>
      <c r="G31" s="87"/>
      <c r="H31" s="86"/>
      <c r="I31" s="87"/>
      <c r="J31" s="86"/>
      <c r="K31" s="88"/>
      <c r="L31" s="88"/>
      <c r="M31" s="94"/>
      <c r="N31" s="86"/>
      <c r="O31" s="95"/>
      <c r="P31" s="95"/>
    </row>
    <row r="32" spans="1:16" s="89" customFormat="1" ht="27" customHeight="1" x14ac:dyDescent="0.55000000000000004">
      <c r="A32" s="47"/>
      <c r="B32" s="90"/>
      <c r="C32" s="91"/>
      <c r="D32" s="85" t="s">
        <v>57</v>
      </c>
      <c r="E32" s="86"/>
      <c r="F32" s="86"/>
      <c r="G32" s="87"/>
      <c r="H32" s="86"/>
      <c r="I32" s="87"/>
      <c r="J32" s="86"/>
      <c r="K32" s="88"/>
      <c r="L32" s="88"/>
      <c r="M32" s="94"/>
      <c r="N32" s="86"/>
      <c r="O32" s="95"/>
      <c r="P32" s="95"/>
    </row>
    <row r="33" spans="1:16" s="89" customFormat="1" ht="27" customHeight="1" x14ac:dyDescent="0.55000000000000004">
      <c r="A33" s="47"/>
      <c r="B33" s="90"/>
      <c r="C33" s="91"/>
      <c r="D33" s="85" t="s">
        <v>57</v>
      </c>
      <c r="E33" s="86"/>
      <c r="F33" s="86"/>
      <c r="G33" s="87"/>
      <c r="H33" s="86"/>
      <c r="I33" s="87"/>
      <c r="J33" s="86"/>
      <c r="K33" s="88"/>
      <c r="L33" s="88"/>
      <c r="M33" s="94"/>
      <c r="N33" s="86"/>
      <c r="O33" s="95"/>
      <c r="P33" s="95"/>
    </row>
    <row r="34" spans="1:16" s="89" customFormat="1" ht="27" customHeight="1" x14ac:dyDescent="0.55000000000000004">
      <c r="A34" s="47"/>
      <c r="B34" s="90"/>
      <c r="C34" s="91"/>
      <c r="D34" s="85" t="s">
        <v>57</v>
      </c>
      <c r="E34" s="86"/>
      <c r="F34" s="86"/>
      <c r="G34" s="87"/>
      <c r="H34" s="86"/>
      <c r="I34" s="87"/>
      <c r="J34" s="86"/>
      <c r="K34" s="88"/>
      <c r="L34" s="88"/>
      <c r="M34" s="94"/>
      <c r="N34" s="86"/>
      <c r="O34" s="95"/>
      <c r="P34" s="95"/>
    </row>
    <row r="35" spans="1:16" s="89" customFormat="1" ht="27" customHeight="1" x14ac:dyDescent="0.55000000000000004">
      <c r="A35" s="47"/>
      <c r="B35" s="90"/>
      <c r="C35" s="91"/>
      <c r="D35" s="85" t="s">
        <v>57</v>
      </c>
      <c r="E35" s="86"/>
      <c r="F35" s="86"/>
      <c r="G35" s="87"/>
      <c r="H35" s="86"/>
      <c r="I35" s="87"/>
      <c r="J35" s="86"/>
      <c r="K35" s="88"/>
      <c r="L35" s="88"/>
      <c r="M35" s="94"/>
      <c r="N35" s="86"/>
      <c r="O35" s="95"/>
      <c r="P35" s="95"/>
    </row>
    <row r="36" spans="1:16" s="89" customFormat="1" ht="27" customHeight="1" x14ac:dyDescent="0.55000000000000004">
      <c r="A36" s="47"/>
      <c r="B36" s="90"/>
      <c r="C36" s="91"/>
      <c r="D36" s="85" t="s">
        <v>57</v>
      </c>
      <c r="E36" s="86"/>
      <c r="F36" s="86"/>
      <c r="G36" s="87"/>
      <c r="H36" s="86"/>
      <c r="I36" s="87"/>
      <c r="J36" s="86"/>
      <c r="K36" s="88"/>
      <c r="L36" s="88"/>
      <c r="M36" s="94"/>
      <c r="N36" s="86"/>
      <c r="O36" s="95"/>
      <c r="P36" s="95"/>
    </row>
    <row r="37" spans="1:16" s="89" customFormat="1" ht="27" customHeight="1" x14ac:dyDescent="0.55000000000000004">
      <c r="A37" s="47"/>
      <c r="B37" s="90"/>
      <c r="C37" s="91"/>
      <c r="D37" s="85" t="s">
        <v>57</v>
      </c>
      <c r="E37" s="86"/>
      <c r="F37" s="86"/>
      <c r="G37" s="87"/>
      <c r="H37" s="86"/>
      <c r="I37" s="87"/>
      <c r="J37" s="86"/>
      <c r="K37" s="88"/>
      <c r="L37" s="88"/>
      <c r="M37" s="94"/>
      <c r="N37" s="86"/>
      <c r="O37" s="95"/>
      <c r="P37" s="95"/>
    </row>
    <row r="38" spans="1:16" s="89" customFormat="1" ht="27" customHeight="1" x14ac:dyDescent="0.55000000000000004">
      <c r="A38" s="47"/>
      <c r="B38" s="90"/>
      <c r="C38" s="91"/>
      <c r="D38" s="85" t="s">
        <v>57</v>
      </c>
      <c r="E38" s="86"/>
      <c r="F38" s="86"/>
      <c r="G38" s="87"/>
      <c r="H38" s="86"/>
      <c r="I38" s="87"/>
      <c r="J38" s="86"/>
      <c r="K38" s="88"/>
      <c r="L38" s="88"/>
      <c r="M38" s="94"/>
      <c r="N38" s="86"/>
      <c r="O38" s="95"/>
      <c r="P38" s="95"/>
    </row>
    <row r="39" spans="1:16" s="89" customFormat="1" ht="27" customHeight="1" x14ac:dyDescent="0.55000000000000004">
      <c r="A39" s="47"/>
      <c r="B39" s="90"/>
      <c r="C39" s="91"/>
      <c r="D39" s="85" t="s">
        <v>57</v>
      </c>
      <c r="E39" s="86"/>
      <c r="F39" s="86"/>
      <c r="G39" s="87"/>
      <c r="H39" s="86"/>
      <c r="I39" s="87"/>
      <c r="J39" s="86"/>
      <c r="K39" s="88"/>
      <c r="L39" s="88"/>
      <c r="M39" s="94"/>
      <c r="N39" s="86"/>
      <c r="O39" s="95"/>
      <c r="P39" s="95"/>
    </row>
    <row r="40" spans="1:16" s="89" customFormat="1" ht="27" customHeight="1" x14ac:dyDescent="0.55000000000000004">
      <c r="A40" s="47"/>
      <c r="B40" s="90"/>
      <c r="C40" s="91"/>
      <c r="D40" s="85" t="s">
        <v>57</v>
      </c>
      <c r="E40" s="86"/>
      <c r="F40" s="86"/>
      <c r="G40" s="87"/>
      <c r="H40" s="86"/>
      <c r="I40" s="87"/>
      <c r="J40" s="86"/>
      <c r="K40" s="88"/>
      <c r="L40" s="88"/>
      <c r="M40" s="94"/>
      <c r="N40" s="86"/>
      <c r="O40" s="95"/>
      <c r="P40" s="95"/>
    </row>
    <row r="41" spans="1:16" s="89" customFormat="1" ht="27" customHeight="1" x14ac:dyDescent="0.55000000000000004">
      <c r="A41" s="47"/>
      <c r="B41" s="90"/>
      <c r="C41" s="91"/>
      <c r="D41" s="85" t="s">
        <v>57</v>
      </c>
      <c r="E41" s="86"/>
      <c r="F41" s="86"/>
      <c r="G41" s="87"/>
      <c r="H41" s="86"/>
      <c r="I41" s="87"/>
      <c r="J41" s="86"/>
      <c r="K41" s="88"/>
      <c r="L41" s="88"/>
      <c r="M41" s="94"/>
      <c r="N41" s="86"/>
      <c r="O41" s="95"/>
      <c r="P41" s="95"/>
    </row>
    <row r="42" spans="1:16" s="89" customFormat="1" ht="27" customHeight="1" x14ac:dyDescent="0.55000000000000004">
      <c r="A42" s="47"/>
      <c r="B42" s="90"/>
      <c r="C42" s="91"/>
      <c r="D42" s="85" t="s">
        <v>57</v>
      </c>
      <c r="E42" s="86"/>
      <c r="F42" s="86"/>
      <c r="G42" s="87"/>
      <c r="H42" s="86"/>
      <c r="I42" s="87"/>
      <c r="J42" s="86"/>
      <c r="K42" s="88"/>
      <c r="L42" s="88"/>
      <c r="M42" s="94"/>
      <c r="N42" s="86"/>
      <c r="O42" s="95"/>
      <c r="P42" s="95"/>
    </row>
    <row r="43" spans="1:16" s="89" customFormat="1" ht="27" customHeight="1" x14ac:dyDescent="0.55000000000000004">
      <c r="A43" s="47"/>
      <c r="B43" s="90"/>
      <c r="C43" s="91"/>
      <c r="D43" s="85" t="s">
        <v>57</v>
      </c>
      <c r="E43" s="86"/>
      <c r="F43" s="86"/>
      <c r="G43" s="87"/>
      <c r="H43" s="86"/>
      <c r="I43" s="87"/>
      <c r="J43" s="86"/>
      <c r="K43" s="88"/>
      <c r="L43" s="88"/>
      <c r="M43" s="94"/>
      <c r="N43" s="86"/>
      <c r="O43" s="95"/>
      <c r="P43" s="95"/>
    </row>
    <row r="44" spans="1:16" s="89" customFormat="1" ht="27" customHeight="1" x14ac:dyDescent="0.55000000000000004">
      <c r="A44" s="47"/>
      <c r="B44" s="90"/>
      <c r="C44" s="91"/>
      <c r="D44" s="85" t="s">
        <v>57</v>
      </c>
      <c r="E44" s="86"/>
      <c r="F44" s="86"/>
      <c r="G44" s="87"/>
      <c r="H44" s="86"/>
      <c r="I44" s="87"/>
      <c r="J44" s="86"/>
      <c r="K44" s="88"/>
      <c r="L44" s="88"/>
      <c r="M44" s="94"/>
      <c r="N44" s="86"/>
      <c r="O44" s="95"/>
      <c r="P44" s="95"/>
    </row>
    <row r="45" spans="1:16" s="89" customFormat="1" ht="27" customHeight="1" x14ac:dyDescent="0.55000000000000004">
      <c r="A45" s="47"/>
      <c r="B45" s="90"/>
      <c r="C45" s="91"/>
      <c r="D45" s="85" t="s">
        <v>57</v>
      </c>
      <c r="E45" s="86"/>
      <c r="F45" s="86"/>
      <c r="G45" s="87"/>
      <c r="H45" s="86"/>
      <c r="I45" s="87"/>
      <c r="J45" s="86"/>
      <c r="K45" s="88"/>
      <c r="L45" s="88"/>
      <c r="M45" s="94"/>
      <c r="N45" s="86"/>
      <c r="O45" s="95"/>
      <c r="P45" s="95"/>
    </row>
    <row r="46" spans="1:16" s="89" customFormat="1" ht="27" customHeight="1" x14ac:dyDescent="0.55000000000000004">
      <c r="A46" s="47"/>
      <c r="B46" s="90"/>
      <c r="C46" s="91"/>
      <c r="D46" s="85" t="s">
        <v>57</v>
      </c>
      <c r="E46" s="86"/>
      <c r="F46" s="86"/>
      <c r="G46" s="87"/>
      <c r="H46" s="86"/>
      <c r="I46" s="87"/>
      <c r="J46" s="86"/>
      <c r="K46" s="88"/>
      <c r="L46" s="88"/>
      <c r="M46" s="94"/>
      <c r="N46" s="86"/>
      <c r="O46" s="95"/>
      <c r="P46" s="95"/>
    </row>
    <row r="47" spans="1:16" s="89" customFormat="1" ht="27" customHeight="1" x14ac:dyDescent="0.55000000000000004">
      <c r="A47" s="47"/>
      <c r="B47" s="90"/>
      <c r="C47" s="91"/>
      <c r="D47" s="85" t="s">
        <v>57</v>
      </c>
      <c r="E47" s="86"/>
      <c r="F47" s="86"/>
      <c r="G47" s="87"/>
      <c r="H47" s="86"/>
      <c r="I47" s="87"/>
      <c r="J47" s="86"/>
      <c r="K47" s="88"/>
      <c r="L47" s="88"/>
      <c r="M47" s="94"/>
      <c r="N47" s="86"/>
      <c r="O47" s="95"/>
      <c r="P47" s="95"/>
    </row>
    <row r="48" spans="1:16" s="89" customFormat="1" ht="27" customHeight="1" x14ac:dyDescent="0.55000000000000004">
      <c r="A48" s="47"/>
      <c r="B48" s="90"/>
      <c r="C48" s="91"/>
      <c r="D48" s="85" t="s">
        <v>57</v>
      </c>
      <c r="E48" s="86"/>
      <c r="F48" s="86"/>
      <c r="G48" s="87"/>
      <c r="H48" s="86"/>
      <c r="I48" s="87"/>
      <c r="J48" s="86"/>
      <c r="K48" s="88"/>
      <c r="L48" s="88"/>
      <c r="M48" s="94"/>
      <c r="N48" s="86"/>
      <c r="O48" s="95"/>
      <c r="P48" s="95"/>
    </row>
    <row r="49" spans="1:16" s="89" customFormat="1" ht="27" customHeight="1" x14ac:dyDescent="0.55000000000000004">
      <c r="A49" s="47"/>
      <c r="B49" s="90"/>
      <c r="C49" s="91"/>
      <c r="D49" s="85" t="s">
        <v>57</v>
      </c>
      <c r="E49" s="86"/>
      <c r="F49" s="86"/>
      <c r="G49" s="87"/>
      <c r="H49" s="86"/>
      <c r="I49" s="87"/>
      <c r="J49" s="86"/>
      <c r="K49" s="88"/>
      <c r="L49" s="88"/>
      <c r="M49" s="94"/>
      <c r="N49" s="86"/>
      <c r="O49" s="95"/>
      <c r="P49" s="95"/>
    </row>
    <row r="50" spans="1:16" s="89" customFormat="1" ht="27" customHeight="1" x14ac:dyDescent="0.55000000000000004">
      <c r="A50" s="47"/>
      <c r="B50" s="90"/>
      <c r="C50" s="91"/>
      <c r="D50" s="85" t="s">
        <v>57</v>
      </c>
      <c r="E50" s="86"/>
      <c r="F50" s="86"/>
      <c r="G50" s="87"/>
      <c r="H50" s="86"/>
      <c r="I50" s="87"/>
      <c r="J50" s="86"/>
      <c r="K50" s="88"/>
      <c r="L50" s="88"/>
      <c r="M50" s="94"/>
      <c r="N50" s="86"/>
      <c r="O50" s="95"/>
      <c r="P50" s="95"/>
    </row>
    <row r="51" spans="1:16" s="89" customFormat="1" ht="27" customHeight="1" x14ac:dyDescent="0.55000000000000004">
      <c r="A51" s="47"/>
      <c r="B51" s="90"/>
      <c r="C51" s="91"/>
      <c r="D51" s="85" t="s">
        <v>57</v>
      </c>
      <c r="E51" s="86"/>
      <c r="F51" s="86"/>
      <c r="G51" s="87"/>
      <c r="H51" s="86"/>
      <c r="I51" s="87"/>
      <c r="J51" s="86"/>
      <c r="K51" s="88"/>
      <c r="L51" s="88"/>
      <c r="M51" s="94"/>
      <c r="N51" s="86"/>
      <c r="O51" s="95"/>
      <c r="P51" s="95"/>
    </row>
    <row r="52" spans="1:16" s="89" customFormat="1" ht="27" customHeight="1" x14ac:dyDescent="0.55000000000000004">
      <c r="A52" s="47"/>
      <c r="B52" s="90"/>
      <c r="C52" s="91"/>
      <c r="D52" s="85" t="s">
        <v>57</v>
      </c>
      <c r="E52" s="86"/>
      <c r="F52" s="86"/>
      <c r="G52" s="87"/>
      <c r="H52" s="86"/>
      <c r="I52" s="87"/>
      <c r="J52" s="86"/>
      <c r="K52" s="88"/>
      <c r="L52" s="88"/>
      <c r="M52" s="94"/>
      <c r="N52" s="86"/>
      <c r="O52" s="95"/>
      <c r="P52" s="95"/>
    </row>
    <row r="59" spans="1:16" ht="26.15" customHeight="1" thickBot="1" x14ac:dyDescent="0.6">
      <c r="C59" s="37" t="s">
        <v>38</v>
      </c>
    </row>
    <row r="60" spans="1:16" s="27" customFormat="1" ht="27" customHeight="1" thickBot="1" x14ac:dyDescent="0.6">
      <c r="A60" s="96"/>
      <c r="B60" s="97"/>
      <c r="C60" s="98"/>
      <c r="D60" s="98"/>
      <c r="E60" s="99" t="s">
        <v>61</v>
      </c>
      <c r="F60" s="100"/>
      <c r="G60" s="101"/>
      <c r="H60" s="102"/>
      <c r="I60" s="103"/>
      <c r="J60" s="53"/>
      <c r="K60" s="119"/>
      <c r="L60" s="104"/>
      <c r="M60" s="105"/>
      <c r="N60" s="53"/>
      <c r="O60" s="106"/>
      <c r="P60" s="106"/>
    </row>
    <row r="61" spans="1:16" s="49" customFormat="1" ht="27" customHeight="1" x14ac:dyDescent="0.25">
      <c r="A61" s="107"/>
      <c r="B61" s="108"/>
      <c r="C61" s="109"/>
      <c r="D61" s="110"/>
      <c r="E61" s="111"/>
      <c r="F61" s="112"/>
      <c r="G61" s="113"/>
      <c r="H61" s="114"/>
      <c r="I61" s="115"/>
      <c r="J61" s="114"/>
      <c r="K61" s="116"/>
      <c r="L61" s="116"/>
      <c r="M61" s="117"/>
      <c r="N61" s="111"/>
      <c r="O61" s="118"/>
      <c r="P61" s="118"/>
    </row>
  </sheetData>
  <phoneticPr fontId="1"/>
  <conditionalFormatting sqref="A53:A59 A62:A48535">
    <cfRule type="containsText" dxfId="9" priority="13" operator="containsText" text="個別">
      <formula>NOT(ISERROR(SEARCH("個別",A53)))</formula>
    </cfRule>
    <cfRule type="containsText" dxfId="8" priority="14" operator="containsText" text="特殊">
      <formula>NOT(ISERROR(SEARCH("特殊",A53)))</formula>
    </cfRule>
  </conditionalFormatting>
  <conditionalFormatting sqref="A3:A5">
    <cfRule type="containsText" dxfId="7" priority="9" operator="containsText" text="個別">
      <formula>NOT(ISERROR(SEARCH("個別",A3)))</formula>
    </cfRule>
    <cfRule type="containsText" dxfId="6" priority="10" operator="containsText" text="特殊">
      <formula>NOT(ISERROR(SEARCH("特殊",A3)))</formula>
    </cfRule>
  </conditionalFormatting>
  <conditionalFormatting sqref="A6:A52">
    <cfRule type="containsText" dxfId="5" priority="7" operator="containsText" text="個別">
      <formula>NOT(ISERROR(SEARCH("個別",A6)))</formula>
    </cfRule>
    <cfRule type="containsText" dxfId="4" priority="8" operator="containsText" text="特殊">
      <formula>NOT(ISERROR(SEARCH("特殊",A6)))</formula>
    </cfRule>
  </conditionalFormatting>
  <conditionalFormatting sqref="A1:A2">
    <cfRule type="containsText" dxfId="3" priority="3" operator="containsText" text="個別">
      <formula>NOT(ISERROR(SEARCH("個別",A1)))</formula>
    </cfRule>
    <cfRule type="containsText" dxfId="2" priority="4" operator="containsText" text="特殊">
      <formula>NOT(ISERROR(SEARCH("特殊",A1)))</formula>
    </cfRule>
  </conditionalFormatting>
  <conditionalFormatting sqref="A60:A61">
    <cfRule type="containsText" dxfId="1" priority="1" operator="containsText" text="個別">
      <formula>NOT(ISERROR(SEARCH("個別",A60)))</formula>
    </cfRule>
    <cfRule type="containsText" dxfId="0" priority="2" operator="containsText" text="特殊">
      <formula>NOT(ISERROR(SEARCH("特殊",A60)))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576B-5B80-4A35-AC21-D0091290F13E}">
  <sheetPr codeName="Sheet_ZissouShiji">
    <pageSetUpPr fitToPage="1"/>
  </sheetPr>
  <dimension ref="A1:N88"/>
  <sheetViews>
    <sheetView zoomScale="85" zoomScaleNormal="85" zoomScalePageLayoutView="70" workbookViewId="0"/>
  </sheetViews>
  <sheetFormatPr defaultRowHeight="18" x14ac:dyDescent="0.55000000000000004"/>
  <cols>
    <col min="1" max="1" width="30.75" customWidth="1"/>
    <col min="2" max="2" width="15.58203125" bestFit="1" customWidth="1"/>
    <col min="3" max="3" width="23.83203125" customWidth="1"/>
    <col min="4" max="4" width="17.58203125" style="23" bestFit="1" customWidth="1"/>
    <col min="5" max="5" width="22.5" bestFit="1" customWidth="1"/>
    <col min="6" max="6" width="20.5" customWidth="1"/>
    <col min="7" max="7" width="13.75" customWidth="1"/>
    <col min="8" max="8" width="15.33203125" customWidth="1"/>
    <col min="9" max="9" width="7.58203125" bestFit="1" customWidth="1"/>
    <col min="10" max="10" width="7.58203125" customWidth="1"/>
  </cols>
  <sheetData>
    <row r="1" spans="1:14" ht="24.5" x14ac:dyDescent="0.3">
      <c r="A1" s="50"/>
      <c r="B1" s="50"/>
      <c r="C1" s="64" t="s">
        <v>50</v>
      </c>
      <c r="D1" s="34"/>
      <c r="E1" s="25"/>
      <c r="F1" s="25"/>
      <c r="G1" s="25"/>
      <c r="H1" s="25"/>
      <c r="I1" s="25"/>
      <c r="J1" s="25"/>
      <c r="K1" s="26"/>
      <c r="L1" s="26"/>
      <c r="M1" s="27"/>
      <c r="N1" s="26"/>
    </row>
    <row r="2" spans="1:14" ht="14.25" customHeight="1" x14ac:dyDescent="0.55000000000000004">
      <c r="A2" s="53" t="s">
        <v>23</v>
      </c>
      <c r="B2" s="54" t="s">
        <v>24</v>
      </c>
      <c r="C2" s="55" t="s">
        <v>25</v>
      </c>
      <c r="D2" s="56" t="s">
        <v>26</v>
      </c>
      <c r="E2" s="51" t="s">
        <v>27</v>
      </c>
      <c r="F2" s="29" t="s">
        <v>28</v>
      </c>
      <c r="G2" s="28" t="s">
        <v>29</v>
      </c>
      <c r="H2" s="29" t="s">
        <v>30</v>
      </c>
      <c r="I2" s="29" t="s">
        <v>37</v>
      </c>
      <c r="J2" s="29" t="s">
        <v>31</v>
      </c>
      <c r="K2" s="27"/>
      <c r="L2" s="27"/>
      <c r="M2" s="27"/>
      <c r="N2" s="27"/>
    </row>
    <row r="3" spans="1:14" ht="23.5" x14ac:dyDescent="0.55000000000000004">
      <c r="A3" s="57"/>
      <c r="B3" s="57"/>
      <c r="C3" s="58" t="str">
        <f>job!F5</f>
        <v>***</v>
      </c>
      <c r="D3" s="59"/>
      <c r="E3" s="30"/>
      <c r="F3" s="30"/>
      <c r="G3" s="30"/>
      <c r="H3" s="30"/>
      <c r="I3" s="30"/>
      <c r="J3" s="30"/>
    </row>
    <row r="4" spans="1:14" ht="24.5" x14ac:dyDescent="0.55000000000000004">
      <c r="A4" s="60"/>
      <c r="B4" s="60"/>
      <c r="C4" s="61"/>
      <c r="D4" s="62"/>
      <c r="E4" s="52"/>
      <c r="F4" s="32"/>
      <c r="G4" s="33"/>
      <c r="H4" s="33"/>
      <c r="I4" s="33"/>
      <c r="J4" s="33"/>
    </row>
    <row r="5" spans="1:14" ht="24.5" x14ac:dyDescent="0.55000000000000004">
      <c r="A5" s="60"/>
      <c r="B5" s="60"/>
      <c r="C5" s="61"/>
      <c r="D5" s="62"/>
      <c r="E5" s="52"/>
      <c r="F5" s="32"/>
      <c r="G5" s="33"/>
      <c r="H5" s="33"/>
      <c r="I5" s="33"/>
      <c r="J5" s="33"/>
    </row>
    <row r="6" spans="1:14" ht="24.5" x14ac:dyDescent="0.55000000000000004">
      <c r="A6" s="60"/>
      <c r="B6" s="60"/>
      <c r="C6" s="61"/>
      <c r="D6" s="62"/>
      <c r="E6" s="52"/>
      <c r="F6" s="32"/>
      <c r="G6" s="33"/>
      <c r="H6" s="33"/>
      <c r="I6" s="33"/>
      <c r="J6" s="33"/>
    </row>
    <row r="7" spans="1:14" ht="24.5" x14ac:dyDescent="0.55000000000000004">
      <c r="A7" s="60"/>
      <c r="B7" s="60"/>
      <c r="C7" s="61"/>
      <c r="D7" s="62"/>
      <c r="E7" s="52"/>
      <c r="F7" s="32"/>
      <c r="G7" s="33"/>
      <c r="H7" s="33"/>
      <c r="I7" s="33"/>
      <c r="J7" s="33"/>
    </row>
    <row r="8" spans="1:14" ht="24.5" x14ac:dyDescent="0.55000000000000004">
      <c r="A8" s="24"/>
      <c r="B8" s="24"/>
      <c r="C8" s="31"/>
      <c r="D8" s="35"/>
      <c r="E8" s="31"/>
      <c r="F8" s="32"/>
      <c r="G8" s="33"/>
      <c r="H8" s="33"/>
      <c r="I8" s="33"/>
      <c r="J8" s="33"/>
    </row>
    <row r="9" spans="1:14" ht="24.5" x14ac:dyDescent="0.55000000000000004">
      <c r="A9" s="24"/>
      <c r="B9" s="24"/>
      <c r="C9" s="31"/>
      <c r="D9" s="35"/>
      <c r="E9" s="31"/>
      <c r="F9" s="32"/>
      <c r="G9" s="33"/>
      <c r="H9" s="33"/>
      <c r="I9" s="33"/>
      <c r="J9" s="33"/>
    </row>
    <row r="10" spans="1:14" ht="24.5" x14ac:dyDescent="0.55000000000000004">
      <c r="A10" s="24"/>
      <c r="B10" s="24"/>
      <c r="C10" s="31"/>
      <c r="D10" s="35"/>
      <c r="E10" s="31"/>
      <c r="F10" s="32"/>
      <c r="G10" s="33"/>
      <c r="H10" s="33"/>
      <c r="I10" s="33"/>
      <c r="J10" s="33"/>
    </row>
    <row r="11" spans="1:14" ht="24.5" x14ac:dyDescent="0.55000000000000004">
      <c r="A11" s="24"/>
      <c r="B11" s="24"/>
      <c r="C11" s="31"/>
      <c r="D11" s="35"/>
      <c r="E11" s="31"/>
      <c r="F11" s="32"/>
      <c r="G11" s="33"/>
      <c r="H11" s="33"/>
      <c r="I11" s="33"/>
      <c r="J11" s="33"/>
    </row>
    <row r="12" spans="1:14" ht="24.5" x14ac:dyDescent="0.55000000000000004">
      <c r="A12" s="24"/>
      <c r="B12" s="24"/>
      <c r="C12" s="31"/>
      <c r="D12" s="35"/>
      <c r="E12" s="31"/>
      <c r="F12" s="32"/>
      <c r="G12" s="33"/>
      <c r="H12" s="33"/>
      <c r="I12" s="33"/>
      <c r="J12" s="33"/>
    </row>
    <row r="13" spans="1:14" ht="24.5" x14ac:dyDescent="0.55000000000000004">
      <c r="A13" s="24"/>
      <c r="B13" s="24"/>
      <c r="C13" s="31"/>
      <c r="D13" s="35"/>
      <c r="E13" s="31"/>
      <c r="F13" s="32"/>
      <c r="G13" s="33"/>
      <c r="H13" s="33"/>
      <c r="I13" s="33"/>
      <c r="J13" s="33"/>
    </row>
    <row r="14" spans="1:14" ht="24.5" x14ac:dyDescent="0.55000000000000004">
      <c r="A14" s="24"/>
      <c r="B14" s="24"/>
      <c r="C14" s="31"/>
      <c r="D14" s="35"/>
      <c r="E14" s="31"/>
      <c r="F14" s="32"/>
      <c r="G14" s="33"/>
      <c r="H14" s="33"/>
      <c r="I14" s="33"/>
      <c r="J14" s="33"/>
    </row>
    <row r="15" spans="1:14" ht="24.5" x14ac:dyDescent="0.55000000000000004">
      <c r="A15" s="24"/>
      <c r="B15" s="24"/>
      <c r="C15" s="31"/>
      <c r="D15" s="35"/>
      <c r="E15" s="31"/>
      <c r="F15" s="32"/>
      <c r="G15" s="33"/>
      <c r="H15" s="33"/>
      <c r="I15" s="33"/>
      <c r="J15" s="33"/>
    </row>
    <row r="16" spans="1:14" ht="24.5" x14ac:dyDescent="0.55000000000000004">
      <c r="A16" s="24"/>
      <c r="B16" s="24"/>
      <c r="C16" s="31"/>
      <c r="D16" s="35"/>
      <c r="E16" s="31"/>
      <c r="F16" s="32"/>
      <c r="G16" s="33"/>
      <c r="H16" s="33"/>
      <c r="I16" s="33"/>
      <c r="J16" s="33"/>
    </row>
    <row r="17" spans="1:10" ht="24.5" x14ac:dyDescent="0.55000000000000004">
      <c r="A17" s="24"/>
      <c r="B17" s="24"/>
      <c r="C17" s="31"/>
      <c r="D17" s="35"/>
      <c r="E17" s="31"/>
      <c r="F17" s="32"/>
      <c r="G17" s="33"/>
      <c r="H17" s="33"/>
      <c r="I17" s="33"/>
      <c r="J17" s="33"/>
    </row>
    <row r="18" spans="1:10" ht="24.5" x14ac:dyDescent="0.55000000000000004">
      <c r="A18" s="24"/>
      <c r="B18" s="24"/>
      <c r="C18" s="31"/>
      <c r="D18" s="35"/>
      <c r="E18" s="31"/>
      <c r="F18" s="32"/>
      <c r="G18" s="33"/>
      <c r="H18" s="33"/>
      <c r="I18" s="33"/>
      <c r="J18" s="33"/>
    </row>
    <row r="19" spans="1:10" ht="24.5" x14ac:dyDescent="0.55000000000000004">
      <c r="A19" s="24"/>
      <c r="B19" s="24"/>
      <c r="C19" s="31"/>
      <c r="D19" s="35"/>
      <c r="E19" s="31"/>
      <c r="F19" s="32"/>
      <c r="G19" s="33"/>
      <c r="H19" s="33"/>
      <c r="I19" s="33"/>
      <c r="J19" s="33"/>
    </row>
    <row r="20" spans="1:10" ht="24.5" x14ac:dyDescent="0.55000000000000004">
      <c r="A20" s="24"/>
      <c r="B20" s="24"/>
      <c r="C20" s="31"/>
      <c r="D20" s="35"/>
      <c r="E20" s="31"/>
      <c r="F20" s="32"/>
      <c r="G20" s="33"/>
      <c r="H20" s="33"/>
      <c r="I20" s="33"/>
      <c r="J20" s="33"/>
    </row>
    <row r="21" spans="1:10" ht="24.5" x14ac:dyDescent="0.55000000000000004">
      <c r="A21" s="24"/>
      <c r="B21" s="24"/>
      <c r="C21" s="31"/>
      <c r="D21" s="35"/>
      <c r="E21" s="31"/>
      <c r="F21" s="32"/>
      <c r="G21" s="33"/>
      <c r="H21" s="33"/>
      <c r="I21" s="33"/>
      <c r="J21" s="33"/>
    </row>
    <row r="22" spans="1:10" ht="24.5" x14ac:dyDescent="0.55000000000000004">
      <c r="A22" s="24"/>
      <c r="B22" s="24"/>
      <c r="C22" s="31"/>
      <c r="D22" s="35"/>
      <c r="E22" s="31"/>
      <c r="F22" s="32"/>
      <c r="G22" s="33"/>
      <c r="H22" s="33"/>
      <c r="I22" s="33"/>
      <c r="J22" s="33"/>
    </row>
    <row r="23" spans="1:10" ht="24.5" x14ac:dyDescent="0.55000000000000004">
      <c r="A23" s="24"/>
      <c r="B23" s="24"/>
      <c r="C23" s="31"/>
      <c r="D23" s="35"/>
      <c r="E23" s="31"/>
      <c r="F23" s="32"/>
      <c r="G23" s="33"/>
      <c r="H23" s="33"/>
      <c r="I23" s="33"/>
      <c r="J23" s="33"/>
    </row>
    <row r="24" spans="1:10" ht="24.5" x14ac:dyDescent="0.55000000000000004">
      <c r="A24" s="24"/>
      <c r="B24" s="24"/>
      <c r="C24" s="31"/>
      <c r="D24" s="35"/>
      <c r="E24" s="31"/>
      <c r="F24" s="32"/>
      <c r="G24" s="33"/>
      <c r="H24" s="33"/>
      <c r="I24" s="33"/>
      <c r="J24" s="33"/>
    </row>
    <row r="25" spans="1:10" ht="24.5" x14ac:dyDescent="0.55000000000000004">
      <c r="A25" s="24"/>
      <c r="B25" s="24"/>
      <c r="C25" s="31"/>
      <c r="D25" s="35"/>
      <c r="E25" s="31"/>
      <c r="F25" s="32"/>
      <c r="G25" s="33"/>
      <c r="H25" s="33"/>
      <c r="I25" s="33"/>
      <c r="J25" s="33"/>
    </row>
    <row r="26" spans="1:10" ht="24.5" x14ac:dyDescent="0.55000000000000004">
      <c r="A26" s="24"/>
      <c r="B26" s="24"/>
      <c r="C26" s="31"/>
      <c r="D26" s="35"/>
      <c r="E26" s="31"/>
      <c r="F26" s="32"/>
      <c r="G26" s="33"/>
      <c r="H26" s="33"/>
      <c r="I26" s="33"/>
      <c r="J26" s="33"/>
    </row>
    <row r="27" spans="1:10" ht="24.5" x14ac:dyDescent="0.55000000000000004">
      <c r="A27" s="24"/>
      <c r="B27" s="24"/>
      <c r="C27" s="31"/>
      <c r="D27" s="35"/>
      <c r="E27" s="31"/>
      <c r="F27" s="32"/>
      <c r="G27" s="33"/>
      <c r="H27" s="33"/>
      <c r="I27" s="33"/>
      <c r="J27" s="33"/>
    </row>
    <row r="28" spans="1:10" ht="24.5" x14ac:dyDescent="0.55000000000000004">
      <c r="A28" s="24"/>
      <c r="B28" s="24"/>
      <c r="C28" s="31"/>
      <c r="D28" s="35"/>
      <c r="E28" s="31"/>
      <c r="F28" s="32"/>
      <c r="G28" s="33"/>
      <c r="H28" s="33"/>
      <c r="I28" s="33"/>
      <c r="J28" s="33"/>
    </row>
    <row r="29" spans="1:10" ht="24.5" x14ac:dyDescent="0.55000000000000004">
      <c r="A29" s="24"/>
      <c r="B29" s="24"/>
      <c r="C29" s="31"/>
      <c r="D29" s="35"/>
      <c r="E29" s="31"/>
      <c r="F29" s="32"/>
      <c r="G29" s="33"/>
      <c r="H29" s="33"/>
      <c r="I29" s="33"/>
      <c r="J29" s="33"/>
    </row>
    <row r="30" spans="1:10" ht="24.5" x14ac:dyDescent="0.55000000000000004">
      <c r="A30" s="24"/>
      <c r="B30" s="24"/>
      <c r="C30" s="31"/>
      <c r="D30" s="35"/>
      <c r="E30" s="31"/>
      <c r="F30" s="32"/>
      <c r="G30" s="33"/>
      <c r="H30" s="33"/>
      <c r="I30" s="33"/>
      <c r="J30" s="33"/>
    </row>
    <row r="31" spans="1:10" ht="24.5" x14ac:dyDescent="0.55000000000000004">
      <c r="A31" s="24"/>
      <c r="B31" s="24"/>
      <c r="C31" s="31"/>
      <c r="D31" s="35"/>
      <c r="E31" s="31"/>
      <c r="F31" s="32"/>
      <c r="G31" s="33"/>
      <c r="H31" s="33"/>
      <c r="I31" s="33"/>
      <c r="J31" s="33"/>
    </row>
    <row r="32" spans="1:10" ht="24.5" x14ac:dyDescent="0.55000000000000004">
      <c r="A32" s="24"/>
      <c r="B32" s="24"/>
      <c r="C32" s="31"/>
      <c r="D32" s="35"/>
      <c r="E32" s="31"/>
      <c r="F32" s="32"/>
      <c r="G32" s="33"/>
      <c r="H32" s="33"/>
      <c r="I32" s="33"/>
      <c r="J32" s="33"/>
    </row>
    <row r="33" spans="1:10" ht="24.5" x14ac:dyDescent="0.55000000000000004">
      <c r="A33" s="24"/>
      <c r="B33" s="24"/>
      <c r="C33" s="31"/>
      <c r="D33" s="35"/>
      <c r="E33" s="31"/>
      <c r="F33" s="32"/>
      <c r="G33" s="33"/>
      <c r="H33" s="33"/>
      <c r="I33" s="33"/>
      <c r="J33" s="33"/>
    </row>
    <row r="34" spans="1:10" ht="24.5" x14ac:dyDescent="0.55000000000000004">
      <c r="A34" s="24"/>
      <c r="B34" s="24"/>
      <c r="C34" s="31"/>
      <c r="D34" s="36"/>
      <c r="E34" s="31"/>
      <c r="F34" s="32"/>
      <c r="G34" s="33"/>
      <c r="H34" s="33"/>
      <c r="I34" s="33"/>
      <c r="J34" s="33"/>
    </row>
    <row r="35" spans="1:10" ht="24.5" x14ac:dyDescent="0.55000000000000004">
      <c r="A35" s="24"/>
      <c r="B35" s="24"/>
      <c r="C35" s="31"/>
      <c r="D35" s="36"/>
      <c r="E35" s="31"/>
      <c r="F35" s="32"/>
      <c r="G35" s="33"/>
      <c r="H35" s="33"/>
      <c r="I35" s="33"/>
      <c r="J35" s="33"/>
    </row>
    <row r="36" spans="1:10" ht="24.5" x14ac:dyDescent="0.55000000000000004">
      <c r="A36" s="24"/>
      <c r="B36" s="24"/>
      <c r="C36" s="31"/>
      <c r="D36" s="35"/>
      <c r="E36" s="31"/>
      <c r="F36" s="32"/>
      <c r="G36" s="33"/>
      <c r="H36" s="33"/>
      <c r="I36" s="33"/>
      <c r="J36" s="33"/>
    </row>
    <row r="37" spans="1:10" ht="24.5" x14ac:dyDescent="0.55000000000000004">
      <c r="A37" s="24"/>
      <c r="B37" s="24"/>
      <c r="C37" s="31"/>
      <c r="D37" s="35"/>
      <c r="E37" s="31"/>
      <c r="F37" s="32"/>
      <c r="G37" s="33"/>
      <c r="H37" s="33"/>
      <c r="I37" s="33"/>
      <c r="J37" s="33"/>
    </row>
    <row r="38" spans="1:10" ht="24.5" x14ac:dyDescent="0.55000000000000004">
      <c r="A38" s="24"/>
      <c r="B38" s="24"/>
      <c r="C38" s="31"/>
      <c r="D38" s="35"/>
      <c r="E38" s="31"/>
      <c r="F38" s="32"/>
      <c r="G38" s="33"/>
      <c r="H38" s="33"/>
      <c r="I38" s="33"/>
      <c r="J38" s="33"/>
    </row>
    <row r="39" spans="1:10" ht="24.5" x14ac:dyDescent="0.55000000000000004">
      <c r="A39" s="24"/>
      <c r="B39" s="24"/>
      <c r="C39" s="31"/>
      <c r="D39" s="35"/>
      <c r="E39" s="31"/>
      <c r="F39" s="32"/>
      <c r="G39" s="33"/>
      <c r="H39" s="33"/>
      <c r="I39" s="33"/>
      <c r="J39" s="33"/>
    </row>
    <row r="40" spans="1:10" ht="24.5" x14ac:dyDescent="0.55000000000000004">
      <c r="A40" s="24"/>
      <c r="B40" s="24"/>
      <c r="C40" s="31"/>
      <c r="D40" s="35"/>
      <c r="E40" s="31"/>
      <c r="F40" s="32"/>
      <c r="G40" s="33"/>
      <c r="H40" s="33"/>
      <c r="I40" s="33"/>
      <c r="J40" s="33"/>
    </row>
    <row r="41" spans="1:10" ht="24.5" x14ac:dyDescent="0.55000000000000004">
      <c r="A41" s="24"/>
      <c r="B41" s="24"/>
      <c r="C41" s="31"/>
      <c r="D41" s="35"/>
      <c r="E41" s="31"/>
      <c r="F41" s="32"/>
      <c r="G41" s="33"/>
      <c r="H41" s="33"/>
      <c r="I41" s="33"/>
      <c r="J41" s="33"/>
    </row>
    <row r="42" spans="1:10" ht="24.5" x14ac:dyDescent="0.55000000000000004">
      <c r="A42" s="24"/>
      <c r="B42" s="24"/>
      <c r="C42" s="31"/>
      <c r="D42" s="35"/>
      <c r="E42" s="31"/>
      <c r="F42" s="32"/>
      <c r="G42" s="33"/>
      <c r="H42" s="33"/>
      <c r="I42" s="33"/>
      <c r="J42" s="33"/>
    </row>
    <row r="43" spans="1:10" ht="24.5" x14ac:dyDescent="0.55000000000000004">
      <c r="A43" s="24"/>
      <c r="B43" s="24"/>
      <c r="C43" s="31"/>
      <c r="D43" s="35"/>
      <c r="E43" s="31"/>
      <c r="F43" s="32"/>
      <c r="G43" s="33"/>
      <c r="H43" s="33"/>
      <c r="I43" s="33"/>
      <c r="J43" s="33"/>
    </row>
    <row r="44" spans="1:10" ht="24.5" x14ac:dyDescent="0.55000000000000004">
      <c r="A44" s="24"/>
      <c r="B44" s="24"/>
      <c r="C44" s="31"/>
      <c r="D44" s="35"/>
      <c r="E44" s="31"/>
      <c r="F44" s="32"/>
      <c r="G44" s="33"/>
      <c r="H44" s="33"/>
      <c r="I44" s="33"/>
      <c r="J44" s="33"/>
    </row>
    <row r="45" spans="1:10" ht="24.5" x14ac:dyDescent="0.55000000000000004">
      <c r="A45" s="24"/>
      <c r="B45" s="24"/>
      <c r="C45" s="31"/>
      <c r="D45" s="35"/>
      <c r="E45" s="31"/>
      <c r="F45" s="32"/>
      <c r="G45" s="33"/>
      <c r="H45" s="33"/>
      <c r="I45" s="33"/>
      <c r="J45" s="33"/>
    </row>
    <row r="46" spans="1:10" ht="24.5" x14ac:dyDescent="0.55000000000000004">
      <c r="A46" s="24"/>
      <c r="B46" s="24"/>
      <c r="C46" s="31"/>
      <c r="D46" s="35"/>
      <c r="E46" s="31"/>
      <c r="F46" s="32"/>
      <c r="G46" s="33"/>
      <c r="H46" s="33"/>
      <c r="I46" s="33"/>
      <c r="J46" s="33"/>
    </row>
    <row r="47" spans="1:10" ht="24.5" x14ac:dyDescent="0.55000000000000004">
      <c r="A47" s="24"/>
      <c r="B47" s="24"/>
      <c r="C47" s="31"/>
      <c r="D47" s="35"/>
      <c r="E47" s="31"/>
      <c r="F47" s="32"/>
      <c r="G47" s="33"/>
      <c r="H47" s="33"/>
      <c r="I47" s="33"/>
      <c r="J47" s="33"/>
    </row>
    <row r="48" spans="1:10" ht="24.5" x14ac:dyDescent="0.55000000000000004">
      <c r="A48" s="24"/>
      <c r="B48" s="24"/>
      <c r="C48" s="31"/>
      <c r="D48" s="35"/>
      <c r="E48" s="31"/>
      <c r="F48" s="32"/>
      <c r="G48" s="33"/>
      <c r="H48" s="33"/>
      <c r="I48" s="33"/>
      <c r="J48" s="33"/>
    </row>
    <row r="49" spans="1:10" ht="24.5" x14ac:dyDescent="0.55000000000000004">
      <c r="A49" s="24"/>
      <c r="B49" s="24"/>
      <c r="C49" s="31"/>
      <c r="D49" s="35"/>
      <c r="E49" s="31"/>
      <c r="F49" s="32"/>
      <c r="G49" s="33"/>
      <c r="H49" s="33"/>
      <c r="I49" s="33"/>
      <c r="J49" s="33"/>
    </row>
    <row r="50" spans="1:10" ht="24.5" x14ac:dyDescent="0.55000000000000004">
      <c r="A50" s="24"/>
      <c r="B50" s="24"/>
      <c r="C50" s="31"/>
      <c r="D50" s="35"/>
      <c r="E50" s="31"/>
      <c r="F50" s="32"/>
      <c r="G50" s="33"/>
      <c r="H50" s="33"/>
      <c r="I50" s="33"/>
      <c r="J50" s="33"/>
    </row>
    <row r="51" spans="1:10" ht="24.5" x14ac:dyDescent="0.55000000000000004">
      <c r="A51" s="24"/>
      <c r="B51" s="24"/>
      <c r="C51" s="31"/>
      <c r="D51" s="35"/>
      <c r="E51" s="31"/>
      <c r="F51" s="32"/>
      <c r="G51" s="33"/>
      <c r="H51" s="33"/>
      <c r="I51" s="33"/>
      <c r="J51" s="33"/>
    </row>
    <row r="52" spans="1:10" ht="24.5" x14ac:dyDescent="0.55000000000000004">
      <c r="A52" s="24"/>
      <c r="B52" s="24"/>
      <c r="C52" s="31"/>
      <c r="D52" s="35"/>
      <c r="E52" s="31"/>
      <c r="F52" s="32"/>
      <c r="G52" s="33"/>
      <c r="H52" s="33"/>
      <c r="I52" s="33"/>
      <c r="J52" s="33"/>
    </row>
    <row r="53" spans="1:10" ht="24.5" x14ac:dyDescent="0.55000000000000004">
      <c r="A53" s="24"/>
      <c r="B53" s="24"/>
      <c r="C53" s="31"/>
      <c r="D53" s="35"/>
      <c r="E53" s="31"/>
      <c r="F53" s="32"/>
      <c r="G53" s="33"/>
      <c r="H53" s="33"/>
      <c r="I53" s="33"/>
      <c r="J53" s="33"/>
    </row>
    <row r="54" spans="1:10" ht="24.5" x14ac:dyDescent="0.55000000000000004">
      <c r="A54" s="24"/>
      <c r="B54" s="24"/>
      <c r="C54" s="31"/>
      <c r="D54" s="35"/>
      <c r="E54" s="31"/>
      <c r="F54" s="32"/>
      <c r="G54" s="33"/>
      <c r="H54" s="33"/>
      <c r="I54" s="33"/>
      <c r="J54" s="33"/>
    </row>
    <row r="55" spans="1:10" ht="24.5" x14ac:dyDescent="0.55000000000000004">
      <c r="A55" s="24"/>
      <c r="B55" s="24"/>
      <c r="C55" s="31"/>
      <c r="D55" s="35"/>
      <c r="E55" s="31"/>
      <c r="F55" s="32"/>
      <c r="G55" s="33"/>
      <c r="H55" s="33"/>
      <c r="I55" s="33"/>
      <c r="J55" s="33"/>
    </row>
    <row r="56" spans="1:10" ht="24.5" x14ac:dyDescent="0.55000000000000004">
      <c r="A56" s="24"/>
      <c r="B56" s="24"/>
      <c r="C56" s="31"/>
      <c r="D56" s="35"/>
      <c r="E56" s="31"/>
      <c r="F56" s="32"/>
      <c r="G56" s="33"/>
      <c r="H56" s="33"/>
      <c r="I56" s="33"/>
      <c r="J56" s="33"/>
    </row>
    <row r="57" spans="1:10" ht="24.5" x14ac:dyDescent="0.55000000000000004">
      <c r="A57" s="24"/>
      <c r="B57" s="24"/>
      <c r="C57" s="31"/>
      <c r="D57" s="35"/>
      <c r="E57" s="31"/>
      <c r="F57" s="32"/>
      <c r="G57" s="33"/>
      <c r="H57" s="33"/>
      <c r="I57" s="33"/>
      <c r="J57" s="33"/>
    </row>
    <row r="58" spans="1:10" ht="24.5" x14ac:dyDescent="0.55000000000000004">
      <c r="A58" s="24"/>
      <c r="B58" s="24"/>
      <c r="C58" s="31"/>
      <c r="D58" s="35"/>
      <c r="E58" s="31"/>
      <c r="F58" s="32"/>
      <c r="G58" s="33"/>
      <c r="H58" s="33"/>
      <c r="I58" s="33"/>
      <c r="J58" s="33"/>
    </row>
    <row r="59" spans="1:10" ht="24.5" x14ac:dyDescent="0.55000000000000004">
      <c r="A59" s="24"/>
      <c r="B59" s="24"/>
      <c r="C59" s="31"/>
      <c r="D59" s="35"/>
      <c r="E59" s="31"/>
      <c r="F59" s="32"/>
      <c r="G59" s="33"/>
      <c r="H59" s="33"/>
      <c r="I59" s="33"/>
      <c r="J59" s="33"/>
    </row>
    <row r="60" spans="1:10" ht="24.5" x14ac:dyDescent="0.55000000000000004">
      <c r="A60" s="24"/>
      <c r="B60" s="24"/>
      <c r="C60" s="31"/>
      <c r="D60" s="35"/>
      <c r="E60" s="31"/>
      <c r="F60" s="32"/>
      <c r="G60" s="33"/>
      <c r="H60" s="33"/>
      <c r="I60" s="33"/>
      <c r="J60" s="33"/>
    </row>
    <row r="61" spans="1:10" ht="24.5" x14ac:dyDescent="0.55000000000000004">
      <c r="A61" s="24"/>
      <c r="B61" s="24"/>
      <c r="C61" s="31"/>
      <c r="D61" s="35"/>
      <c r="E61" s="31"/>
      <c r="F61" s="32"/>
      <c r="G61" s="33"/>
      <c r="H61" s="33"/>
      <c r="I61" s="33"/>
      <c r="J61" s="33"/>
    </row>
    <row r="62" spans="1:10" ht="24.5" x14ac:dyDescent="0.55000000000000004">
      <c r="A62" s="24"/>
      <c r="B62" s="24"/>
      <c r="C62" s="31"/>
      <c r="D62" s="35"/>
      <c r="E62" s="31"/>
      <c r="F62" s="32"/>
      <c r="G62" s="33"/>
      <c r="H62" s="33"/>
      <c r="I62" s="33"/>
      <c r="J62" s="33"/>
    </row>
    <row r="63" spans="1:10" ht="24.5" x14ac:dyDescent="0.55000000000000004">
      <c r="A63" s="24"/>
      <c r="B63" s="24"/>
      <c r="C63" s="31"/>
      <c r="D63" s="35"/>
      <c r="E63" s="31"/>
      <c r="F63" s="32"/>
      <c r="G63" s="33"/>
      <c r="H63" s="33"/>
      <c r="I63" s="33"/>
      <c r="J63" s="33"/>
    </row>
    <row r="64" spans="1:10" ht="24.5" x14ac:dyDescent="0.55000000000000004">
      <c r="A64" s="24"/>
      <c r="B64" s="24"/>
      <c r="C64" s="31"/>
      <c r="D64" s="35"/>
      <c r="E64" s="31"/>
      <c r="F64" s="32"/>
      <c r="G64" s="33"/>
      <c r="H64" s="33"/>
      <c r="I64" s="33"/>
      <c r="J64" s="33"/>
    </row>
    <row r="65" spans="1:10" ht="24.5" x14ac:dyDescent="0.55000000000000004">
      <c r="A65" s="24"/>
      <c r="B65" s="24"/>
      <c r="C65" s="31"/>
      <c r="D65" s="35"/>
      <c r="E65" s="31"/>
      <c r="F65" s="32"/>
      <c r="G65" s="33"/>
      <c r="H65" s="33"/>
      <c r="I65" s="33"/>
      <c r="J65" s="33"/>
    </row>
    <row r="66" spans="1:10" ht="24.5" x14ac:dyDescent="0.55000000000000004">
      <c r="A66" s="24"/>
      <c r="B66" s="24"/>
      <c r="C66" s="31"/>
      <c r="D66" s="35"/>
      <c r="E66" s="31"/>
      <c r="F66" s="32"/>
      <c r="G66" s="33"/>
      <c r="H66" s="33"/>
      <c r="I66" s="33"/>
      <c r="J66" s="33"/>
    </row>
    <row r="67" spans="1:10" ht="24.5" x14ac:dyDescent="0.55000000000000004">
      <c r="A67" s="24"/>
      <c r="B67" s="24"/>
      <c r="C67" s="31"/>
      <c r="D67" s="35"/>
      <c r="E67" s="31"/>
      <c r="F67" s="32"/>
      <c r="G67" s="33"/>
      <c r="H67" s="33"/>
      <c r="I67" s="33"/>
      <c r="J67" s="33"/>
    </row>
    <row r="68" spans="1:10" ht="24.5" x14ac:dyDescent="0.55000000000000004">
      <c r="A68" s="24"/>
      <c r="B68" s="24"/>
      <c r="C68" s="31"/>
      <c r="D68" s="35"/>
      <c r="E68" s="31"/>
      <c r="F68" s="32"/>
      <c r="G68" s="33"/>
      <c r="H68" s="33"/>
      <c r="I68" s="33"/>
      <c r="J68" s="33"/>
    </row>
    <row r="69" spans="1:10" ht="24.5" x14ac:dyDescent="0.55000000000000004">
      <c r="A69" s="24"/>
      <c r="B69" s="24"/>
      <c r="C69" s="31"/>
      <c r="D69" s="35"/>
      <c r="E69" s="31"/>
      <c r="F69" s="32"/>
      <c r="G69" s="33"/>
      <c r="H69" s="33"/>
      <c r="I69" s="33"/>
      <c r="J69" s="33"/>
    </row>
    <row r="70" spans="1:10" ht="24.5" x14ac:dyDescent="0.55000000000000004">
      <c r="A70" s="24"/>
      <c r="B70" s="24"/>
      <c r="C70" s="31"/>
      <c r="D70" s="35"/>
      <c r="E70" s="31"/>
      <c r="F70" s="32"/>
      <c r="G70" s="33"/>
      <c r="H70" s="33"/>
      <c r="I70" s="33"/>
      <c r="J70" s="33"/>
    </row>
    <row r="71" spans="1:10" ht="24.5" x14ac:dyDescent="0.55000000000000004">
      <c r="A71" s="24"/>
      <c r="B71" s="24"/>
      <c r="C71" s="31"/>
      <c r="D71" s="35"/>
      <c r="E71" s="31"/>
      <c r="F71" s="32"/>
      <c r="G71" s="33"/>
      <c r="H71" s="33"/>
      <c r="I71" s="33"/>
      <c r="J71" s="33"/>
    </row>
    <row r="72" spans="1:10" ht="24.5" x14ac:dyDescent="0.55000000000000004">
      <c r="A72" s="24"/>
      <c r="B72" s="24"/>
      <c r="C72" s="31"/>
      <c r="D72" s="35"/>
      <c r="E72" s="31"/>
      <c r="F72" s="32"/>
      <c r="G72" s="33"/>
      <c r="H72" s="33"/>
      <c r="I72" s="33"/>
      <c r="J72" s="33"/>
    </row>
    <row r="73" spans="1:10" ht="24.5" x14ac:dyDescent="0.55000000000000004">
      <c r="A73" s="24"/>
      <c r="B73" s="24"/>
      <c r="C73" s="31"/>
      <c r="D73" s="35"/>
      <c r="E73" s="31"/>
      <c r="F73" s="32"/>
      <c r="G73" s="33"/>
      <c r="H73" s="33"/>
      <c r="I73" s="33"/>
      <c r="J73" s="33"/>
    </row>
    <row r="74" spans="1:10" ht="24.5" x14ac:dyDescent="0.55000000000000004">
      <c r="A74" s="24"/>
      <c r="B74" s="24"/>
      <c r="C74" s="31"/>
      <c r="D74" s="35"/>
      <c r="E74" s="31"/>
      <c r="F74" s="32"/>
      <c r="G74" s="33"/>
      <c r="H74" s="33"/>
      <c r="I74" s="33"/>
      <c r="J74" s="33"/>
    </row>
    <row r="75" spans="1:10" ht="24.5" x14ac:dyDescent="0.55000000000000004">
      <c r="A75" s="24"/>
      <c r="B75" s="24"/>
      <c r="C75" s="31"/>
      <c r="D75" s="35"/>
      <c r="E75" s="31"/>
      <c r="F75" s="32"/>
      <c r="G75" s="33"/>
      <c r="H75" s="33"/>
      <c r="I75" s="33"/>
      <c r="J75" s="33"/>
    </row>
    <row r="76" spans="1:10" ht="24.5" x14ac:dyDescent="0.55000000000000004">
      <c r="A76" s="24"/>
      <c r="B76" s="24"/>
      <c r="C76" s="31"/>
      <c r="D76" s="35"/>
      <c r="E76" s="31"/>
      <c r="F76" s="32"/>
      <c r="G76" s="33"/>
      <c r="H76" s="33"/>
      <c r="I76" s="33"/>
      <c r="J76" s="33"/>
    </row>
    <row r="77" spans="1:10" ht="24.5" x14ac:dyDescent="0.55000000000000004">
      <c r="A77" s="24"/>
      <c r="B77" s="24"/>
      <c r="C77" s="31"/>
      <c r="D77" s="35"/>
      <c r="E77" s="31"/>
      <c r="F77" s="32"/>
      <c r="G77" s="33"/>
      <c r="H77" s="33"/>
      <c r="I77" s="33"/>
      <c r="J77" s="33"/>
    </row>
    <row r="78" spans="1:10" ht="24.5" x14ac:dyDescent="0.55000000000000004">
      <c r="A78" s="24"/>
      <c r="B78" s="24"/>
      <c r="C78" s="31"/>
      <c r="D78" s="35"/>
      <c r="E78" s="31"/>
      <c r="F78" s="32"/>
      <c r="G78" s="33"/>
      <c r="H78" s="33"/>
      <c r="I78" s="33"/>
      <c r="J78" s="33"/>
    </row>
    <row r="79" spans="1:10" ht="24.5" x14ac:dyDescent="0.55000000000000004">
      <c r="A79" s="24"/>
      <c r="B79" s="24"/>
      <c r="C79" s="31"/>
      <c r="D79" s="35"/>
      <c r="E79" s="31"/>
      <c r="F79" s="32"/>
      <c r="G79" s="33"/>
      <c r="H79" s="33"/>
      <c r="I79" s="33"/>
      <c r="J79" s="33"/>
    </row>
    <row r="80" spans="1:10" ht="24.5" x14ac:dyDescent="0.55000000000000004">
      <c r="A80" s="24"/>
      <c r="B80" s="24"/>
      <c r="C80" s="31"/>
      <c r="D80" s="35"/>
      <c r="E80" s="31"/>
      <c r="F80" s="32"/>
      <c r="G80" s="33"/>
      <c r="H80" s="33"/>
      <c r="I80" s="33"/>
      <c r="J80" s="33"/>
    </row>
    <row r="81" spans="1:10" ht="24.5" x14ac:dyDescent="0.55000000000000004">
      <c r="A81" s="24"/>
      <c r="B81" s="24"/>
      <c r="C81" s="31"/>
      <c r="D81" s="35"/>
      <c r="E81" s="31"/>
      <c r="F81" s="32"/>
      <c r="G81" s="33"/>
      <c r="H81" s="33"/>
      <c r="I81" s="33"/>
      <c r="J81" s="33"/>
    </row>
    <row r="82" spans="1:10" ht="24.5" x14ac:dyDescent="0.55000000000000004">
      <c r="A82" s="24"/>
      <c r="B82" s="24"/>
      <c r="C82" s="31"/>
      <c r="D82" s="35"/>
      <c r="E82" s="31"/>
      <c r="F82" s="32"/>
      <c r="G82" s="33"/>
      <c r="H82" s="33"/>
      <c r="I82" s="33"/>
      <c r="J82" s="33"/>
    </row>
    <row r="83" spans="1:10" ht="24.5" x14ac:dyDescent="0.55000000000000004">
      <c r="A83" s="24"/>
      <c r="B83" s="24"/>
      <c r="C83" s="31"/>
      <c r="D83" s="35"/>
      <c r="E83" s="31"/>
      <c r="F83" s="32"/>
      <c r="G83" s="33"/>
      <c r="H83" s="33"/>
      <c r="I83" s="33"/>
      <c r="J83" s="33"/>
    </row>
    <row r="84" spans="1:10" ht="24.5" x14ac:dyDescent="0.55000000000000004">
      <c r="A84" s="24"/>
      <c r="B84" s="24"/>
      <c r="C84" s="31"/>
      <c r="D84" s="35"/>
      <c r="E84" s="31"/>
      <c r="F84" s="32"/>
      <c r="G84" s="33"/>
      <c r="H84" s="33"/>
      <c r="I84" s="33"/>
      <c r="J84" s="33"/>
    </row>
    <row r="85" spans="1:10" ht="24.5" x14ac:dyDescent="0.55000000000000004">
      <c r="A85" s="24"/>
      <c r="B85" s="24"/>
      <c r="C85" s="31"/>
      <c r="D85" s="35"/>
      <c r="E85" s="31"/>
      <c r="F85" s="32"/>
      <c r="G85" s="33"/>
      <c r="H85" s="33"/>
      <c r="I85" s="33"/>
      <c r="J85" s="33"/>
    </row>
    <row r="86" spans="1:10" ht="24.5" x14ac:dyDescent="0.55000000000000004">
      <c r="A86" s="24"/>
      <c r="B86" s="24"/>
      <c r="C86" s="31"/>
      <c r="D86" s="35"/>
      <c r="E86" s="31"/>
      <c r="F86" s="32"/>
      <c r="G86" s="33"/>
      <c r="H86" s="33"/>
      <c r="I86" s="33"/>
      <c r="J86" s="33"/>
    </row>
    <row r="87" spans="1:10" ht="24.5" x14ac:dyDescent="0.55000000000000004">
      <c r="A87" s="24"/>
      <c r="B87" s="24"/>
      <c r="C87" s="31"/>
      <c r="D87" s="35"/>
      <c r="E87" s="31"/>
      <c r="F87" s="32"/>
      <c r="G87" s="33"/>
      <c r="H87" s="33"/>
      <c r="I87" s="33"/>
      <c r="J87" s="33"/>
    </row>
    <row r="88" spans="1:10" ht="24.5" x14ac:dyDescent="0.55000000000000004">
      <c r="A88" s="24"/>
      <c r="B88" s="24"/>
      <c r="C88" s="31"/>
      <c r="D88" s="35"/>
      <c r="E88" s="31"/>
      <c r="F88" s="32"/>
      <c r="G88" s="33"/>
      <c r="H88" s="33"/>
      <c r="I88" s="33"/>
      <c r="J88" s="33"/>
    </row>
  </sheetData>
  <phoneticPr fontI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rowBreaks count="1" manualBreakCount="1">
    <brk id="30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9267-6715-406D-A0E7-E0E0FF0CF312}">
  <sheetPr codeName="Sheet_JobPrint">
    <pageSetUpPr fitToPage="1"/>
  </sheetPr>
  <dimension ref="A1"/>
  <sheetViews>
    <sheetView workbookViewId="0">
      <selection activeCell="D8" sqref="D8"/>
    </sheetView>
  </sheetViews>
  <sheetFormatPr defaultColWidth="9" defaultRowHeight="18" x14ac:dyDescent="0.55000000000000004"/>
  <sheetData/>
  <phoneticPr fontId="1"/>
  <pageMargins left="0.7" right="0.7" top="0.75" bottom="0.75" header="0.3" footer="0.3"/>
  <pageSetup paperSize="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D937-6CA5-4A3B-B179-1967B32E852D}">
  <sheetPr codeName="Sheet_Sabun">
    <pageSetUpPr fitToPage="1"/>
  </sheetPr>
  <dimension ref="A1:E5"/>
  <sheetViews>
    <sheetView workbookViewId="0"/>
  </sheetViews>
  <sheetFormatPr defaultColWidth="9" defaultRowHeight="20.149999999999999" customHeight="1" x14ac:dyDescent="0.55000000000000004"/>
  <cols>
    <col min="1" max="1" width="31.58203125" style="41" bestFit="1" customWidth="1"/>
    <col min="2" max="2" width="20.58203125" style="40" customWidth="1"/>
    <col min="3" max="3" width="12.58203125" style="42" customWidth="1"/>
    <col min="4" max="4" width="20.58203125" style="40" customWidth="1"/>
    <col min="5" max="5" width="12.58203125" style="42" customWidth="1"/>
    <col min="6" max="16384" width="9" style="40"/>
  </cols>
  <sheetData>
    <row r="1" spans="1:5" ht="20.149999999999999" customHeight="1" x14ac:dyDescent="0.55000000000000004">
      <c r="A1" s="39" t="s">
        <v>40</v>
      </c>
      <c r="B1" s="39"/>
      <c r="C1" s="38"/>
      <c r="D1" s="39"/>
      <c r="E1" s="38"/>
    </row>
    <row r="2" spans="1:5" ht="10" customHeight="1" x14ac:dyDescent="0.55000000000000004"/>
    <row r="3" spans="1:5" ht="15" customHeight="1" x14ac:dyDescent="0.55000000000000004">
      <c r="A3" s="132" t="s">
        <v>41</v>
      </c>
      <c r="B3" s="132" t="s">
        <v>42</v>
      </c>
      <c r="C3" s="133" t="s">
        <v>44</v>
      </c>
      <c r="D3" s="132" t="s">
        <v>43</v>
      </c>
      <c r="E3" s="130" t="s">
        <v>44</v>
      </c>
    </row>
    <row r="4" spans="1:5" ht="15" customHeight="1" x14ac:dyDescent="0.55000000000000004">
      <c r="A4" s="132"/>
      <c r="B4" s="132"/>
      <c r="C4" s="133"/>
      <c r="D4" s="132"/>
      <c r="E4" s="131"/>
    </row>
    <row r="5" spans="1:5" ht="20.149999999999999" customHeight="1" x14ac:dyDescent="0.55000000000000004">
      <c r="A5" s="43"/>
      <c r="B5" s="45"/>
      <c r="C5" s="44"/>
      <c r="D5" s="45"/>
      <c r="E5" s="44"/>
    </row>
  </sheetData>
  <mergeCells count="5">
    <mergeCell ref="E3:E4"/>
    <mergeCell ref="A3:A4"/>
    <mergeCell ref="B3:B4"/>
    <mergeCell ref="C3:C4"/>
    <mergeCell ref="D3:D4"/>
  </mergeCells>
  <phoneticPr fontId="1"/>
  <pageMargins left="0.39370078740157483" right="0.39370078740157483" top="0.39370078740157483" bottom="0.39370078740157483" header="0.19685039370078741" footer="0.19685039370078741"/>
  <pageSetup paperSize="9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2B4C5-5E2B-4E88-B6A1-4833C0893E9E}">
  <sheetPr codeName="Sheet_Tray1">
    <tabColor indexed="17"/>
    <pageSetUpPr fitToPage="1"/>
  </sheetPr>
  <dimension ref="A1:AK50"/>
  <sheetViews>
    <sheetView tabSelected="1" view="pageBreakPreview" zoomScale="55" zoomScaleNormal="75" zoomScaleSheetLayoutView="55" workbookViewId="0">
      <selection activeCell="A26" sqref="A26:D27"/>
    </sheetView>
  </sheetViews>
  <sheetFormatPr defaultColWidth="9" defaultRowHeight="18" x14ac:dyDescent="0.55000000000000004"/>
  <cols>
    <col min="1" max="1" width="9.58203125" style="3" customWidth="1"/>
    <col min="2" max="2" width="14" style="5" customWidth="1"/>
    <col min="3" max="3" width="17.83203125" style="3" bestFit="1" customWidth="1"/>
    <col min="4" max="4" width="60.58203125" style="3" customWidth="1"/>
    <col min="5" max="5" width="7.5" style="3" bestFit="1" customWidth="1"/>
    <col min="6" max="6" width="9.25" style="3" bestFit="1" customWidth="1"/>
    <col min="7" max="16" width="17.5" style="3" customWidth="1"/>
    <col min="17" max="37" width="17.5" style="4" customWidth="1"/>
    <col min="38" max="16384" width="9" style="3"/>
  </cols>
  <sheetData>
    <row r="1" spans="1:37" ht="27" customHeight="1" x14ac:dyDescent="0.55000000000000004">
      <c r="B1" s="4" t="s">
        <v>11</v>
      </c>
      <c r="D1" s="63" t="s">
        <v>49</v>
      </c>
      <c r="E1" s="20" t="s">
        <v>11</v>
      </c>
    </row>
    <row r="2" spans="1:37" ht="35.15" customHeight="1" x14ac:dyDescent="0.55000000000000004">
      <c r="A2" s="123"/>
      <c r="B2" s="124"/>
      <c r="C2" s="124"/>
      <c r="D2" s="125"/>
      <c r="E2" s="19" t="s">
        <v>10</v>
      </c>
      <c r="F2" s="12"/>
      <c r="G2" s="16">
        <f>台数入力!I$3</f>
        <v>24</v>
      </c>
      <c r="H2" s="16">
        <f>台数入力!J$3</f>
        <v>192</v>
      </c>
      <c r="I2" s="16">
        <f>台数入力!K$3</f>
        <v>48</v>
      </c>
      <c r="J2" s="16">
        <f>台数入力!L$3</f>
        <v>48</v>
      </c>
      <c r="K2" s="16">
        <f>台数入力!M$3</f>
        <v>144</v>
      </c>
      <c r="L2" s="16">
        <f>台数入力!N$3</f>
        <v>144</v>
      </c>
      <c r="M2" s="16">
        <f>台数入力!O$3</f>
        <v>168</v>
      </c>
      <c r="N2" s="16">
        <f>台数入力!P$3</f>
        <v>168</v>
      </c>
      <c r="O2" s="16">
        <f>台数入力!Q$3</f>
        <v>48</v>
      </c>
      <c r="P2" s="16">
        <f>台数入力!R$3</f>
        <v>24</v>
      </c>
      <c r="Q2" s="16">
        <f>台数入力!S$3</f>
        <v>1</v>
      </c>
      <c r="R2" s="16">
        <f>台数入力!T$3</f>
        <v>1</v>
      </c>
      <c r="S2" s="16">
        <f>台数入力!U$3</f>
        <v>1</v>
      </c>
      <c r="T2" s="16">
        <f>台数入力!V$3</f>
        <v>1</v>
      </c>
      <c r="U2" s="16">
        <f>台数入力!W$3</f>
        <v>1</v>
      </c>
      <c r="V2" s="16">
        <f>台数入力!X$3</f>
        <v>96</v>
      </c>
      <c r="W2" s="16">
        <f>台数入力!Y$3</f>
        <v>96</v>
      </c>
      <c r="X2" s="16">
        <f>台数入力!Z$3</f>
        <v>96</v>
      </c>
      <c r="Y2" s="16">
        <f>台数入力!AA$3</f>
        <v>96</v>
      </c>
      <c r="Z2" s="16">
        <f>台数入力!AB$3</f>
        <v>12</v>
      </c>
      <c r="AA2" s="16">
        <f>台数入力!AC$3</f>
        <v>96</v>
      </c>
      <c r="AB2" s="16">
        <f>台数入力!AD$3</f>
        <v>96</v>
      </c>
      <c r="AC2" s="16">
        <f>台数入力!AE$3</f>
        <v>1</v>
      </c>
      <c r="AD2" s="16">
        <f>台数入力!AF$3</f>
        <v>1</v>
      </c>
      <c r="AE2" s="16">
        <f>台数入力!AG$3</f>
        <v>1</v>
      </c>
      <c r="AF2" s="16">
        <f>台数入力!AH$3</f>
        <v>1</v>
      </c>
      <c r="AG2" s="16">
        <f>台数入力!AI$3</f>
        <v>1</v>
      </c>
      <c r="AH2" s="16">
        <f>台数入力!AJ$3</f>
        <v>1</v>
      </c>
      <c r="AI2" s="16">
        <f>台数入力!AK$3</f>
        <v>1</v>
      </c>
      <c r="AJ2" s="16">
        <f>台数入力!AL$3</f>
        <v>1</v>
      </c>
      <c r="AK2" s="16">
        <f>台数入力!AM$3</f>
        <v>1</v>
      </c>
    </row>
    <row r="3" spans="1:37" ht="35.15" customHeight="1" x14ac:dyDescent="0.55000000000000004">
      <c r="A3" s="126"/>
      <c r="B3" s="127"/>
      <c r="C3" s="127"/>
      <c r="D3" s="128"/>
      <c r="E3" s="19" t="s">
        <v>9</v>
      </c>
      <c r="F3" s="12"/>
      <c r="G3" s="16">
        <f>台数入力!I$4</f>
        <v>1</v>
      </c>
      <c r="H3" s="16">
        <f>台数入力!J$4</f>
        <v>2</v>
      </c>
      <c r="I3" s="16">
        <f>台数入力!K$4</f>
        <v>2</v>
      </c>
      <c r="J3" s="16">
        <f>台数入力!L$4</f>
        <v>2</v>
      </c>
      <c r="K3" s="16">
        <f>台数入力!M$4</f>
        <v>2</v>
      </c>
      <c r="L3" s="16">
        <f>台数入力!N$4</f>
        <v>2</v>
      </c>
      <c r="M3" s="16">
        <f>台数入力!O$4</f>
        <v>2</v>
      </c>
      <c r="N3" s="16">
        <f>台数入力!P$4</f>
        <v>2</v>
      </c>
      <c r="O3" s="16">
        <f>台数入力!Q$4</f>
        <v>2</v>
      </c>
      <c r="P3" s="16">
        <f>台数入力!R$4</f>
        <v>1</v>
      </c>
      <c r="Q3" s="16">
        <f>台数入力!S$4</f>
        <v>1</v>
      </c>
      <c r="R3" s="16">
        <f>台数入力!T$4</f>
        <v>1</v>
      </c>
      <c r="S3" s="16">
        <f>台数入力!U$4</f>
        <v>1</v>
      </c>
      <c r="T3" s="16">
        <f>台数入力!V$4</f>
        <v>1</v>
      </c>
      <c r="U3" s="16">
        <f>台数入力!W$4</f>
        <v>1</v>
      </c>
      <c r="V3" s="16">
        <f>台数入力!X$4</f>
        <v>2</v>
      </c>
      <c r="W3" s="16">
        <f>台数入力!Y$4</f>
        <v>2</v>
      </c>
      <c r="X3" s="16">
        <f>台数入力!Z$4</f>
        <v>2</v>
      </c>
      <c r="Y3" s="16">
        <f>台数入力!AA$4</f>
        <v>2</v>
      </c>
      <c r="Z3" s="16">
        <f>台数入力!AB$4</f>
        <v>1</v>
      </c>
      <c r="AA3" s="16">
        <f>台数入力!AC$4</f>
        <v>2</v>
      </c>
      <c r="AB3" s="16">
        <f>台数入力!AD$4</f>
        <v>2</v>
      </c>
      <c r="AC3" s="16">
        <f>台数入力!AE$4</f>
        <v>1</v>
      </c>
      <c r="AD3" s="16">
        <f>台数入力!AF$4</f>
        <v>1</v>
      </c>
      <c r="AE3" s="16">
        <f>台数入力!AG$4</f>
        <v>1</v>
      </c>
      <c r="AF3" s="16">
        <f>台数入力!AH$4</f>
        <v>1</v>
      </c>
      <c r="AG3" s="16">
        <f>台数入力!AI$4</f>
        <v>1</v>
      </c>
      <c r="AH3" s="16">
        <f>台数入力!AJ$4</f>
        <v>1</v>
      </c>
      <c r="AI3" s="16">
        <f>台数入力!AK$4</f>
        <v>1</v>
      </c>
      <c r="AJ3" s="16">
        <f>台数入力!AL$4</f>
        <v>1</v>
      </c>
      <c r="AK3" s="16">
        <f>台数入力!AM$4</f>
        <v>1</v>
      </c>
    </row>
    <row r="4" spans="1:37" ht="35.15" customHeight="1" x14ac:dyDescent="0.55000000000000004">
      <c r="A4" s="17" t="s">
        <v>13</v>
      </c>
      <c r="B4" s="11" t="s">
        <v>8</v>
      </c>
      <c r="C4" s="16" t="s">
        <v>12</v>
      </c>
      <c r="D4" s="18" t="str">
        <f>CSV!A1</f>
        <v>生産データ: 260723-011</v>
      </c>
      <c r="E4" s="17" t="s">
        <v>6</v>
      </c>
      <c r="F4" s="17"/>
      <c r="G4" s="16">
        <f>台数入力!I$5</f>
        <v>24</v>
      </c>
      <c r="H4" s="16">
        <f>台数入力!J$5</f>
        <v>96</v>
      </c>
      <c r="I4" s="16">
        <f>台数入力!K$5</f>
        <v>24</v>
      </c>
      <c r="J4" s="16">
        <f>台数入力!L$5</f>
        <v>24</v>
      </c>
      <c r="K4" s="16">
        <f>台数入力!M$5</f>
        <v>72</v>
      </c>
      <c r="L4" s="16">
        <f>台数入力!N$5</f>
        <v>72</v>
      </c>
      <c r="M4" s="16">
        <f>台数入力!O$5</f>
        <v>84</v>
      </c>
      <c r="N4" s="16">
        <f>台数入力!P$5</f>
        <v>84</v>
      </c>
      <c r="O4" s="16">
        <f>台数入力!Q$5</f>
        <v>24</v>
      </c>
      <c r="P4" s="16">
        <f>台数入力!R$5</f>
        <v>24</v>
      </c>
      <c r="Q4" s="16">
        <f>台数入力!S$5</f>
        <v>1</v>
      </c>
      <c r="R4" s="16">
        <f>台数入力!T$5</f>
        <v>1</v>
      </c>
      <c r="S4" s="16">
        <f>台数入力!U$5</f>
        <v>1</v>
      </c>
      <c r="T4" s="16">
        <f>台数入力!V$5</f>
        <v>1</v>
      </c>
      <c r="U4" s="16">
        <f>台数入力!W$5</f>
        <v>1</v>
      </c>
      <c r="V4" s="16">
        <f>台数入力!X$5</f>
        <v>48</v>
      </c>
      <c r="W4" s="16">
        <f>台数入力!Y$5</f>
        <v>48</v>
      </c>
      <c r="X4" s="16">
        <f>台数入力!Z$5</f>
        <v>48</v>
      </c>
      <c r="Y4" s="16">
        <f>台数入力!AA$5</f>
        <v>48</v>
      </c>
      <c r="Z4" s="16">
        <f>台数入力!AB$5</f>
        <v>12</v>
      </c>
      <c r="AA4" s="16">
        <f>台数入力!AC$5</f>
        <v>48</v>
      </c>
      <c r="AB4" s="16">
        <f>台数入力!AD$5</f>
        <v>48</v>
      </c>
      <c r="AC4" s="16">
        <f>台数入力!AE$5</f>
        <v>1</v>
      </c>
      <c r="AD4" s="16">
        <f>台数入力!AF$5</f>
        <v>1</v>
      </c>
      <c r="AE4" s="16">
        <f>台数入力!AG$5</f>
        <v>1</v>
      </c>
      <c r="AF4" s="16">
        <f>台数入力!AH$5</f>
        <v>1</v>
      </c>
      <c r="AG4" s="16">
        <f>台数入力!AI$5</f>
        <v>1</v>
      </c>
      <c r="AH4" s="16">
        <f>台数入力!AJ$5</f>
        <v>1</v>
      </c>
      <c r="AI4" s="16">
        <f>台数入力!AK$5</f>
        <v>1</v>
      </c>
      <c r="AJ4" s="16">
        <f>台数入力!AL$5</f>
        <v>1</v>
      </c>
      <c r="AK4" s="16">
        <f>台数入力!AM$5</f>
        <v>1</v>
      </c>
    </row>
    <row r="5" spans="1:37" ht="56.25" customHeight="1" x14ac:dyDescent="0.55000000000000004">
      <c r="A5" s="12"/>
      <c r="B5" s="11" t="s">
        <v>5</v>
      </c>
      <c r="C5" s="9" t="s">
        <v>4</v>
      </c>
      <c r="D5" s="11" t="s">
        <v>3</v>
      </c>
      <c r="E5" s="11" t="s">
        <v>2</v>
      </c>
      <c r="F5" s="11" t="s">
        <v>1</v>
      </c>
      <c r="G5" s="13" t="str">
        <f>CSV!I2</f>
        <v>000212220414_URS-43351-02_P6</v>
      </c>
      <c r="H5" s="13" t="str">
        <f>CSV!J2</f>
        <v>部品説明</v>
      </c>
      <c r="I5" s="13" t="str">
        <f>CSV!K2</f>
        <v>薄型シングル</v>
      </c>
      <c r="J5" s="13">
        <f>CSV!L2</f>
        <v>0</v>
      </c>
      <c r="K5" s="13">
        <f>CSV!M2</f>
        <v>0</v>
      </c>
      <c r="L5" s="13">
        <f>CSV!N2</f>
        <v>0</v>
      </c>
      <c r="M5" s="13">
        <f>CSV!O2</f>
        <v>0</v>
      </c>
      <c r="N5" s="13">
        <f>CSV!P2</f>
        <v>0</v>
      </c>
      <c r="O5" s="13">
        <f>CSV!Q2</f>
        <v>0</v>
      </c>
      <c r="P5" s="13">
        <f>CSV!R2</f>
        <v>0</v>
      </c>
      <c r="Q5" s="13">
        <f>CSV!S2</f>
        <v>0</v>
      </c>
      <c r="R5" s="13">
        <f>CSV!T2</f>
        <v>0</v>
      </c>
      <c r="S5" s="13">
        <f>CSV!U2</f>
        <v>0</v>
      </c>
      <c r="T5" s="13">
        <f>CSV!V2</f>
        <v>0</v>
      </c>
      <c r="U5" s="13">
        <f>CSV!W2</f>
        <v>0</v>
      </c>
      <c r="V5" s="13">
        <f>CSV!X2</f>
        <v>0</v>
      </c>
      <c r="W5" s="13">
        <f>CSV!Y2</f>
        <v>0</v>
      </c>
      <c r="X5" s="13">
        <f>CSV!Z2</f>
        <v>0</v>
      </c>
      <c r="Y5" s="13">
        <f>CSV!AA2</f>
        <v>0</v>
      </c>
      <c r="Z5" s="13">
        <f>CSV!AB2</f>
        <v>0</v>
      </c>
      <c r="AA5" s="13">
        <f>CSV!AC2</f>
        <v>0</v>
      </c>
      <c r="AB5" s="13">
        <f>CSV!AD2</f>
        <v>0</v>
      </c>
      <c r="AC5" s="13">
        <f>CSV!AE2</f>
        <v>0</v>
      </c>
      <c r="AD5" s="13">
        <f>CSV!AF2</f>
        <v>0</v>
      </c>
      <c r="AE5" s="13">
        <f>CSV!AG2</f>
        <v>0</v>
      </c>
      <c r="AF5" s="13">
        <f>CSV!AH2</f>
        <v>0</v>
      </c>
      <c r="AG5" s="13">
        <f>CSV!AI2</f>
        <v>0</v>
      </c>
      <c r="AH5" s="13">
        <f>CSV!AJ2</f>
        <v>0</v>
      </c>
      <c r="AI5" s="13">
        <f>CSV!AK2</f>
        <v>0</v>
      </c>
      <c r="AJ5" s="13">
        <f>CSV!AL2</f>
        <v>0</v>
      </c>
      <c r="AK5" s="13">
        <f>CSV!AM2</f>
        <v>0</v>
      </c>
    </row>
    <row r="6" spans="1:37" s="7" customFormat="1" ht="27" customHeight="1" x14ac:dyDescent="0.55000000000000004">
      <c r="A6" s="10"/>
      <c r="B6" s="8">
        <v>141001</v>
      </c>
      <c r="C6" s="9">
        <f>IF(CSV!F3&lt;&gt;0,CSV!F3,"")</f>
        <v>9000034945</v>
      </c>
      <c r="D6" s="8" t="str">
        <f>HLOOKUP("部品説明",CSV!$B$2:$CC$42,B6-140999,FALSE)</f>
        <v>LY62L1024GL-55LLI</v>
      </c>
      <c r="E6" s="8" t="str">
        <f>IF(CSV!G3=0,"",CSV!G3)</f>
        <v>トレイ</v>
      </c>
      <c r="F6" s="8">
        <f>CSV!$H3</f>
        <v>1</v>
      </c>
      <c r="G6" s="8" t="str">
        <f>IF(CSV!I3=0,"",使用数!I3)&amp;IF(CSV!I3=0,"","("&amp;CSV!I3&amp;")")</f>
        <v>24(1)</v>
      </c>
      <c r="H6" s="8" t="e">
        <f>IF(CSV!J3=0,"",使用数!J3)&amp;IF(CSV!J3=0,"","("&amp;CSV!J3&amp;")")</f>
        <v>#VALUE!</v>
      </c>
      <c r="I6" s="8" t="str">
        <f>IF(CSV!K3=0,"",使用数!K3)&amp;IF(CSV!K3=0,"","("&amp;CSV!K3&amp;")")</f>
        <v/>
      </c>
      <c r="J6" s="8" t="str">
        <f>IF(CSV!L3=0,"",使用数!L3)&amp;IF(CSV!L3=0,"","("&amp;CSV!L3&amp;")")</f>
        <v/>
      </c>
      <c r="K6" s="8" t="str">
        <f>IF(CSV!M3=0,"",使用数!M3)&amp;IF(CSV!M3=0,"","("&amp;CSV!M3&amp;")")</f>
        <v/>
      </c>
      <c r="L6" s="8" t="str">
        <f>IF(CSV!N3=0,"",使用数!N3)&amp;IF(CSV!N3=0,"","("&amp;CSV!N3&amp;")")</f>
        <v/>
      </c>
      <c r="M6" s="8" t="str">
        <f>IF(CSV!O3=0,"",使用数!O3)&amp;IF(CSV!O3=0,"","("&amp;CSV!O3&amp;")")</f>
        <v/>
      </c>
      <c r="N6" s="8" t="str">
        <f>IF(CSV!P3=0,"",使用数!P3)&amp;IF(CSV!P3=0,"","("&amp;CSV!P3&amp;")")</f>
        <v/>
      </c>
      <c r="O6" s="8" t="str">
        <f>IF(CSV!Q3=0,"",使用数!Q3)&amp;IF(CSV!Q3=0,"","("&amp;CSV!Q3&amp;")")</f>
        <v/>
      </c>
      <c r="P6" s="8" t="str">
        <f>IF(CSV!R3=0,"",使用数!R3)&amp;IF(CSV!R3=0,"","("&amp;CSV!R3&amp;")")</f>
        <v/>
      </c>
      <c r="Q6" s="8" t="str">
        <f>IF(CSV!S3=0,"",使用数!S3)&amp;IF(CSV!S3=0,"","("&amp;CSV!S3&amp;")")</f>
        <v/>
      </c>
      <c r="R6" s="8" t="str">
        <f>IF(CSV!T3=0,"",使用数!T3)&amp;IF(CSV!T3=0,"","("&amp;CSV!T3&amp;")")</f>
        <v/>
      </c>
      <c r="S6" s="8" t="str">
        <f>IF(CSV!U3=0,"",使用数!U3)&amp;IF(CSV!U3=0,"","("&amp;CSV!U3&amp;")")</f>
        <v/>
      </c>
      <c r="T6" s="8" t="str">
        <f>IF(CSV!V3=0,"",使用数!V3)&amp;IF(CSV!V3=0,"","("&amp;CSV!V3&amp;")")</f>
        <v/>
      </c>
      <c r="U6" s="8" t="str">
        <f>IF(CSV!W3=0,"",使用数!W3)&amp;IF(CSV!W3=0,"","("&amp;CSV!W3&amp;")")</f>
        <v/>
      </c>
      <c r="V6" s="8" t="str">
        <f>IF(CSV!X3=0,"",使用数!X3)&amp;IF(CSV!X3=0,"","("&amp;CSV!X3&amp;")")</f>
        <v/>
      </c>
      <c r="W6" s="8" t="str">
        <f>IF(CSV!Y3=0,"",使用数!Y3)&amp;IF(CSV!Y3=0,"","("&amp;CSV!Y3&amp;")")</f>
        <v/>
      </c>
      <c r="X6" s="8" t="str">
        <f>IF(CSV!Z3=0,"",使用数!Z3)&amp;IF(CSV!Z3=0,"","("&amp;CSV!Z3&amp;")")</f>
        <v/>
      </c>
      <c r="Y6" s="8" t="str">
        <f>IF(CSV!AA3=0,"",使用数!AA3)&amp;IF(CSV!AA3=0,"","("&amp;CSV!AA3&amp;")")</f>
        <v/>
      </c>
      <c r="Z6" s="8" t="str">
        <f>IF(CSV!AB3=0,"",使用数!AB3)&amp;IF(CSV!AB3=0,"","("&amp;CSV!AB3&amp;")")</f>
        <v/>
      </c>
      <c r="AA6" s="8" t="str">
        <f>IF(CSV!AC3=0,"",使用数!AC3)&amp;IF(CSV!AC3=0,"","("&amp;CSV!AC3&amp;")")</f>
        <v/>
      </c>
      <c r="AB6" s="8" t="str">
        <f>IF(CSV!AD3=0,"",使用数!AD3)&amp;IF(CSV!AD3=0,"","("&amp;CSV!AD3&amp;")")</f>
        <v/>
      </c>
      <c r="AC6" s="8" t="str">
        <f>IF(CSV!AE3=0,"",使用数!AE3)&amp;IF(CSV!AE3=0,"","("&amp;CSV!AE3&amp;")")</f>
        <v/>
      </c>
      <c r="AD6" s="8" t="str">
        <f>IF(CSV!AF3=0,"",使用数!AF3)&amp;IF(CSV!AF3=0,"","("&amp;CSV!AF3&amp;")")</f>
        <v/>
      </c>
      <c r="AE6" s="8" t="str">
        <f>IF(CSV!AG3=0,"",使用数!AG3)&amp;IF(CSV!AG3=0,"","("&amp;CSV!AG3&amp;")")</f>
        <v/>
      </c>
      <c r="AF6" s="8" t="str">
        <f>IF(CSV!AH3=0,"",使用数!AH3)&amp;IF(CSV!AH3=0,"","("&amp;CSV!AH3&amp;")")</f>
        <v/>
      </c>
      <c r="AG6" s="8" t="str">
        <f>IF(CSV!AI3=0,"",使用数!AI3)&amp;IF(CSV!AI3=0,"","("&amp;CSV!AI3&amp;")")</f>
        <v/>
      </c>
      <c r="AH6" s="8" t="str">
        <f>IF(CSV!AJ3=0,"",使用数!AJ3)&amp;IF(CSV!AJ3=0,"","("&amp;CSV!AJ3&amp;")")</f>
        <v/>
      </c>
      <c r="AI6" s="8" t="str">
        <f>IF(CSV!AK3=0,"",使用数!AK3)&amp;IF(CSV!AK3=0,"","("&amp;CSV!AK3&amp;")")</f>
        <v/>
      </c>
      <c r="AJ6" s="8" t="str">
        <f>IF(CSV!AL3=0,"",使用数!AL3)&amp;IF(CSV!AL3=0,"","("&amp;CSV!AL3&amp;")")</f>
        <v/>
      </c>
      <c r="AK6" s="8" t="str">
        <f>IF(CSV!AM3=0,"",使用数!AM3)&amp;IF(CSV!AM3=0,"","("&amp;CSV!AM3&amp;")")</f>
        <v/>
      </c>
    </row>
    <row r="7" spans="1:37" ht="27" customHeight="1" x14ac:dyDescent="0.55000000000000004">
      <c r="A7" s="12"/>
      <c r="B7" s="11">
        <v>141002</v>
      </c>
      <c r="C7" s="9">
        <f>IF(CSV!F4&lt;&gt;0,CSV!F4,"")</f>
        <v>9000061644</v>
      </c>
      <c r="D7" s="11" t="str">
        <f>HLOOKUP("部品説明",CSV!$B$2:$CC$42,B7-140999,FALSE)</f>
        <v>R5F56216BDLE#U0 DPU_TPM</v>
      </c>
      <c r="E7" s="11" t="str">
        <f>IF(CSV!G4=0,"",CSV!G4)</f>
        <v>トレイ</v>
      </c>
      <c r="F7" s="11">
        <f>CSV!$H4</f>
        <v>1</v>
      </c>
      <c r="G7" s="11" t="str">
        <f>IF(CSV!I4=0,"",使用数!I4)&amp;IF(CSV!I4=0,"","("&amp;CSV!I4&amp;")")</f>
        <v>24(1)</v>
      </c>
      <c r="H7" s="11" t="e">
        <f>IF(CSV!J4=0,"",使用数!J4)&amp;IF(CSV!J4=0,"","("&amp;CSV!J4&amp;")")</f>
        <v>#VALUE!</v>
      </c>
      <c r="I7" s="11" t="str">
        <f>IF(CSV!K4=0,"",使用数!K4)&amp;IF(CSV!K4=0,"","("&amp;CSV!K4&amp;")")</f>
        <v/>
      </c>
      <c r="J7" s="11" t="str">
        <f>IF(CSV!L4=0,"",使用数!L4)&amp;IF(CSV!L4=0,"","("&amp;CSV!L4&amp;")")</f>
        <v/>
      </c>
      <c r="K7" s="11" t="str">
        <f>IF(CSV!M4=0,"",使用数!M4)&amp;IF(CSV!M4=0,"","("&amp;CSV!M4&amp;")")</f>
        <v/>
      </c>
      <c r="L7" s="11" t="str">
        <f>IF(CSV!N4=0,"",使用数!N4)&amp;IF(CSV!N4=0,"","("&amp;CSV!N4&amp;")")</f>
        <v/>
      </c>
      <c r="M7" s="11" t="str">
        <f>IF(CSV!O4=0,"",使用数!O4)&amp;IF(CSV!O4=0,"","("&amp;CSV!O4&amp;")")</f>
        <v/>
      </c>
      <c r="N7" s="11" t="str">
        <f>IF(CSV!P4=0,"",使用数!P4)&amp;IF(CSV!P4=0,"","("&amp;CSV!P4&amp;")")</f>
        <v/>
      </c>
      <c r="O7" s="11" t="str">
        <f>IF(CSV!Q4=0,"",使用数!Q4)&amp;IF(CSV!Q4=0,"","("&amp;CSV!Q4&amp;")")</f>
        <v/>
      </c>
      <c r="P7" s="11" t="str">
        <f>IF(CSV!R4=0,"",使用数!R4)&amp;IF(CSV!R4=0,"","("&amp;CSV!R4&amp;")")</f>
        <v/>
      </c>
      <c r="Q7" s="11" t="str">
        <f>IF(CSV!S4=0,"",使用数!S4)&amp;IF(CSV!S4=0,"","("&amp;CSV!S4&amp;")")</f>
        <v/>
      </c>
      <c r="R7" s="11" t="str">
        <f>IF(CSV!T4=0,"",使用数!T4)&amp;IF(CSV!T4=0,"","("&amp;CSV!T4&amp;")")</f>
        <v/>
      </c>
      <c r="S7" s="11" t="str">
        <f>IF(CSV!U4=0,"",使用数!U4)&amp;IF(CSV!U4=0,"","("&amp;CSV!U4&amp;")")</f>
        <v/>
      </c>
      <c r="T7" s="11" t="str">
        <f>IF(CSV!V4=0,"",使用数!V4)&amp;IF(CSV!V4=0,"","("&amp;CSV!V4&amp;")")</f>
        <v/>
      </c>
      <c r="U7" s="11" t="str">
        <f>IF(CSV!W4=0,"",使用数!W4)&amp;IF(CSV!W4=0,"","("&amp;CSV!W4&amp;")")</f>
        <v/>
      </c>
      <c r="V7" s="11" t="str">
        <f>IF(CSV!X4=0,"",使用数!X4)&amp;IF(CSV!X4=0,"","("&amp;CSV!X4&amp;")")</f>
        <v/>
      </c>
      <c r="W7" s="11" t="str">
        <f>IF(CSV!Y4=0,"",使用数!Y4)&amp;IF(CSV!Y4=0,"","("&amp;CSV!Y4&amp;")")</f>
        <v/>
      </c>
      <c r="X7" s="11" t="str">
        <f>IF(CSV!Z4=0,"",使用数!Z4)&amp;IF(CSV!Z4=0,"","("&amp;CSV!Z4&amp;")")</f>
        <v/>
      </c>
      <c r="Y7" s="11" t="str">
        <f>IF(CSV!AA4=0,"",使用数!AA4)&amp;IF(CSV!AA4=0,"","("&amp;CSV!AA4&amp;")")</f>
        <v/>
      </c>
      <c r="Z7" s="11" t="str">
        <f>IF(CSV!AB4=0,"",使用数!AB4)&amp;IF(CSV!AB4=0,"","("&amp;CSV!AB4&amp;")")</f>
        <v/>
      </c>
      <c r="AA7" s="11" t="str">
        <f>IF(CSV!AC4=0,"",使用数!AC4)&amp;IF(CSV!AC4=0,"","("&amp;CSV!AC4&amp;")")</f>
        <v/>
      </c>
      <c r="AB7" s="11" t="str">
        <f>IF(CSV!AD4=0,"",使用数!AD4)&amp;IF(CSV!AD4=0,"","("&amp;CSV!AD4&amp;")")</f>
        <v/>
      </c>
      <c r="AC7" s="11" t="str">
        <f>IF(CSV!AE4=0,"",使用数!AE4)&amp;IF(CSV!AE4=0,"","("&amp;CSV!AE4&amp;")")</f>
        <v/>
      </c>
      <c r="AD7" s="11" t="str">
        <f>IF(CSV!AF4=0,"",使用数!AF4)&amp;IF(CSV!AF4=0,"","("&amp;CSV!AF4&amp;")")</f>
        <v/>
      </c>
      <c r="AE7" s="11" t="str">
        <f>IF(CSV!AG4=0,"",使用数!AG4)&amp;IF(CSV!AG4=0,"","("&amp;CSV!AG4&amp;")")</f>
        <v/>
      </c>
      <c r="AF7" s="11" t="str">
        <f>IF(CSV!AH4=0,"",使用数!AH4)&amp;IF(CSV!AH4=0,"","("&amp;CSV!AH4&amp;")")</f>
        <v/>
      </c>
      <c r="AG7" s="11" t="str">
        <f>IF(CSV!AI4=0,"",使用数!AI4)&amp;IF(CSV!AI4=0,"","("&amp;CSV!AI4&amp;")")</f>
        <v/>
      </c>
      <c r="AH7" s="11" t="str">
        <f>IF(CSV!AJ4=0,"",使用数!AJ4)&amp;IF(CSV!AJ4=0,"","("&amp;CSV!AJ4&amp;")")</f>
        <v/>
      </c>
      <c r="AI7" s="11" t="str">
        <f>IF(CSV!AK4=0,"",使用数!AK4)&amp;IF(CSV!AK4=0,"","("&amp;CSV!AK4&amp;")")</f>
        <v/>
      </c>
      <c r="AJ7" s="11" t="str">
        <f>IF(CSV!AL4=0,"",使用数!AL4)&amp;IF(CSV!AL4=0,"","("&amp;CSV!AL4&amp;")")</f>
        <v/>
      </c>
      <c r="AK7" s="11" t="str">
        <f>IF(CSV!AM4=0,"",使用数!AM4)&amp;IF(CSV!AM4=0,"","("&amp;CSV!AM4&amp;")")</f>
        <v/>
      </c>
    </row>
    <row r="8" spans="1:37" s="7" customFormat="1" ht="27" customHeight="1" x14ac:dyDescent="0.55000000000000004">
      <c r="A8" s="10"/>
      <c r="B8" s="8">
        <v>141003</v>
      </c>
      <c r="C8" s="9">
        <f>IF(CSV!F5&lt;&gt;0,CSV!F5,"")</f>
        <v>9000061645</v>
      </c>
      <c r="D8" s="8" t="str">
        <f>HLOOKUP("部品説明",CSV!$B$2:$CC$42,B8-140999,FALSE)</f>
        <v>MK10DN512VMD10 OLV-4000_SPU</v>
      </c>
      <c r="E8" s="8" t="str">
        <f>IF(CSV!G5=0,"",CSV!G5)</f>
        <v>トレイ</v>
      </c>
      <c r="F8" s="8">
        <f>CSV!$H5</f>
        <v>1</v>
      </c>
      <c r="G8" s="8" t="str">
        <f>IF(CSV!I5=0,"",使用数!I5)&amp;IF(CSV!I5=0,"","("&amp;CSV!I5&amp;")")</f>
        <v>24(1)</v>
      </c>
      <c r="H8" s="8" t="e">
        <f>IF(CSV!J5=0,"",使用数!J5)&amp;IF(CSV!J5=0,"","("&amp;CSV!J5&amp;")")</f>
        <v>#VALUE!</v>
      </c>
      <c r="I8" s="8" t="str">
        <f>IF(CSV!K5=0,"",使用数!K5)&amp;IF(CSV!K5=0,"","("&amp;CSV!K5&amp;")")</f>
        <v/>
      </c>
      <c r="J8" s="8" t="str">
        <f>IF(CSV!L5=0,"",使用数!L5)&amp;IF(CSV!L5=0,"","("&amp;CSV!L5&amp;")")</f>
        <v/>
      </c>
      <c r="K8" s="8" t="str">
        <f>IF(CSV!M5=0,"",使用数!M5)&amp;IF(CSV!M5=0,"","("&amp;CSV!M5&amp;")")</f>
        <v/>
      </c>
      <c r="L8" s="8" t="str">
        <f>IF(CSV!N5=0,"",使用数!N5)&amp;IF(CSV!N5=0,"","("&amp;CSV!N5&amp;")")</f>
        <v/>
      </c>
      <c r="M8" s="8" t="str">
        <f>IF(CSV!O5=0,"",使用数!O5)&amp;IF(CSV!O5=0,"","("&amp;CSV!O5&amp;")")</f>
        <v/>
      </c>
      <c r="N8" s="8" t="str">
        <f>IF(CSV!P5=0,"",使用数!P5)&amp;IF(CSV!P5=0,"","("&amp;CSV!P5&amp;")")</f>
        <v/>
      </c>
      <c r="O8" s="8" t="str">
        <f>IF(CSV!Q5=0,"",使用数!Q5)&amp;IF(CSV!Q5=0,"","("&amp;CSV!Q5&amp;")")</f>
        <v/>
      </c>
      <c r="P8" s="8" t="str">
        <f>IF(CSV!R5=0,"",使用数!R5)&amp;IF(CSV!R5=0,"","("&amp;CSV!R5&amp;")")</f>
        <v/>
      </c>
      <c r="Q8" s="8" t="str">
        <f>IF(CSV!S5=0,"",使用数!S5)&amp;IF(CSV!S5=0,"","("&amp;CSV!S5&amp;")")</f>
        <v/>
      </c>
      <c r="R8" s="8" t="str">
        <f>IF(CSV!T5=0,"",使用数!T5)&amp;IF(CSV!T5=0,"","("&amp;CSV!T5&amp;")")</f>
        <v/>
      </c>
      <c r="S8" s="8" t="str">
        <f>IF(CSV!U5=0,"",使用数!U5)&amp;IF(CSV!U5=0,"","("&amp;CSV!U5&amp;")")</f>
        <v/>
      </c>
      <c r="T8" s="8" t="str">
        <f>IF(CSV!V5=0,"",使用数!V5)&amp;IF(CSV!V5=0,"","("&amp;CSV!V5&amp;")")</f>
        <v/>
      </c>
      <c r="U8" s="8" t="str">
        <f>IF(CSV!W5=0,"",使用数!W5)&amp;IF(CSV!W5=0,"","("&amp;CSV!W5&amp;")")</f>
        <v/>
      </c>
      <c r="V8" s="8" t="str">
        <f>IF(CSV!X5=0,"",使用数!X5)&amp;IF(CSV!X5=0,"","("&amp;CSV!X5&amp;")")</f>
        <v/>
      </c>
      <c r="W8" s="8" t="str">
        <f>IF(CSV!Y5=0,"",使用数!Y5)&amp;IF(CSV!Y5=0,"","("&amp;CSV!Y5&amp;")")</f>
        <v/>
      </c>
      <c r="X8" s="8" t="str">
        <f>IF(CSV!Z5=0,"",使用数!Z5)&amp;IF(CSV!Z5=0,"","("&amp;CSV!Z5&amp;")")</f>
        <v/>
      </c>
      <c r="Y8" s="8" t="str">
        <f>IF(CSV!AA5=0,"",使用数!AA5)&amp;IF(CSV!AA5=0,"","("&amp;CSV!AA5&amp;")")</f>
        <v/>
      </c>
      <c r="Z8" s="8" t="str">
        <f>IF(CSV!AB5=0,"",使用数!AB5)&amp;IF(CSV!AB5=0,"","("&amp;CSV!AB5&amp;")")</f>
        <v/>
      </c>
      <c r="AA8" s="8" t="str">
        <f>IF(CSV!AC5=0,"",使用数!AC5)&amp;IF(CSV!AC5=0,"","("&amp;CSV!AC5&amp;")")</f>
        <v/>
      </c>
      <c r="AB8" s="8" t="str">
        <f>IF(CSV!AD5=0,"",使用数!AD5)&amp;IF(CSV!AD5=0,"","("&amp;CSV!AD5&amp;")")</f>
        <v/>
      </c>
      <c r="AC8" s="8" t="str">
        <f>IF(CSV!AE5=0,"",使用数!AE5)&amp;IF(CSV!AE5=0,"","("&amp;CSV!AE5&amp;")")</f>
        <v/>
      </c>
      <c r="AD8" s="8" t="str">
        <f>IF(CSV!AF5=0,"",使用数!AF5)&amp;IF(CSV!AF5=0,"","("&amp;CSV!AF5&amp;")")</f>
        <v/>
      </c>
      <c r="AE8" s="8" t="str">
        <f>IF(CSV!AG5=0,"",使用数!AG5)&amp;IF(CSV!AG5=0,"","("&amp;CSV!AG5&amp;")")</f>
        <v/>
      </c>
      <c r="AF8" s="8" t="str">
        <f>IF(CSV!AH5=0,"",使用数!AH5)&amp;IF(CSV!AH5=0,"","("&amp;CSV!AH5&amp;")")</f>
        <v/>
      </c>
      <c r="AG8" s="8" t="str">
        <f>IF(CSV!AI5=0,"",使用数!AI5)&amp;IF(CSV!AI5=0,"","("&amp;CSV!AI5&amp;")")</f>
        <v/>
      </c>
      <c r="AH8" s="8" t="str">
        <f>IF(CSV!AJ5=0,"",使用数!AJ5)&amp;IF(CSV!AJ5=0,"","("&amp;CSV!AJ5&amp;")")</f>
        <v/>
      </c>
      <c r="AI8" s="8" t="str">
        <f>IF(CSV!AK5=0,"",使用数!AK5)&amp;IF(CSV!AK5=0,"","("&amp;CSV!AK5&amp;")")</f>
        <v/>
      </c>
      <c r="AJ8" s="8" t="str">
        <f>IF(CSV!AL5=0,"",使用数!AL5)&amp;IF(CSV!AL5=0,"","("&amp;CSV!AL5&amp;")")</f>
        <v/>
      </c>
      <c r="AK8" s="8" t="str">
        <f>IF(CSV!AM5=0,"",使用数!AM5)&amp;IF(CSV!AM5=0,"","("&amp;CSV!AM5&amp;")")</f>
        <v/>
      </c>
    </row>
    <row r="9" spans="1:37" ht="27" customHeight="1" x14ac:dyDescent="0.55000000000000004">
      <c r="A9" s="12"/>
      <c r="B9" s="11">
        <v>141004</v>
      </c>
      <c r="C9" s="9" t="str">
        <f>IF(CSV!F6&lt;&gt;0,CSV!F6,"")</f>
        <v/>
      </c>
      <c r="D9" s="11">
        <f>HLOOKUP("部品説明",CSV!$B$2:$CC$42,B9-140999,FALSE)</f>
        <v>0</v>
      </c>
      <c r="E9" s="11" t="str">
        <f>IF(CSV!G6=0,"",CSV!G6)</f>
        <v/>
      </c>
      <c r="F9" s="11">
        <f>CSV!$H6</f>
        <v>0</v>
      </c>
      <c r="G9" s="11" t="str">
        <f>IF(CSV!I6=0,"",使用数!I6)&amp;IF(CSV!I6=0,"","("&amp;CSV!I6&amp;")")</f>
        <v/>
      </c>
      <c r="H9" s="11" t="str">
        <f>IF(CSV!J6=0,"",使用数!J6)&amp;IF(CSV!J6=0,"","("&amp;CSV!J6&amp;")")</f>
        <v/>
      </c>
      <c r="I9" s="11" t="str">
        <f>IF(CSV!K6=0,"",使用数!K6)&amp;IF(CSV!K6=0,"","("&amp;CSV!K6&amp;")")</f>
        <v/>
      </c>
      <c r="J9" s="11" t="str">
        <f>IF(CSV!L6=0,"",使用数!L6)&amp;IF(CSV!L6=0,"","("&amp;CSV!L6&amp;")")</f>
        <v/>
      </c>
      <c r="K9" s="11" t="str">
        <f>IF(CSV!M6=0,"",使用数!M6)&amp;IF(CSV!M6=0,"","("&amp;CSV!M6&amp;")")</f>
        <v/>
      </c>
      <c r="L9" s="11" t="str">
        <f>IF(CSV!N6=0,"",使用数!N6)&amp;IF(CSV!N6=0,"","("&amp;CSV!N6&amp;")")</f>
        <v/>
      </c>
      <c r="M9" s="11" t="str">
        <f>IF(CSV!O6=0,"",使用数!O6)&amp;IF(CSV!O6=0,"","("&amp;CSV!O6&amp;")")</f>
        <v/>
      </c>
      <c r="N9" s="11" t="str">
        <f>IF(CSV!P6=0,"",使用数!P6)&amp;IF(CSV!P6=0,"","("&amp;CSV!P6&amp;")")</f>
        <v/>
      </c>
      <c r="O9" s="11" t="str">
        <f>IF(CSV!Q6=0,"",使用数!Q6)&amp;IF(CSV!Q6=0,"","("&amp;CSV!Q6&amp;")")</f>
        <v/>
      </c>
      <c r="P9" s="11" t="str">
        <f>IF(CSV!R6=0,"",使用数!R6)&amp;IF(CSV!R6=0,"","("&amp;CSV!R6&amp;")")</f>
        <v/>
      </c>
      <c r="Q9" s="11" t="str">
        <f>IF(CSV!S6=0,"",使用数!S6)&amp;IF(CSV!S6=0,"","("&amp;CSV!S6&amp;")")</f>
        <v/>
      </c>
      <c r="R9" s="11" t="str">
        <f>IF(CSV!T6=0,"",使用数!T6)&amp;IF(CSV!T6=0,"","("&amp;CSV!T6&amp;")")</f>
        <v/>
      </c>
      <c r="S9" s="11" t="str">
        <f>IF(CSV!U6=0,"",使用数!U6)&amp;IF(CSV!U6=0,"","("&amp;CSV!U6&amp;")")</f>
        <v/>
      </c>
      <c r="T9" s="11" t="str">
        <f>IF(CSV!V6=0,"",使用数!V6)&amp;IF(CSV!V6=0,"","("&amp;CSV!V6&amp;")")</f>
        <v/>
      </c>
      <c r="U9" s="11" t="str">
        <f>IF(CSV!W6=0,"",使用数!W6)&amp;IF(CSV!W6=0,"","("&amp;CSV!W6&amp;")")</f>
        <v/>
      </c>
      <c r="V9" s="11" t="str">
        <f>IF(CSV!X6=0,"",使用数!X6)&amp;IF(CSV!X6=0,"","("&amp;CSV!X6&amp;")")</f>
        <v/>
      </c>
      <c r="W9" s="11" t="str">
        <f>IF(CSV!Y6=0,"",使用数!Y6)&amp;IF(CSV!Y6=0,"","("&amp;CSV!Y6&amp;")")</f>
        <v/>
      </c>
      <c r="X9" s="11" t="str">
        <f>IF(CSV!Z6=0,"",使用数!Z6)&amp;IF(CSV!Z6=0,"","("&amp;CSV!Z6&amp;")")</f>
        <v/>
      </c>
      <c r="Y9" s="11" t="str">
        <f>IF(CSV!AA6=0,"",使用数!AA6)&amp;IF(CSV!AA6=0,"","("&amp;CSV!AA6&amp;")")</f>
        <v/>
      </c>
      <c r="Z9" s="11" t="str">
        <f>IF(CSV!AB6=0,"",使用数!AB6)&amp;IF(CSV!AB6=0,"","("&amp;CSV!AB6&amp;")")</f>
        <v/>
      </c>
      <c r="AA9" s="11" t="str">
        <f>IF(CSV!AC6=0,"",使用数!AC6)&amp;IF(CSV!AC6=0,"","("&amp;CSV!AC6&amp;")")</f>
        <v/>
      </c>
      <c r="AB9" s="11" t="str">
        <f>IF(CSV!AD6=0,"",使用数!AD6)&amp;IF(CSV!AD6=0,"","("&amp;CSV!AD6&amp;")")</f>
        <v/>
      </c>
      <c r="AC9" s="11" t="str">
        <f>IF(CSV!AE6=0,"",使用数!AE6)&amp;IF(CSV!AE6=0,"","("&amp;CSV!AE6&amp;")")</f>
        <v/>
      </c>
      <c r="AD9" s="11" t="str">
        <f>IF(CSV!AF6=0,"",使用数!AF6)&amp;IF(CSV!AF6=0,"","("&amp;CSV!AF6&amp;")")</f>
        <v/>
      </c>
      <c r="AE9" s="11" t="str">
        <f>IF(CSV!AG6=0,"",使用数!AG6)&amp;IF(CSV!AG6=0,"","("&amp;CSV!AG6&amp;")")</f>
        <v/>
      </c>
      <c r="AF9" s="11" t="str">
        <f>IF(CSV!AH6=0,"",使用数!AH6)&amp;IF(CSV!AH6=0,"","("&amp;CSV!AH6&amp;")")</f>
        <v/>
      </c>
      <c r="AG9" s="11" t="str">
        <f>IF(CSV!AI6=0,"",使用数!AI6)&amp;IF(CSV!AI6=0,"","("&amp;CSV!AI6&amp;")")</f>
        <v/>
      </c>
      <c r="AH9" s="11" t="str">
        <f>IF(CSV!AJ6=0,"",使用数!AJ6)&amp;IF(CSV!AJ6=0,"","("&amp;CSV!AJ6&amp;")")</f>
        <v/>
      </c>
      <c r="AI9" s="11" t="str">
        <f>IF(CSV!AK6=0,"",使用数!AK6)&amp;IF(CSV!AK6=0,"","("&amp;CSV!AK6&amp;")")</f>
        <v/>
      </c>
      <c r="AJ9" s="11" t="str">
        <f>IF(CSV!AL6=0,"",使用数!AL6)&amp;IF(CSV!AL6=0,"","("&amp;CSV!AL6&amp;")")</f>
        <v/>
      </c>
      <c r="AK9" s="11" t="str">
        <f>IF(CSV!AM6=0,"",使用数!AM6)&amp;IF(CSV!AM6=0,"","("&amp;CSV!AM6&amp;")")</f>
        <v/>
      </c>
    </row>
    <row r="10" spans="1:37" s="7" customFormat="1" ht="27" customHeight="1" x14ac:dyDescent="0.55000000000000004">
      <c r="A10" s="10"/>
      <c r="B10" s="8">
        <v>141005</v>
      </c>
      <c r="C10" s="9">
        <f>IF(CSV!F7&lt;&gt;0,CSV!F7,"")</f>
        <v>9000043828</v>
      </c>
      <c r="D10" s="8" t="str">
        <f>HLOOKUP("部品説明",CSV!$B$2:$CC$42,B10-140999,FALSE)</f>
        <v>FX20-60P-0.5SV20</v>
      </c>
      <c r="E10" s="8" t="str">
        <f>IF(CSV!G7=0,"",CSV!G7)</f>
        <v>トレイ</v>
      </c>
      <c r="F10" s="8">
        <f>CSV!$H7</f>
        <v>1</v>
      </c>
      <c r="G10" s="8" t="str">
        <f>IF(CSV!I7=0,"",使用数!I7)&amp;IF(CSV!I7=0,"","("&amp;CSV!I7&amp;")")</f>
        <v>24(1)</v>
      </c>
      <c r="H10" s="8" t="e">
        <f>IF(CSV!J7=0,"",使用数!J7)&amp;IF(CSV!J7=0,"","("&amp;CSV!J7&amp;")")</f>
        <v>#VALUE!</v>
      </c>
      <c r="I10" s="8" t="str">
        <f>IF(CSV!K7=0,"",使用数!K7)&amp;IF(CSV!K7=0,"","("&amp;CSV!K7&amp;")")</f>
        <v/>
      </c>
      <c r="J10" s="8" t="str">
        <f>IF(CSV!L7=0,"",使用数!L7)&amp;IF(CSV!L7=0,"","("&amp;CSV!L7&amp;")")</f>
        <v/>
      </c>
      <c r="K10" s="8" t="str">
        <f>IF(CSV!M7=0,"",使用数!M7)&amp;IF(CSV!M7=0,"","("&amp;CSV!M7&amp;")")</f>
        <v/>
      </c>
      <c r="L10" s="8" t="str">
        <f>IF(CSV!N7=0,"",使用数!N7)&amp;IF(CSV!N7=0,"","("&amp;CSV!N7&amp;")")</f>
        <v/>
      </c>
      <c r="M10" s="8" t="str">
        <f>IF(CSV!O7=0,"",使用数!O7)&amp;IF(CSV!O7=0,"","("&amp;CSV!O7&amp;")")</f>
        <v/>
      </c>
      <c r="N10" s="8" t="str">
        <f>IF(CSV!P7=0,"",使用数!P7)&amp;IF(CSV!P7=0,"","("&amp;CSV!P7&amp;")")</f>
        <v/>
      </c>
      <c r="O10" s="8" t="str">
        <f>IF(CSV!Q7=0,"",使用数!Q7)&amp;IF(CSV!Q7=0,"","("&amp;CSV!Q7&amp;")")</f>
        <v/>
      </c>
      <c r="P10" s="8" t="str">
        <f>IF(CSV!R7=0,"",使用数!R7)&amp;IF(CSV!R7=0,"","("&amp;CSV!R7&amp;")")</f>
        <v/>
      </c>
      <c r="Q10" s="8" t="str">
        <f>IF(CSV!S7=0,"",使用数!S7)&amp;IF(CSV!S7=0,"","("&amp;CSV!S7&amp;")")</f>
        <v/>
      </c>
      <c r="R10" s="8" t="str">
        <f>IF(CSV!T7=0,"",使用数!T7)&amp;IF(CSV!T7=0,"","("&amp;CSV!T7&amp;")")</f>
        <v/>
      </c>
      <c r="S10" s="8" t="str">
        <f>IF(CSV!U7=0,"",使用数!U7)&amp;IF(CSV!U7=0,"","("&amp;CSV!U7&amp;")")</f>
        <v/>
      </c>
      <c r="T10" s="8" t="str">
        <f>IF(CSV!V7=0,"",使用数!V7)&amp;IF(CSV!V7=0,"","("&amp;CSV!V7&amp;")")</f>
        <v/>
      </c>
      <c r="U10" s="8" t="str">
        <f>IF(CSV!W7=0,"",使用数!W7)&amp;IF(CSV!W7=0,"","("&amp;CSV!W7&amp;")")</f>
        <v/>
      </c>
      <c r="V10" s="8" t="str">
        <f>IF(CSV!X7=0,"",使用数!X7)&amp;IF(CSV!X7=0,"","("&amp;CSV!X7&amp;")")</f>
        <v/>
      </c>
      <c r="W10" s="8" t="str">
        <f>IF(CSV!Y7=0,"",使用数!Y7)&amp;IF(CSV!Y7=0,"","("&amp;CSV!Y7&amp;")")</f>
        <v/>
      </c>
      <c r="X10" s="8" t="str">
        <f>IF(CSV!Z7=0,"",使用数!Z7)&amp;IF(CSV!Z7=0,"","("&amp;CSV!Z7&amp;")")</f>
        <v/>
      </c>
      <c r="Y10" s="8" t="str">
        <f>IF(CSV!AA7=0,"",使用数!AA7)&amp;IF(CSV!AA7=0,"","("&amp;CSV!AA7&amp;")")</f>
        <v/>
      </c>
      <c r="Z10" s="8" t="str">
        <f>IF(CSV!AB7=0,"",使用数!AB7)&amp;IF(CSV!AB7=0,"","("&amp;CSV!AB7&amp;")")</f>
        <v/>
      </c>
      <c r="AA10" s="8" t="str">
        <f>IF(CSV!AC7=0,"",使用数!AC7)&amp;IF(CSV!AC7=0,"","("&amp;CSV!AC7&amp;")")</f>
        <v/>
      </c>
      <c r="AB10" s="8" t="str">
        <f>IF(CSV!AD7=0,"",使用数!AD7)&amp;IF(CSV!AD7=0,"","("&amp;CSV!AD7&amp;")")</f>
        <v/>
      </c>
      <c r="AC10" s="8" t="str">
        <f>IF(CSV!AE7=0,"",使用数!AE7)&amp;IF(CSV!AE7=0,"","("&amp;CSV!AE7&amp;")")</f>
        <v/>
      </c>
      <c r="AD10" s="8" t="str">
        <f>IF(CSV!AF7=0,"",使用数!AF7)&amp;IF(CSV!AF7=0,"","("&amp;CSV!AF7&amp;")")</f>
        <v/>
      </c>
      <c r="AE10" s="8" t="str">
        <f>IF(CSV!AG7=0,"",使用数!AG7)&amp;IF(CSV!AG7=0,"","("&amp;CSV!AG7&amp;")")</f>
        <v/>
      </c>
      <c r="AF10" s="8" t="str">
        <f>IF(CSV!AH7=0,"",使用数!AH7)&amp;IF(CSV!AH7=0,"","("&amp;CSV!AH7&amp;")")</f>
        <v/>
      </c>
      <c r="AG10" s="8" t="str">
        <f>IF(CSV!AI7=0,"",使用数!AI7)&amp;IF(CSV!AI7=0,"","("&amp;CSV!AI7&amp;")")</f>
        <v/>
      </c>
      <c r="AH10" s="8" t="str">
        <f>IF(CSV!AJ7=0,"",使用数!AJ7)&amp;IF(CSV!AJ7=0,"","("&amp;CSV!AJ7&amp;")")</f>
        <v/>
      </c>
      <c r="AI10" s="8" t="str">
        <f>IF(CSV!AK7=0,"",使用数!AK7)&amp;IF(CSV!AK7=0,"","("&amp;CSV!AK7&amp;")")</f>
        <v/>
      </c>
      <c r="AJ10" s="8" t="str">
        <f>IF(CSV!AL7=0,"",使用数!AL7)&amp;IF(CSV!AL7=0,"","("&amp;CSV!AL7&amp;")")</f>
        <v/>
      </c>
      <c r="AK10" s="8" t="str">
        <f>IF(CSV!AM7=0,"",使用数!AM7)&amp;IF(CSV!AM7=0,"","("&amp;CSV!AM7&amp;")")</f>
        <v/>
      </c>
    </row>
    <row r="11" spans="1:37" ht="27" customHeight="1" x14ac:dyDescent="0.55000000000000004">
      <c r="A11" s="12"/>
      <c r="B11" s="11">
        <v>141006</v>
      </c>
      <c r="C11" s="9" t="str">
        <f>IF(CSV!F8&lt;&gt;0,CSV!F8,"")</f>
        <v/>
      </c>
      <c r="D11" s="11">
        <f>HLOOKUP("部品説明",CSV!$B$2:$CC$42,B11-140999,FALSE)</f>
        <v>0</v>
      </c>
      <c r="E11" s="11" t="str">
        <f>IF(CSV!G8=0,"",CSV!G8)</f>
        <v/>
      </c>
      <c r="F11" s="11">
        <f>CSV!$H8</f>
        <v>0</v>
      </c>
      <c r="G11" s="11" t="str">
        <f>IF(CSV!I8=0,"",使用数!I8)&amp;IF(CSV!I8=0,"","("&amp;CSV!I8&amp;")")</f>
        <v/>
      </c>
      <c r="H11" s="11" t="str">
        <f>IF(CSV!J8=0,"",使用数!J8)&amp;IF(CSV!J8=0,"","("&amp;CSV!J8&amp;")")</f>
        <v/>
      </c>
      <c r="I11" s="11" t="str">
        <f>IF(CSV!K8=0,"",使用数!K8)&amp;IF(CSV!K8=0,"","("&amp;CSV!K8&amp;")")</f>
        <v/>
      </c>
      <c r="J11" s="11" t="str">
        <f>IF(CSV!L8=0,"",使用数!L8)&amp;IF(CSV!L8=0,"","("&amp;CSV!L8&amp;")")</f>
        <v/>
      </c>
      <c r="K11" s="11" t="str">
        <f>IF(CSV!M8=0,"",使用数!M8)&amp;IF(CSV!M8=0,"","("&amp;CSV!M8&amp;")")</f>
        <v/>
      </c>
      <c r="L11" s="11" t="str">
        <f>IF(CSV!N8=0,"",使用数!N8)&amp;IF(CSV!N8=0,"","("&amp;CSV!N8&amp;")")</f>
        <v/>
      </c>
      <c r="M11" s="11" t="str">
        <f>IF(CSV!O8=0,"",使用数!O8)&amp;IF(CSV!O8=0,"","("&amp;CSV!O8&amp;")")</f>
        <v/>
      </c>
      <c r="N11" s="11" t="str">
        <f>IF(CSV!P8=0,"",使用数!P8)&amp;IF(CSV!P8=0,"","("&amp;CSV!P8&amp;")")</f>
        <v/>
      </c>
      <c r="O11" s="11" t="str">
        <f>IF(CSV!Q8=0,"",使用数!Q8)&amp;IF(CSV!Q8=0,"","("&amp;CSV!Q8&amp;")")</f>
        <v/>
      </c>
      <c r="P11" s="11" t="str">
        <f>IF(CSV!R8=0,"",使用数!R8)&amp;IF(CSV!R8=0,"","("&amp;CSV!R8&amp;")")</f>
        <v/>
      </c>
      <c r="Q11" s="11" t="str">
        <f>IF(CSV!S8=0,"",使用数!S8)&amp;IF(CSV!S8=0,"","("&amp;CSV!S8&amp;")")</f>
        <v/>
      </c>
      <c r="R11" s="11" t="str">
        <f>IF(CSV!T8=0,"",使用数!T8)&amp;IF(CSV!T8=0,"","("&amp;CSV!T8&amp;")")</f>
        <v/>
      </c>
      <c r="S11" s="11" t="str">
        <f>IF(CSV!U8=0,"",使用数!U8)&amp;IF(CSV!U8=0,"","("&amp;CSV!U8&amp;")")</f>
        <v/>
      </c>
      <c r="T11" s="11" t="str">
        <f>IF(CSV!V8=0,"",使用数!V8)&amp;IF(CSV!V8=0,"","("&amp;CSV!V8&amp;")")</f>
        <v/>
      </c>
      <c r="U11" s="11" t="str">
        <f>IF(CSV!W8=0,"",使用数!W8)&amp;IF(CSV!W8=0,"","("&amp;CSV!W8&amp;")")</f>
        <v/>
      </c>
      <c r="V11" s="11" t="str">
        <f>IF(CSV!X8=0,"",使用数!X8)&amp;IF(CSV!X8=0,"","("&amp;CSV!X8&amp;")")</f>
        <v/>
      </c>
      <c r="W11" s="11" t="str">
        <f>IF(CSV!Y8=0,"",使用数!Y8)&amp;IF(CSV!Y8=0,"","("&amp;CSV!Y8&amp;")")</f>
        <v/>
      </c>
      <c r="X11" s="11" t="str">
        <f>IF(CSV!Z8=0,"",使用数!Z8)&amp;IF(CSV!Z8=0,"","("&amp;CSV!Z8&amp;")")</f>
        <v/>
      </c>
      <c r="Y11" s="11" t="str">
        <f>IF(CSV!AA8=0,"",使用数!AA8)&amp;IF(CSV!AA8=0,"","("&amp;CSV!AA8&amp;")")</f>
        <v/>
      </c>
      <c r="Z11" s="11" t="str">
        <f>IF(CSV!AB8=0,"",使用数!AB8)&amp;IF(CSV!AB8=0,"","("&amp;CSV!AB8&amp;")")</f>
        <v/>
      </c>
      <c r="AA11" s="11" t="str">
        <f>IF(CSV!AC8=0,"",使用数!AC8)&amp;IF(CSV!AC8=0,"","("&amp;CSV!AC8&amp;")")</f>
        <v/>
      </c>
      <c r="AB11" s="11" t="str">
        <f>IF(CSV!AD8=0,"",使用数!AD8)&amp;IF(CSV!AD8=0,"","("&amp;CSV!AD8&amp;")")</f>
        <v/>
      </c>
      <c r="AC11" s="11" t="str">
        <f>IF(CSV!AE8=0,"",使用数!AE8)&amp;IF(CSV!AE8=0,"","("&amp;CSV!AE8&amp;")")</f>
        <v/>
      </c>
      <c r="AD11" s="11" t="str">
        <f>IF(CSV!AF8=0,"",使用数!AF8)&amp;IF(CSV!AF8=0,"","("&amp;CSV!AF8&amp;")")</f>
        <v/>
      </c>
      <c r="AE11" s="11" t="str">
        <f>IF(CSV!AG8=0,"",使用数!AG8)&amp;IF(CSV!AG8=0,"","("&amp;CSV!AG8&amp;")")</f>
        <v/>
      </c>
      <c r="AF11" s="11" t="str">
        <f>IF(CSV!AH8=0,"",使用数!AH8)&amp;IF(CSV!AH8=0,"","("&amp;CSV!AH8&amp;")")</f>
        <v/>
      </c>
      <c r="AG11" s="11" t="str">
        <f>IF(CSV!AI8=0,"",使用数!AI8)&amp;IF(CSV!AI8=0,"","("&amp;CSV!AI8&amp;")")</f>
        <v/>
      </c>
      <c r="AH11" s="11" t="str">
        <f>IF(CSV!AJ8=0,"",使用数!AJ8)&amp;IF(CSV!AJ8=0,"","("&amp;CSV!AJ8&amp;")")</f>
        <v/>
      </c>
      <c r="AI11" s="11" t="str">
        <f>IF(CSV!AK8=0,"",使用数!AK8)&amp;IF(CSV!AK8=0,"","("&amp;CSV!AK8&amp;")")</f>
        <v/>
      </c>
      <c r="AJ11" s="11" t="str">
        <f>IF(CSV!AL8=0,"",使用数!AL8)&amp;IF(CSV!AL8=0,"","("&amp;CSV!AL8&amp;")")</f>
        <v/>
      </c>
      <c r="AK11" s="11" t="str">
        <f>IF(CSV!AM8=0,"",使用数!AM8)&amp;IF(CSV!AM8=0,"","("&amp;CSV!AM8&amp;")")</f>
        <v/>
      </c>
    </row>
    <row r="12" spans="1:37" s="7" customFormat="1" ht="27" customHeight="1" x14ac:dyDescent="0.55000000000000004">
      <c r="A12" s="10"/>
      <c r="B12" s="8">
        <v>141007</v>
      </c>
      <c r="C12" s="9" t="str">
        <f>IF(CSV!F9&lt;&gt;0,CSV!F9,"")</f>
        <v/>
      </c>
      <c r="D12" s="8">
        <f>HLOOKUP("部品説明",CSV!$B$2:$CC$42,B12-140999,FALSE)</f>
        <v>0</v>
      </c>
      <c r="E12" s="8" t="str">
        <f>IF(CSV!G9=0,"",CSV!G9)</f>
        <v/>
      </c>
      <c r="F12" s="8">
        <f>CSV!$H9</f>
        <v>0</v>
      </c>
      <c r="G12" s="8" t="str">
        <f>IF(CSV!I9=0,"",使用数!I9)&amp;IF(CSV!I9=0,"","("&amp;CSV!I9&amp;")")</f>
        <v/>
      </c>
      <c r="H12" s="8" t="str">
        <f>IF(CSV!J9=0,"",使用数!J9)&amp;IF(CSV!J9=0,"","("&amp;CSV!J9&amp;")")</f>
        <v/>
      </c>
      <c r="I12" s="8" t="str">
        <f>IF(CSV!K9=0,"",使用数!K9)&amp;IF(CSV!K9=0,"","("&amp;CSV!K9&amp;")")</f>
        <v/>
      </c>
      <c r="J12" s="8" t="str">
        <f>IF(CSV!L9=0,"",使用数!L9)&amp;IF(CSV!L9=0,"","("&amp;CSV!L9&amp;")")</f>
        <v/>
      </c>
      <c r="K12" s="8" t="str">
        <f>IF(CSV!M9=0,"",使用数!M9)&amp;IF(CSV!M9=0,"","("&amp;CSV!M9&amp;")")</f>
        <v/>
      </c>
      <c r="L12" s="8" t="str">
        <f>IF(CSV!N9=0,"",使用数!N9)&amp;IF(CSV!N9=0,"","("&amp;CSV!N9&amp;")")</f>
        <v/>
      </c>
      <c r="M12" s="8" t="str">
        <f>IF(CSV!O9=0,"",使用数!O9)&amp;IF(CSV!O9=0,"","("&amp;CSV!O9&amp;")")</f>
        <v/>
      </c>
      <c r="N12" s="8" t="str">
        <f>IF(CSV!P9=0,"",使用数!P9)&amp;IF(CSV!P9=0,"","("&amp;CSV!P9&amp;")")</f>
        <v/>
      </c>
      <c r="O12" s="8" t="str">
        <f>IF(CSV!Q9=0,"",使用数!Q9)&amp;IF(CSV!Q9=0,"","("&amp;CSV!Q9&amp;")")</f>
        <v/>
      </c>
      <c r="P12" s="8" t="str">
        <f>IF(CSV!R9=0,"",使用数!R9)&amp;IF(CSV!R9=0,"","("&amp;CSV!R9&amp;")")</f>
        <v/>
      </c>
      <c r="Q12" s="8" t="str">
        <f>IF(CSV!S9=0,"",使用数!S9)&amp;IF(CSV!S9=0,"","("&amp;CSV!S9&amp;")")</f>
        <v/>
      </c>
      <c r="R12" s="8" t="str">
        <f>IF(CSV!T9=0,"",使用数!T9)&amp;IF(CSV!T9=0,"","("&amp;CSV!T9&amp;")")</f>
        <v/>
      </c>
      <c r="S12" s="8" t="str">
        <f>IF(CSV!U9=0,"",使用数!U9)&amp;IF(CSV!U9=0,"","("&amp;CSV!U9&amp;")")</f>
        <v/>
      </c>
      <c r="T12" s="8" t="str">
        <f>IF(CSV!V9=0,"",使用数!V9)&amp;IF(CSV!V9=0,"","("&amp;CSV!V9&amp;")")</f>
        <v/>
      </c>
      <c r="U12" s="8" t="str">
        <f>IF(CSV!W9=0,"",使用数!W9)&amp;IF(CSV!W9=0,"","("&amp;CSV!W9&amp;")")</f>
        <v/>
      </c>
      <c r="V12" s="8" t="str">
        <f>IF(CSV!X9=0,"",使用数!X9)&amp;IF(CSV!X9=0,"","("&amp;CSV!X9&amp;")")</f>
        <v/>
      </c>
      <c r="W12" s="8" t="str">
        <f>IF(CSV!Y9=0,"",使用数!Y9)&amp;IF(CSV!Y9=0,"","("&amp;CSV!Y9&amp;")")</f>
        <v/>
      </c>
      <c r="X12" s="8" t="str">
        <f>IF(CSV!Z9=0,"",使用数!Z9)&amp;IF(CSV!Z9=0,"","("&amp;CSV!Z9&amp;")")</f>
        <v/>
      </c>
      <c r="Y12" s="8" t="str">
        <f>IF(CSV!AA9=0,"",使用数!AA9)&amp;IF(CSV!AA9=0,"","("&amp;CSV!AA9&amp;")")</f>
        <v/>
      </c>
      <c r="Z12" s="8" t="str">
        <f>IF(CSV!AB9=0,"",使用数!AB9)&amp;IF(CSV!AB9=0,"","("&amp;CSV!AB9&amp;")")</f>
        <v/>
      </c>
      <c r="AA12" s="8" t="str">
        <f>IF(CSV!AC9=0,"",使用数!AC9)&amp;IF(CSV!AC9=0,"","("&amp;CSV!AC9&amp;")")</f>
        <v/>
      </c>
      <c r="AB12" s="8" t="str">
        <f>IF(CSV!AD9=0,"",使用数!AD9)&amp;IF(CSV!AD9=0,"","("&amp;CSV!AD9&amp;")")</f>
        <v/>
      </c>
      <c r="AC12" s="8" t="str">
        <f>IF(CSV!AE9=0,"",使用数!AE9)&amp;IF(CSV!AE9=0,"","("&amp;CSV!AE9&amp;")")</f>
        <v/>
      </c>
      <c r="AD12" s="8" t="str">
        <f>IF(CSV!AF9=0,"",使用数!AF9)&amp;IF(CSV!AF9=0,"","("&amp;CSV!AF9&amp;")")</f>
        <v/>
      </c>
      <c r="AE12" s="8" t="str">
        <f>IF(CSV!AG9=0,"",使用数!AG9)&amp;IF(CSV!AG9=0,"","("&amp;CSV!AG9&amp;")")</f>
        <v/>
      </c>
      <c r="AF12" s="8" t="str">
        <f>IF(CSV!AH9=0,"",使用数!AH9)&amp;IF(CSV!AH9=0,"","("&amp;CSV!AH9&amp;")")</f>
        <v/>
      </c>
      <c r="AG12" s="8" t="str">
        <f>IF(CSV!AI9=0,"",使用数!AI9)&amp;IF(CSV!AI9=0,"","("&amp;CSV!AI9&amp;")")</f>
        <v/>
      </c>
      <c r="AH12" s="8" t="str">
        <f>IF(CSV!AJ9=0,"",使用数!AJ9)&amp;IF(CSV!AJ9=0,"","("&amp;CSV!AJ9&amp;")")</f>
        <v/>
      </c>
      <c r="AI12" s="8" t="str">
        <f>IF(CSV!AK9=0,"",使用数!AK9)&amp;IF(CSV!AK9=0,"","("&amp;CSV!AK9&amp;")")</f>
        <v/>
      </c>
      <c r="AJ12" s="8" t="str">
        <f>IF(CSV!AL9=0,"",使用数!AL9)&amp;IF(CSV!AL9=0,"","("&amp;CSV!AL9&amp;")")</f>
        <v/>
      </c>
      <c r="AK12" s="8" t="str">
        <f>IF(CSV!AM9=0,"",使用数!AM9)&amp;IF(CSV!AM9=0,"","("&amp;CSV!AM9&amp;")")</f>
        <v/>
      </c>
    </row>
    <row r="13" spans="1:37" ht="27" customHeight="1" x14ac:dyDescent="0.55000000000000004">
      <c r="A13" s="12"/>
      <c r="B13" s="11">
        <v>141008</v>
      </c>
      <c r="C13" s="9" t="str">
        <f>IF(CSV!F10&lt;&gt;0,CSV!F10,"")</f>
        <v/>
      </c>
      <c r="D13" s="11">
        <f>HLOOKUP("部品説明",CSV!$B$2:$CC$42,B13-140999,FALSE)</f>
        <v>0</v>
      </c>
      <c r="E13" s="11" t="str">
        <f>IF(CSV!G10=0,"",CSV!G10)</f>
        <v/>
      </c>
      <c r="F13" s="11">
        <f>CSV!$H10</f>
        <v>0</v>
      </c>
      <c r="G13" s="11" t="str">
        <f>IF(CSV!I10=0,"",使用数!I10)&amp;IF(CSV!I10=0,"","("&amp;CSV!I10&amp;")")</f>
        <v/>
      </c>
      <c r="H13" s="11" t="str">
        <f>IF(CSV!J10=0,"",使用数!J10)&amp;IF(CSV!J10=0,"","("&amp;CSV!J10&amp;")")</f>
        <v/>
      </c>
      <c r="I13" s="11" t="str">
        <f>IF(CSV!K10=0,"",使用数!K10)&amp;IF(CSV!K10=0,"","("&amp;CSV!K10&amp;")")</f>
        <v/>
      </c>
      <c r="J13" s="11" t="str">
        <f>IF(CSV!L10=0,"",使用数!L10)&amp;IF(CSV!L10=0,"","("&amp;CSV!L10&amp;")")</f>
        <v/>
      </c>
      <c r="K13" s="11" t="str">
        <f>IF(CSV!M10=0,"",使用数!M10)&amp;IF(CSV!M10=0,"","("&amp;CSV!M10&amp;")")</f>
        <v/>
      </c>
      <c r="L13" s="11" t="str">
        <f>IF(CSV!N10=0,"",使用数!N10)&amp;IF(CSV!N10=0,"","("&amp;CSV!N10&amp;")")</f>
        <v/>
      </c>
      <c r="M13" s="11" t="str">
        <f>IF(CSV!O10=0,"",使用数!O10)&amp;IF(CSV!O10=0,"","("&amp;CSV!O10&amp;")")</f>
        <v/>
      </c>
      <c r="N13" s="11" t="str">
        <f>IF(CSV!P10=0,"",使用数!P10)&amp;IF(CSV!P10=0,"","("&amp;CSV!P10&amp;")")</f>
        <v/>
      </c>
      <c r="O13" s="11" t="str">
        <f>IF(CSV!Q10=0,"",使用数!Q10)&amp;IF(CSV!Q10=0,"","("&amp;CSV!Q10&amp;")")</f>
        <v/>
      </c>
      <c r="P13" s="11" t="str">
        <f>IF(CSV!R10=0,"",使用数!R10)&amp;IF(CSV!R10=0,"","("&amp;CSV!R10&amp;")")</f>
        <v/>
      </c>
      <c r="Q13" s="11" t="str">
        <f>IF(CSV!S10=0,"",使用数!S10)&amp;IF(CSV!S10=0,"","("&amp;CSV!S10&amp;")")</f>
        <v/>
      </c>
      <c r="R13" s="11" t="str">
        <f>IF(CSV!T10=0,"",使用数!T10)&amp;IF(CSV!T10=0,"","("&amp;CSV!T10&amp;")")</f>
        <v/>
      </c>
      <c r="S13" s="11" t="str">
        <f>IF(CSV!U10=0,"",使用数!U10)&amp;IF(CSV!U10=0,"","("&amp;CSV!U10&amp;")")</f>
        <v/>
      </c>
      <c r="T13" s="11" t="str">
        <f>IF(CSV!V10=0,"",使用数!V10)&amp;IF(CSV!V10=0,"","("&amp;CSV!V10&amp;")")</f>
        <v/>
      </c>
      <c r="U13" s="11" t="str">
        <f>IF(CSV!W10=0,"",使用数!W10)&amp;IF(CSV!W10=0,"","("&amp;CSV!W10&amp;")")</f>
        <v/>
      </c>
      <c r="V13" s="11" t="str">
        <f>IF(CSV!X10=0,"",使用数!X10)&amp;IF(CSV!X10=0,"","("&amp;CSV!X10&amp;")")</f>
        <v/>
      </c>
      <c r="W13" s="11" t="str">
        <f>IF(CSV!Y10=0,"",使用数!Y10)&amp;IF(CSV!Y10=0,"","("&amp;CSV!Y10&amp;")")</f>
        <v/>
      </c>
      <c r="X13" s="11" t="str">
        <f>IF(CSV!Z10=0,"",使用数!Z10)&amp;IF(CSV!Z10=0,"","("&amp;CSV!Z10&amp;")")</f>
        <v/>
      </c>
      <c r="Y13" s="11" t="str">
        <f>IF(CSV!AA10=0,"",使用数!AA10)&amp;IF(CSV!AA10=0,"","("&amp;CSV!AA10&amp;")")</f>
        <v/>
      </c>
      <c r="Z13" s="11" t="str">
        <f>IF(CSV!AB10=0,"",使用数!AB10)&amp;IF(CSV!AB10=0,"","("&amp;CSV!AB10&amp;")")</f>
        <v/>
      </c>
      <c r="AA13" s="11" t="str">
        <f>IF(CSV!AC10=0,"",使用数!AC10)&amp;IF(CSV!AC10=0,"","("&amp;CSV!AC10&amp;")")</f>
        <v/>
      </c>
      <c r="AB13" s="11" t="str">
        <f>IF(CSV!AD10=0,"",使用数!AD10)&amp;IF(CSV!AD10=0,"","("&amp;CSV!AD10&amp;")")</f>
        <v/>
      </c>
      <c r="AC13" s="11" t="str">
        <f>IF(CSV!AE10=0,"",使用数!AE10)&amp;IF(CSV!AE10=0,"","("&amp;CSV!AE10&amp;")")</f>
        <v/>
      </c>
      <c r="AD13" s="11" t="str">
        <f>IF(CSV!AF10=0,"",使用数!AF10)&amp;IF(CSV!AF10=0,"","("&amp;CSV!AF10&amp;")")</f>
        <v/>
      </c>
      <c r="AE13" s="11" t="str">
        <f>IF(CSV!AG10=0,"",使用数!AG10)&amp;IF(CSV!AG10=0,"","("&amp;CSV!AG10&amp;")")</f>
        <v/>
      </c>
      <c r="AF13" s="11" t="str">
        <f>IF(CSV!AH10=0,"",使用数!AH10)&amp;IF(CSV!AH10=0,"","("&amp;CSV!AH10&amp;")")</f>
        <v/>
      </c>
      <c r="AG13" s="11" t="str">
        <f>IF(CSV!AI10=0,"",使用数!AI10)&amp;IF(CSV!AI10=0,"","("&amp;CSV!AI10&amp;")")</f>
        <v/>
      </c>
      <c r="AH13" s="11" t="str">
        <f>IF(CSV!AJ10=0,"",使用数!AJ10)&amp;IF(CSV!AJ10=0,"","("&amp;CSV!AJ10&amp;")")</f>
        <v/>
      </c>
      <c r="AI13" s="11" t="str">
        <f>IF(CSV!AK10=0,"",使用数!AK10)&amp;IF(CSV!AK10=0,"","("&amp;CSV!AK10&amp;")")</f>
        <v/>
      </c>
      <c r="AJ13" s="11" t="str">
        <f>IF(CSV!AL10=0,"",使用数!AL10)&amp;IF(CSV!AL10=0,"","("&amp;CSV!AL10&amp;")")</f>
        <v/>
      </c>
      <c r="AK13" s="11" t="str">
        <f>IF(CSV!AM10=0,"",使用数!AM10)&amp;IF(CSV!AM10=0,"","("&amp;CSV!AM10&amp;")")</f>
        <v/>
      </c>
    </row>
    <row r="14" spans="1:37" s="7" customFormat="1" ht="27" customHeight="1" x14ac:dyDescent="0.55000000000000004">
      <c r="A14" s="10"/>
      <c r="B14" s="8">
        <v>141009</v>
      </c>
      <c r="C14" s="9" t="str">
        <f>IF(CSV!F11&lt;&gt;0,CSV!F11,"")</f>
        <v/>
      </c>
      <c r="D14" s="8">
        <f>HLOOKUP("部品説明",CSV!$B$2:$CC$42,B14-140999,FALSE)</f>
        <v>0</v>
      </c>
      <c r="E14" s="8" t="str">
        <f>IF(CSV!G11=0,"",CSV!G11)</f>
        <v/>
      </c>
      <c r="F14" s="8">
        <f>CSV!$H11</f>
        <v>0</v>
      </c>
      <c r="G14" s="8" t="str">
        <f>IF(CSV!I11=0,"",使用数!I11)&amp;IF(CSV!I11=0,"","("&amp;CSV!I11&amp;")")</f>
        <v/>
      </c>
      <c r="H14" s="8" t="str">
        <f>IF(CSV!J11=0,"",使用数!J11)&amp;IF(CSV!J11=0,"","("&amp;CSV!J11&amp;")")</f>
        <v/>
      </c>
      <c r="I14" s="8" t="str">
        <f>IF(CSV!K11=0,"",使用数!K11)&amp;IF(CSV!K11=0,"","("&amp;CSV!K11&amp;")")</f>
        <v/>
      </c>
      <c r="J14" s="8" t="str">
        <f>IF(CSV!L11=0,"",使用数!L11)&amp;IF(CSV!L11=0,"","("&amp;CSV!L11&amp;")")</f>
        <v/>
      </c>
      <c r="K14" s="8" t="str">
        <f>IF(CSV!M11=0,"",使用数!M11)&amp;IF(CSV!M11=0,"","("&amp;CSV!M11&amp;")")</f>
        <v/>
      </c>
      <c r="L14" s="8" t="str">
        <f>IF(CSV!N11=0,"",使用数!N11)&amp;IF(CSV!N11=0,"","("&amp;CSV!N11&amp;")")</f>
        <v/>
      </c>
      <c r="M14" s="8" t="str">
        <f>IF(CSV!O11=0,"",使用数!O11)&amp;IF(CSV!O11=0,"","("&amp;CSV!O11&amp;")")</f>
        <v/>
      </c>
      <c r="N14" s="8" t="str">
        <f>IF(CSV!P11=0,"",使用数!P11)&amp;IF(CSV!P11=0,"","("&amp;CSV!P11&amp;")")</f>
        <v/>
      </c>
      <c r="O14" s="8" t="str">
        <f>IF(CSV!Q11=0,"",使用数!Q11)&amp;IF(CSV!Q11=0,"","("&amp;CSV!Q11&amp;")")</f>
        <v/>
      </c>
      <c r="P14" s="8" t="str">
        <f>IF(CSV!R11=0,"",使用数!R11)&amp;IF(CSV!R11=0,"","("&amp;CSV!R11&amp;")")</f>
        <v/>
      </c>
      <c r="Q14" s="8" t="str">
        <f>IF(CSV!S11=0,"",使用数!S11)&amp;IF(CSV!S11=0,"","("&amp;CSV!S11&amp;")")</f>
        <v/>
      </c>
      <c r="R14" s="8" t="str">
        <f>IF(CSV!T11=0,"",使用数!T11)&amp;IF(CSV!T11=0,"","("&amp;CSV!T11&amp;")")</f>
        <v/>
      </c>
      <c r="S14" s="8" t="str">
        <f>IF(CSV!U11=0,"",使用数!U11)&amp;IF(CSV!U11=0,"","("&amp;CSV!U11&amp;")")</f>
        <v/>
      </c>
      <c r="T14" s="8" t="str">
        <f>IF(CSV!V11=0,"",使用数!V11)&amp;IF(CSV!V11=0,"","("&amp;CSV!V11&amp;")")</f>
        <v/>
      </c>
      <c r="U14" s="8" t="str">
        <f>IF(CSV!W11=0,"",使用数!W11)&amp;IF(CSV!W11=0,"","("&amp;CSV!W11&amp;")")</f>
        <v/>
      </c>
      <c r="V14" s="8" t="str">
        <f>IF(CSV!X11=0,"",使用数!X11)&amp;IF(CSV!X11=0,"","("&amp;CSV!X11&amp;")")</f>
        <v/>
      </c>
      <c r="W14" s="8" t="str">
        <f>IF(CSV!Y11=0,"",使用数!Y11)&amp;IF(CSV!Y11=0,"","("&amp;CSV!Y11&amp;")")</f>
        <v/>
      </c>
      <c r="X14" s="8" t="str">
        <f>IF(CSV!Z11=0,"",使用数!Z11)&amp;IF(CSV!Z11=0,"","("&amp;CSV!Z11&amp;")")</f>
        <v/>
      </c>
      <c r="Y14" s="8" t="str">
        <f>IF(CSV!AA11=0,"",使用数!AA11)&amp;IF(CSV!AA11=0,"","("&amp;CSV!AA11&amp;")")</f>
        <v/>
      </c>
      <c r="Z14" s="8" t="str">
        <f>IF(CSV!AB11=0,"",使用数!AB11)&amp;IF(CSV!AB11=0,"","("&amp;CSV!AB11&amp;")")</f>
        <v/>
      </c>
      <c r="AA14" s="8" t="str">
        <f>IF(CSV!AC11=0,"",使用数!AC11)&amp;IF(CSV!AC11=0,"","("&amp;CSV!AC11&amp;")")</f>
        <v/>
      </c>
      <c r="AB14" s="8" t="str">
        <f>IF(CSV!AD11=0,"",使用数!AD11)&amp;IF(CSV!AD11=0,"","("&amp;CSV!AD11&amp;")")</f>
        <v/>
      </c>
      <c r="AC14" s="8" t="str">
        <f>IF(CSV!AE11=0,"",使用数!AE11)&amp;IF(CSV!AE11=0,"","("&amp;CSV!AE11&amp;")")</f>
        <v/>
      </c>
      <c r="AD14" s="8" t="str">
        <f>IF(CSV!AF11=0,"",使用数!AF11)&amp;IF(CSV!AF11=0,"","("&amp;CSV!AF11&amp;")")</f>
        <v/>
      </c>
      <c r="AE14" s="8" t="str">
        <f>IF(CSV!AG11=0,"",使用数!AG11)&amp;IF(CSV!AG11=0,"","("&amp;CSV!AG11&amp;")")</f>
        <v/>
      </c>
      <c r="AF14" s="8" t="str">
        <f>IF(CSV!AH11=0,"",使用数!AH11)&amp;IF(CSV!AH11=0,"","("&amp;CSV!AH11&amp;")")</f>
        <v/>
      </c>
      <c r="AG14" s="8" t="str">
        <f>IF(CSV!AI11=0,"",使用数!AI11)&amp;IF(CSV!AI11=0,"","("&amp;CSV!AI11&amp;")")</f>
        <v/>
      </c>
      <c r="AH14" s="8" t="str">
        <f>IF(CSV!AJ11=0,"",使用数!AJ11)&amp;IF(CSV!AJ11=0,"","("&amp;CSV!AJ11&amp;")")</f>
        <v/>
      </c>
      <c r="AI14" s="8" t="str">
        <f>IF(CSV!AK11=0,"",使用数!AK11)&amp;IF(CSV!AK11=0,"","("&amp;CSV!AK11&amp;")")</f>
        <v/>
      </c>
      <c r="AJ14" s="8" t="str">
        <f>IF(CSV!AL11=0,"",使用数!AL11)&amp;IF(CSV!AL11=0,"","("&amp;CSV!AL11&amp;")")</f>
        <v/>
      </c>
      <c r="AK14" s="8" t="str">
        <f>IF(CSV!AM11=0,"",使用数!AM11)&amp;IF(CSV!AM11=0,"","("&amp;CSV!AM11&amp;")")</f>
        <v/>
      </c>
    </row>
    <row r="15" spans="1:37" ht="27" customHeight="1" x14ac:dyDescent="0.55000000000000004">
      <c r="A15" s="12"/>
      <c r="B15" s="11">
        <v>141010</v>
      </c>
      <c r="C15" s="9" t="str">
        <f>IF(CSV!F12&lt;&gt;0,CSV!F12,"")</f>
        <v/>
      </c>
      <c r="D15" s="8">
        <f>HLOOKUP("部品説明",CSV!$B$2:$CC$42,B15-140999,FALSE)</f>
        <v>0</v>
      </c>
      <c r="E15" s="11" t="str">
        <f>IF(CSV!G12=0,"",CSV!G12)</f>
        <v/>
      </c>
      <c r="F15" s="11">
        <f>CSV!$H12</f>
        <v>0</v>
      </c>
      <c r="G15" s="11" t="str">
        <f>IF(CSV!I12=0,"",使用数!I12)&amp;IF(CSV!I12=0,"","("&amp;CSV!I12&amp;")")</f>
        <v/>
      </c>
      <c r="H15" s="11" t="str">
        <f>IF(CSV!J12=0,"",使用数!J12)&amp;IF(CSV!J12=0,"","("&amp;CSV!J12&amp;")")</f>
        <v/>
      </c>
      <c r="I15" s="11" t="str">
        <f>IF(CSV!K12=0,"",使用数!K12)&amp;IF(CSV!K12=0,"","("&amp;CSV!K12&amp;")")</f>
        <v/>
      </c>
      <c r="J15" s="11" t="str">
        <f>IF(CSV!L12=0,"",使用数!L12)&amp;IF(CSV!L12=0,"","("&amp;CSV!L12&amp;")")</f>
        <v/>
      </c>
      <c r="K15" s="11" t="str">
        <f>IF(CSV!M12=0,"",使用数!M12)&amp;IF(CSV!M12=0,"","("&amp;CSV!M12&amp;")")</f>
        <v/>
      </c>
      <c r="L15" s="11" t="str">
        <f>IF(CSV!N12=0,"",使用数!N12)&amp;IF(CSV!N12=0,"","("&amp;CSV!N12&amp;")")</f>
        <v/>
      </c>
      <c r="M15" s="11" t="str">
        <f>IF(CSV!O12=0,"",使用数!O12)&amp;IF(CSV!O12=0,"","("&amp;CSV!O12&amp;")")</f>
        <v/>
      </c>
      <c r="N15" s="11" t="str">
        <f>IF(CSV!P12=0,"",使用数!P12)&amp;IF(CSV!P12=0,"","("&amp;CSV!P12&amp;")")</f>
        <v/>
      </c>
      <c r="O15" s="11" t="str">
        <f>IF(CSV!Q12=0,"",使用数!Q12)&amp;IF(CSV!Q12=0,"","("&amp;CSV!Q12&amp;")")</f>
        <v/>
      </c>
      <c r="P15" s="11" t="str">
        <f>IF(CSV!R12=0,"",使用数!R12)&amp;IF(CSV!R12=0,"","("&amp;CSV!R12&amp;")")</f>
        <v/>
      </c>
      <c r="Q15" s="11" t="str">
        <f>IF(CSV!S12=0,"",使用数!S12)&amp;IF(CSV!S12=0,"","("&amp;CSV!S12&amp;")")</f>
        <v/>
      </c>
      <c r="R15" s="11" t="str">
        <f>IF(CSV!T12=0,"",使用数!T12)&amp;IF(CSV!T12=0,"","("&amp;CSV!T12&amp;")")</f>
        <v/>
      </c>
      <c r="S15" s="11" t="str">
        <f>IF(CSV!U12=0,"",使用数!U12)&amp;IF(CSV!U12=0,"","("&amp;CSV!U12&amp;")")</f>
        <v/>
      </c>
      <c r="T15" s="11" t="str">
        <f>IF(CSV!V12=0,"",使用数!V12)&amp;IF(CSV!V12=0,"","("&amp;CSV!V12&amp;")")</f>
        <v/>
      </c>
      <c r="U15" s="11" t="str">
        <f>IF(CSV!W12=0,"",使用数!W12)&amp;IF(CSV!W12=0,"","("&amp;CSV!W12&amp;")")</f>
        <v/>
      </c>
      <c r="V15" s="11" t="str">
        <f>IF(CSV!X12=0,"",使用数!X12)&amp;IF(CSV!X12=0,"","("&amp;CSV!X12&amp;")")</f>
        <v/>
      </c>
      <c r="W15" s="11" t="str">
        <f>IF(CSV!Y12=0,"",使用数!Y12)&amp;IF(CSV!Y12=0,"","("&amp;CSV!Y12&amp;")")</f>
        <v/>
      </c>
      <c r="X15" s="11" t="str">
        <f>IF(CSV!Z12=0,"",使用数!Z12)&amp;IF(CSV!Z12=0,"","("&amp;CSV!Z12&amp;")")</f>
        <v/>
      </c>
      <c r="Y15" s="11" t="str">
        <f>IF(CSV!AA12=0,"",使用数!AA12)&amp;IF(CSV!AA12=0,"","("&amp;CSV!AA12&amp;")")</f>
        <v/>
      </c>
      <c r="Z15" s="11" t="str">
        <f>IF(CSV!AB12=0,"",使用数!AB12)&amp;IF(CSV!AB12=0,"","("&amp;CSV!AB12&amp;")")</f>
        <v/>
      </c>
      <c r="AA15" s="11" t="str">
        <f>IF(CSV!AC12=0,"",使用数!AC12)&amp;IF(CSV!AC12=0,"","("&amp;CSV!AC12&amp;")")</f>
        <v/>
      </c>
      <c r="AB15" s="11" t="str">
        <f>IF(CSV!AD12=0,"",使用数!AD12)&amp;IF(CSV!AD12=0,"","("&amp;CSV!AD12&amp;")")</f>
        <v/>
      </c>
      <c r="AC15" s="11" t="str">
        <f>IF(CSV!AE12=0,"",使用数!AE12)&amp;IF(CSV!AE12=0,"","("&amp;CSV!AE12&amp;")")</f>
        <v/>
      </c>
      <c r="AD15" s="11" t="str">
        <f>IF(CSV!AF12=0,"",使用数!AF12)&amp;IF(CSV!AF12=0,"","("&amp;CSV!AF12&amp;")")</f>
        <v/>
      </c>
      <c r="AE15" s="11" t="str">
        <f>IF(CSV!AG12=0,"",使用数!AG12)&amp;IF(CSV!AG12=0,"","("&amp;CSV!AG12&amp;")")</f>
        <v/>
      </c>
      <c r="AF15" s="11" t="str">
        <f>IF(CSV!AH12=0,"",使用数!AH12)&amp;IF(CSV!AH12=0,"","("&amp;CSV!AH12&amp;")")</f>
        <v/>
      </c>
      <c r="AG15" s="11" t="str">
        <f>IF(CSV!AI12=0,"",使用数!AI12)&amp;IF(CSV!AI12=0,"","("&amp;CSV!AI12&amp;")")</f>
        <v/>
      </c>
      <c r="AH15" s="11" t="str">
        <f>IF(CSV!AJ12=0,"",使用数!AJ12)&amp;IF(CSV!AJ12=0,"","("&amp;CSV!AJ12&amp;")")</f>
        <v/>
      </c>
      <c r="AI15" s="11" t="str">
        <f>IF(CSV!AK12=0,"",使用数!AK12)&amp;IF(CSV!AK12=0,"","("&amp;CSV!AK12&amp;")")</f>
        <v/>
      </c>
      <c r="AJ15" s="11" t="str">
        <f>IF(CSV!AL12=0,"",使用数!AL12)&amp;IF(CSV!AL12=0,"","("&amp;CSV!AL12&amp;")")</f>
        <v/>
      </c>
      <c r="AK15" s="11" t="str">
        <f>IF(CSV!AM12=0,"",使用数!AM12)&amp;IF(CSV!AM12=0,"","("&amp;CSV!AM12&amp;")")</f>
        <v/>
      </c>
    </row>
    <row r="16" spans="1:37" s="7" customFormat="1" ht="27" customHeight="1" x14ac:dyDescent="0.55000000000000004">
      <c r="A16" s="10"/>
      <c r="B16" s="8">
        <v>141011</v>
      </c>
      <c r="C16" s="9" t="str">
        <f>IF(CSV!F13&lt;&gt;0,CSV!F13,"")</f>
        <v/>
      </c>
      <c r="D16" s="8">
        <f>HLOOKUP("部品説明",CSV!$B$2:$CC$42,B16-140999,FALSE)</f>
        <v>0</v>
      </c>
      <c r="E16" s="8" t="str">
        <f>IF(CSV!G13=0,"",CSV!G13)</f>
        <v/>
      </c>
      <c r="F16" s="8">
        <f>CSV!$H13</f>
        <v>0</v>
      </c>
      <c r="G16" s="8" t="str">
        <f>IF(CSV!I13=0,"",使用数!I13)&amp;IF(CSV!I13=0,"","("&amp;CSV!I13&amp;")")</f>
        <v/>
      </c>
      <c r="H16" s="8" t="str">
        <f>IF(CSV!J13=0,"",使用数!J13)&amp;IF(CSV!J13=0,"","("&amp;CSV!J13&amp;")")</f>
        <v/>
      </c>
      <c r="I16" s="8" t="str">
        <f>IF(CSV!K13=0,"",使用数!K13)&amp;IF(CSV!K13=0,"","("&amp;CSV!K13&amp;")")</f>
        <v/>
      </c>
      <c r="J16" s="8" t="str">
        <f>IF(CSV!L13=0,"",使用数!L13)&amp;IF(CSV!L13=0,"","("&amp;CSV!L13&amp;")")</f>
        <v/>
      </c>
      <c r="K16" s="8" t="str">
        <f>IF(CSV!M13=0,"",使用数!M13)&amp;IF(CSV!M13=0,"","("&amp;CSV!M13&amp;")")</f>
        <v/>
      </c>
      <c r="L16" s="8" t="str">
        <f>IF(CSV!N13=0,"",使用数!N13)&amp;IF(CSV!N13=0,"","("&amp;CSV!N13&amp;")")</f>
        <v/>
      </c>
      <c r="M16" s="8" t="str">
        <f>IF(CSV!O13=0,"",使用数!O13)&amp;IF(CSV!O13=0,"","("&amp;CSV!O13&amp;")")</f>
        <v/>
      </c>
      <c r="N16" s="8" t="str">
        <f>IF(CSV!P13=0,"",使用数!P13)&amp;IF(CSV!P13=0,"","("&amp;CSV!P13&amp;")")</f>
        <v/>
      </c>
      <c r="O16" s="8" t="str">
        <f>IF(CSV!Q13=0,"",使用数!Q13)&amp;IF(CSV!Q13=0,"","("&amp;CSV!Q13&amp;")")</f>
        <v/>
      </c>
      <c r="P16" s="8" t="str">
        <f>IF(CSV!R13=0,"",使用数!R13)&amp;IF(CSV!R13=0,"","("&amp;CSV!R13&amp;")")</f>
        <v/>
      </c>
      <c r="Q16" s="8" t="str">
        <f>IF(CSV!S13=0,"",使用数!S13)&amp;IF(CSV!S13=0,"","("&amp;CSV!S13&amp;")")</f>
        <v/>
      </c>
      <c r="R16" s="8" t="str">
        <f>IF(CSV!T13=0,"",使用数!T13)&amp;IF(CSV!T13=0,"","("&amp;CSV!T13&amp;")")</f>
        <v/>
      </c>
      <c r="S16" s="8" t="str">
        <f>IF(CSV!U13=0,"",使用数!U13)&amp;IF(CSV!U13=0,"","("&amp;CSV!U13&amp;")")</f>
        <v/>
      </c>
      <c r="T16" s="8" t="str">
        <f>IF(CSV!V13=0,"",使用数!V13)&amp;IF(CSV!V13=0,"","("&amp;CSV!V13&amp;")")</f>
        <v/>
      </c>
      <c r="U16" s="8" t="str">
        <f>IF(CSV!W13=0,"",使用数!W13)&amp;IF(CSV!W13=0,"","("&amp;CSV!W13&amp;")")</f>
        <v/>
      </c>
      <c r="V16" s="8" t="str">
        <f>IF(CSV!X13=0,"",使用数!X13)&amp;IF(CSV!X13=0,"","("&amp;CSV!X13&amp;")")</f>
        <v/>
      </c>
      <c r="W16" s="8" t="str">
        <f>IF(CSV!Y13=0,"",使用数!Y13)&amp;IF(CSV!Y13=0,"","("&amp;CSV!Y13&amp;")")</f>
        <v/>
      </c>
      <c r="X16" s="8" t="str">
        <f>IF(CSV!Z13=0,"",使用数!Z13)&amp;IF(CSV!Z13=0,"","("&amp;CSV!Z13&amp;")")</f>
        <v/>
      </c>
      <c r="Y16" s="8" t="str">
        <f>IF(CSV!AA13=0,"",使用数!AA13)&amp;IF(CSV!AA13=0,"","("&amp;CSV!AA13&amp;")")</f>
        <v/>
      </c>
      <c r="Z16" s="8" t="str">
        <f>IF(CSV!AB13=0,"",使用数!AB13)&amp;IF(CSV!AB13=0,"","("&amp;CSV!AB13&amp;")")</f>
        <v/>
      </c>
      <c r="AA16" s="8" t="str">
        <f>IF(CSV!AC13=0,"",使用数!AC13)&amp;IF(CSV!AC13=0,"","("&amp;CSV!AC13&amp;")")</f>
        <v/>
      </c>
      <c r="AB16" s="8" t="str">
        <f>IF(CSV!AD13=0,"",使用数!AD13)&amp;IF(CSV!AD13=0,"","("&amp;CSV!AD13&amp;")")</f>
        <v/>
      </c>
      <c r="AC16" s="8" t="str">
        <f>IF(CSV!AE13=0,"",使用数!AE13)&amp;IF(CSV!AE13=0,"","("&amp;CSV!AE13&amp;")")</f>
        <v/>
      </c>
      <c r="AD16" s="8" t="str">
        <f>IF(CSV!AF13=0,"",使用数!AF13)&amp;IF(CSV!AF13=0,"","("&amp;CSV!AF13&amp;")")</f>
        <v/>
      </c>
      <c r="AE16" s="8" t="str">
        <f>IF(CSV!AG13=0,"",使用数!AG13)&amp;IF(CSV!AG13=0,"","("&amp;CSV!AG13&amp;")")</f>
        <v/>
      </c>
      <c r="AF16" s="8" t="str">
        <f>IF(CSV!AH13=0,"",使用数!AH13)&amp;IF(CSV!AH13=0,"","("&amp;CSV!AH13&amp;")")</f>
        <v/>
      </c>
      <c r="AG16" s="8" t="str">
        <f>IF(CSV!AI13=0,"",使用数!AI13)&amp;IF(CSV!AI13=0,"","("&amp;CSV!AI13&amp;")")</f>
        <v/>
      </c>
      <c r="AH16" s="8" t="str">
        <f>IF(CSV!AJ13=0,"",使用数!AJ13)&amp;IF(CSV!AJ13=0,"","("&amp;CSV!AJ13&amp;")")</f>
        <v/>
      </c>
      <c r="AI16" s="8" t="str">
        <f>IF(CSV!AK13=0,"",使用数!AK13)&amp;IF(CSV!AK13=0,"","("&amp;CSV!AK13&amp;")")</f>
        <v/>
      </c>
      <c r="AJ16" s="8" t="str">
        <f>IF(CSV!AL13=0,"",使用数!AL13)&amp;IF(CSV!AL13=0,"","("&amp;CSV!AL13&amp;")")</f>
        <v/>
      </c>
      <c r="AK16" s="8" t="str">
        <f>IF(CSV!AM13=0,"",使用数!AM13)&amp;IF(CSV!AM13=0,"","("&amp;CSV!AM13&amp;")")</f>
        <v/>
      </c>
    </row>
    <row r="17" spans="1:37" ht="27" customHeight="1" x14ac:dyDescent="0.55000000000000004">
      <c r="A17" s="12"/>
      <c r="B17" s="11">
        <v>141012</v>
      </c>
      <c r="C17" s="9" t="str">
        <f>IF(CSV!F14&lt;&gt;0,CSV!F14,"")</f>
        <v/>
      </c>
      <c r="D17" s="11">
        <f>HLOOKUP("部品説明",CSV!$B$2:$CC$42,B17-140999,FALSE)</f>
        <v>0</v>
      </c>
      <c r="E17" s="11" t="str">
        <f>IF(CSV!G14=0,"",CSV!G14)</f>
        <v/>
      </c>
      <c r="F17" s="11">
        <f>CSV!$H14</f>
        <v>0</v>
      </c>
      <c r="G17" s="11" t="str">
        <f>IF(CSV!I14=0,"",使用数!I14)&amp;IF(CSV!I14=0,"","("&amp;CSV!I14&amp;")")</f>
        <v/>
      </c>
      <c r="H17" s="11" t="str">
        <f>IF(CSV!J14=0,"",使用数!J14)&amp;IF(CSV!J14=0,"","("&amp;CSV!J14&amp;")")</f>
        <v/>
      </c>
      <c r="I17" s="11" t="str">
        <f>IF(CSV!K14=0,"",使用数!K14)&amp;IF(CSV!K14=0,"","("&amp;CSV!K14&amp;")")</f>
        <v/>
      </c>
      <c r="J17" s="11" t="str">
        <f>IF(CSV!L14=0,"",使用数!L14)&amp;IF(CSV!L14=0,"","("&amp;CSV!L14&amp;")")</f>
        <v/>
      </c>
      <c r="K17" s="11" t="str">
        <f>IF(CSV!M14=0,"",使用数!M14)&amp;IF(CSV!M14=0,"","("&amp;CSV!M14&amp;")")</f>
        <v/>
      </c>
      <c r="L17" s="11" t="str">
        <f>IF(CSV!N14=0,"",使用数!N14)&amp;IF(CSV!N14=0,"","("&amp;CSV!N14&amp;")")</f>
        <v/>
      </c>
      <c r="M17" s="11" t="str">
        <f>IF(CSV!O14=0,"",使用数!O14)&amp;IF(CSV!O14=0,"","("&amp;CSV!O14&amp;")")</f>
        <v/>
      </c>
      <c r="N17" s="11" t="str">
        <f>IF(CSV!P14=0,"",使用数!P14)&amp;IF(CSV!P14=0,"","("&amp;CSV!P14&amp;")")</f>
        <v/>
      </c>
      <c r="O17" s="11" t="str">
        <f>IF(CSV!Q14=0,"",使用数!Q14)&amp;IF(CSV!Q14=0,"","("&amp;CSV!Q14&amp;")")</f>
        <v/>
      </c>
      <c r="P17" s="11" t="str">
        <f>IF(CSV!R14=0,"",使用数!R14)&amp;IF(CSV!R14=0,"","("&amp;CSV!R14&amp;")")</f>
        <v/>
      </c>
      <c r="Q17" s="11" t="str">
        <f>IF(CSV!S14=0,"",使用数!S14)&amp;IF(CSV!S14=0,"","("&amp;CSV!S14&amp;")")</f>
        <v/>
      </c>
      <c r="R17" s="11" t="str">
        <f>IF(CSV!T14=0,"",使用数!T14)&amp;IF(CSV!T14=0,"","("&amp;CSV!T14&amp;")")</f>
        <v/>
      </c>
      <c r="S17" s="11" t="str">
        <f>IF(CSV!U14=0,"",使用数!U14)&amp;IF(CSV!U14=0,"","("&amp;CSV!U14&amp;")")</f>
        <v/>
      </c>
      <c r="T17" s="11" t="str">
        <f>IF(CSV!V14=0,"",使用数!V14)&amp;IF(CSV!V14=0,"","("&amp;CSV!V14&amp;")")</f>
        <v/>
      </c>
      <c r="U17" s="11" t="str">
        <f>IF(CSV!W14=0,"",使用数!W14)&amp;IF(CSV!W14=0,"","("&amp;CSV!W14&amp;")")</f>
        <v/>
      </c>
      <c r="V17" s="11" t="str">
        <f>IF(CSV!X14=0,"",使用数!X14)&amp;IF(CSV!X14=0,"","("&amp;CSV!X14&amp;")")</f>
        <v/>
      </c>
      <c r="W17" s="11" t="str">
        <f>IF(CSV!Y14=0,"",使用数!Y14)&amp;IF(CSV!Y14=0,"","("&amp;CSV!Y14&amp;")")</f>
        <v/>
      </c>
      <c r="X17" s="11" t="str">
        <f>IF(CSV!Z14=0,"",使用数!Z14)&amp;IF(CSV!Z14=0,"","("&amp;CSV!Z14&amp;")")</f>
        <v/>
      </c>
      <c r="Y17" s="11" t="str">
        <f>IF(CSV!AA14=0,"",使用数!AA14)&amp;IF(CSV!AA14=0,"","("&amp;CSV!AA14&amp;")")</f>
        <v/>
      </c>
      <c r="Z17" s="11" t="str">
        <f>IF(CSV!AB14=0,"",使用数!AB14)&amp;IF(CSV!AB14=0,"","("&amp;CSV!AB14&amp;")")</f>
        <v/>
      </c>
      <c r="AA17" s="11" t="str">
        <f>IF(CSV!AC14=0,"",使用数!AC14)&amp;IF(CSV!AC14=0,"","("&amp;CSV!AC14&amp;")")</f>
        <v/>
      </c>
      <c r="AB17" s="11" t="str">
        <f>IF(CSV!AD14=0,"",使用数!AD14)&amp;IF(CSV!AD14=0,"","("&amp;CSV!AD14&amp;")")</f>
        <v/>
      </c>
      <c r="AC17" s="11" t="str">
        <f>IF(CSV!AE14=0,"",使用数!AE14)&amp;IF(CSV!AE14=0,"","("&amp;CSV!AE14&amp;")")</f>
        <v/>
      </c>
      <c r="AD17" s="11" t="str">
        <f>IF(CSV!AF14=0,"",使用数!AF14)&amp;IF(CSV!AF14=0,"","("&amp;CSV!AF14&amp;")")</f>
        <v/>
      </c>
      <c r="AE17" s="11" t="str">
        <f>IF(CSV!AG14=0,"",使用数!AG14)&amp;IF(CSV!AG14=0,"","("&amp;CSV!AG14&amp;")")</f>
        <v/>
      </c>
      <c r="AF17" s="11" t="str">
        <f>IF(CSV!AH14=0,"",使用数!AH14)&amp;IF(CSV!AH14=0,"","("&amp;CSV!AH14&amp;")")</f>
        <v/>
      </c>
      <c r="AG17" s="11" t="str">
        <f>IF(CSV!AI14=0,"",使用数!AI14)&amp;IF(CSV!AI14=0,"","("&amp;CSV!AI14&amp;")")</f>
        <v/>
      </c>
      <c r="AH17" s="11" t="str">
        <f>IF(CSV!AJ14=0,"",使用数!AJ14)&amp;IF(CSV!AJ14=0,"","("&amp;CSV!AJ14&amp;")")</f>
        <v/>
      </c>
      <c r="AI17" s="11" t="str">
        <f>IF(CSV!AK14=0,"",使用数!AK14)&amp;IF(CSV!AK14=0,"","("&amp;CSV!AK14&amp;")")</f>
        <v/>
      </c>
      <c r="AJ17" s="11" t="str">
        <f>IF(CSV!AL14=0,"",使用数!AL14)&amp;IF(CSV!AL14=0,"","("&amp;CSV!AL14&amp;")")</f>
        <v/>
      </c>
      <c r="AK17" s="11" t="str">
        <f>IF(CSV!AM14=0,"",使用数!AM14)&amp;IF(CSV!AM14=0,"","("&amp;CSV!AM14&amp;")")</f>
        <v/>
      </c>
    </row>
    <row r="18" spans="1:37" s="7" customFormat="1" ht="27" customHeight="1" x14ac:dyDescent="0.55000000000000004">
      <c r="A18" s="10"/>
      <c r="B18" s="8">
        <v>141013</v>
      </c>
      <c r="C18" s="9" t="str">
        <f>IF(CSV!F15&lt;&gt;0,CSV!F15,"")</f>
        <v/>
      </c>
      <c r="D18" s="8">
        <f>HLOOKUP("部品説明",CSV!$B$2:$CC$42,B18-140999,FALSE)</f>
        <v>0</v>
      </c>
      <c r="E18" s="8" t="str">
        <f>IF(CSV!G15=0,"",CSV!G15)</f>
        <v/>
      </c>
      <c r="F18" s="8">
        <f>CSV!$H15</f>
        <v>0</v>
      </c>
      <c r="G18" s="8" t="str">
        <f>IF(CSV!I15=0,"",使用数!I15)&amp;IF(CSV!I15=0,"","("&amp;CSV!I15&amp;")")</f>
        <v/>
      </c>
      <c r="H18" s="8" t="str">
        <f>IF(CSV!J15=0,"",使用数!J15)&amp;IF(CSV!J15=0,"","("&amp;CSV!J15&amp;")")</f>
        <v/>
      </c>
      <c r="I18" s="8" t="str">
        <f>IF(CSV!K15=0,"",使用数!K15)&amp;IF(CSV!K15=0,"","("&amp;CSV!K15&amp;")")</f>
        <v/>
      </c>
      <c r="J18" s="8" t="str">
        <f>IF(CSV!L15=0,"",使用数!L15)&amp;IF(CSV!L15=0,"","("&amp;CSV!L15&amp;")")</f>
        <v/>
      </c>
      <c r="K18" s="8" t="str">
        <f>IF(CSV!M15=0,"",使用数!M15)&amp;IF(CSV!M15=0,"","("&amp;CSV!M15&amp;")")</f>
        <v/>
      </c>
      <c r="L18" s="8" t="str">
        <f>IF(CSV!N15=0,"",使用数!N15)&amp;IF(CSV!N15=0,"","("&amp;CSV!N15&amp;")")</f>
        <v/>
      </c>
      <c r="M18" s="8" t="str">
        <f>IF(CSV!O15=0,"",使用数!O15)&amp;IF(CSV!O15=0,"","("&amp;CSV!O15&amp;")")</f>
        <v/>
      </c>
      <c r="N18" s="8" t="str">
        <f>IF(CSV!P15=0,"",使用数!P15)&amp;IF(CSV!P15=0,"","("&amp;CSV!P15&amp;")")</f>
        <v/>
      </c>
      <c r="O18" s="8" t="str">
        <f>IF(CSV!Q15=0,"",使用数!Q15)&amp;IF(CSV!Q15=0,"","("&amp;CSV!Q15&amp;")")</f>
        <v/>
      </c>
      <c r="P18" s="8" t="str">
        <f>IF(CSV!R15=0,"",使用数!R15)&amp;IF(CSV!R15=0,"","("&amp;CSV!R15&amp;")")</f>
        <v/>
      </c>
      <c r="Q18" s="8" t="str">
        <f>IF(CSV!S15=0,"",使用数!S15)&amp;IF(CSV!S15=0,"","("&amp;CSV!S15&amp;")")</f>
        <v/>
      </c>
      <c r="R18" s="8" t="str">
        <f>IF(CSV!T15=0,"",使用数!T15)&amp;IF(CSV!T15=0,"","("&amp;CSV!T15&amp;")")</f>
        <v/>
      </c>
      <c r="S18" s="8" t="str">
        <f>IF(CSV!U15=0,"",使用数!U15)&amp;IF(CSV!U15=0,"","("&amp;CSV!U15&amp;")")</f>
        <v/>
      </c>
      <c r="T18" s="8" t="str">
        <f>IF(CSV!V15=0,"",使用数!V15)&amp;IF(CSV!V15=0,"","("&amp;CSV!V15&amp;")")</f>
        <v/>
      </c>
      <c r="U18" s="8" t="str">
        <f>IF(CSV!W15=0,"",使用数!W15)&amp;IF(CSV!W15=0,"","("&amp;CSV!W15&amp;")")</f>
        <v/>
      </c>
      <c r="V18" s="8" t="str">
        <f>IF(CSV!X15=0,"",使用数!X15)&amp;IF(CSV!X15=0,"","("&amp;CSV!X15&amp;")")</f>
        <v/>
      </c>
      <c r="W18" s="8" t="str">
        <f>IF(CSV!Y15=0,"",使用数!Y15)&amp;IF(CSV!Y15=0,"","("&amp;CSV!Y15&amp;")")</f>
        <v/>
      </c>
      <c r="X18" s="8" t="str">
        <f>IF(CSV!Z15=0,"",使用数!Z15)&amp;IF(CSV!Z15=0,"","("&amp;CSV!Z15&amp;")")</f>
        <v/>
      </c>
      <c r="Y18" s="8" t="str">
        <f>IF(CSV!AA15=0,"",使用数!AA15)&amp;IF(CSV!AA15=0,"","("&amp;CSV!AA15&amp;")")</f>
        <v/>
      </c>
      <c r="Z18" s="8" t="str">
        <f>IF(CSV!AB15=0,"",使用数!AB15)&amp;IF(CSV!AB15=0,"","("&amp;CSV!AB15&amp;")")</f>
        <v/>
      </c>
      <c r="AA18" s="8" t="str">
        <f>IF(CSV!AC15=0,"",使用数!AC15)&amp;IF(CSV!AC15=0,"","("&amp;CSV!AC15&amp;")")</f>
        <v/>
      </c>
      <c r="AB18" s="8" t="str">
        <f>IF(CSV!AD15=0,"",使用数!AD15)&amp;IF(CSV!AD15=0,"","("&amp;CSV!AD15&amp;")")</f>
        <v/>
      </c>
      <c r="AC18" s="8" t="str">
        <f>IF(CSV!AE15=0,"",使用数!AE15)&amp;IF(CSV!AE15=0,"","("&amp;CSV!AE15&amp;")")</f>
        <v/>
      </c>
      <c r="AD18" s="8" t="str">
        <f>IF(CSV!AF15=0,"",使用数!AF15)&amp;IF(CSV!AF15=0,"","("&amp;CSV!AF15&amp;")")</f>
        <v/>
      </c>
      <c r="AE18" s="8" t="str">
        <f>IF(CSV!AG15=0,"",使用数!AG15)&amp;IF(CSV!AG15=0,"","("&amp;CSV!AG15&amp;")")</f>
        <v/>
      </c>
      <c r="AF18" s="8" t="str">
        <f>IF(CSV!AH15=0,"",使用数!AH15)&amp;IF(CSV!AH15=0,"","("&amp;CSV!AH15&amp;")")</f>
        <v/>
      </c>
      <c r="AG18" s="8" t="str">
        <f>IF(CSV!AI15=0,"",使用数!AI15)&amp;IF(CSV!AI15=0,"","("&amp;CSV!AI15&amp;")")</f>
        <v/>
      </c>
      <c r="AH18" s="8" t="str">
        <f>IF(CSV!AJ15=0,"",使用数!AJ15)&amp;IF(CSV!AJ15=0,"","("&amp;CSV!AJ15&amp;")")</f>
        <v/>
      </c>
      <c r="AI18" s="8" t="str">
        <f>IF(CSV!AK15=0,"",使用数!AK15)&amp;IF(CSV!AK15=0,"","("&amp;CSV!AK15&amp;")")</f>
        <v/>
      </c>
      <c r="AJ18" s="8" t="str">
        <f>IF(CSV!AL15=0,"",使用数!AL15)&amp;IF(CSV!AL15=0,"","("&amp;CSV!AL15&amp;")")</f>
        <v/>
      </c>
      <c r="AK18" s="8" t="str">
        <f>IF(CSV!AM15=0,"",使用数!AM15)&amp;IF(CSV!AM15=0,"","("&amp;CSV!AM15&amp;")")</f>
        <v/>
      </c>
    </row>
    <row r="19" spans="1:37" ht="27" customHeight="1" x14ac:dyDescent="0.55000000000000004">
      <c r="A19" s="12"/>
      <c r="B19" s="11">
        <v>141014</v>
      </c>
      <c r="C19" s="9" t="str">
        <f>IF(CSV!F16&lt;&gt;0,CSV!F16,"")</f>
        <v/>
      </c>
      <c r="D19" s="11">
        <f>HLOOKUP("部品説明",CSV!$B$2:$CC$42,B19-140999,FALSE)</f>
        <v>0</v>
      </c>
      <c r="E19" s="11" t="str">
        <f>IF(CSV!G16=0,"",CSV!G16)</f>
        <v/>
      </c>
      <c r="F19" s="11">
        <f>CSV!$H16</f>
        <v>0</v>
      </c>
      <c r="G19" s="11" t="str">
        <f>IF(CSV!I16=0,"",使用数!I16)&amp;IF(CSV!I16=0,"","("&amp;CSV!I16&amp;")")</f>
        <v/>
      </c>
      <c r="H19" s="11" t="str">
        <f>IF(CSV!J16=0,"",使用数!J16)&amp;IF(CSV!J16=0,"","("&amp;CSV!J16&amp;")")</f>
        <v/>
      </c>
      <c r="I19" s="11" t="str">
        <f>IF(CSV!K16=0,"",使用数!K16)&amp;IF(CSV!K16=0,"","("&amp;CSV!K16&amp;")")</f>
        <v/>
      </c>
      <c r="J19" s="11" t="str">
        <f>IF(CSV!L16=0,"",使用数!L16)&amp;IF(CSV!L16=0,"","("&amp;CSV!L16&amp;")")</f>
        <v/>
      </c>
      <c r="K19" s="11" t="str">
        <f>IF(CSV!M16=0,"",使用数!M16)&amp;IF(CSV!M16=0,"","("&amp;CSV!M16&amp;")")</f>
        <v/>
      </c>
      <c r="L19" s="11" t="str">
        <f>IF(CSV!N16=0,"",使用数!N16)&amp;IF(CSV!N16=0,"","("&amp;CSV!N16&amp;")")</f>
        <v/>
      </c>
      <c r="M19" s="11" t="str">
        <f>IF(CSV!O16=0,"",使用数!O16)&amp;IF(CSV!O16=0,"","("&amp;CSV!O16&amp;")")</f>
        <v/>
      </c>
      <c r="N19" s="11" t="str">
        <f>IF(CSV!P16=0,"",使用数!P16)&amp;IF(CSV!P16=0,"","("&amp;CSV!P16&amp;")")</f>
        <v/>
      </c>
      <c r="O19" s="11" t="str">
        <f>IF(CSV!Q16=0,"",使用数!Q16)&amp;IF(CSV!Q16=0,"","("&amp;CSV!Q16&amp;")")</f>
        <v/>
      </c>
      <c r="P19" s="11" t="str">
        <f>IF(CSV!R16=0,"",使用数!R16)&amp;IF(CSV!R16=0,"","("&amp;CSV!R16&amp;")")</f>
        <v/>
      </c>
      <c r="Q19" s="11" t="str">
        <f>IF(CSV!S16=0,"",使用数!S16)&amp;IF(CSV!S16=0,"","("&amp;CSV!S16&amp;")")</f>
        <v/>
      </c>
      <c r="R19" s="11" t="str">
        <f>IF(CSV!T16=0,"",使用数!T16)&amp;IF(CSV!T16=0,"","("&amp;CSV!T16&amp;")")</f>
        <v/>
      </c>
      <c r="S19" s="11" t="str">
        <f>IF(CSV!U16=0,"",使用数!U16)&amp;IF(CSV!U16=0,"","("&amp;CSV!U16&amp;")")</f>
        <v/>
      </c>
      <c r="T19" s="11" t="str">
        <f>IF(CSV!V16=0,"",使用数!V16)&amp;IF(CSV!V16=0,"","("&amp;CSV!V16&amp;")")</f>
        <v/>
      </c>
      <c r="U19" s="11" t="str">
        <f>IF(CSV!W16=0,"",使用数!W16)&amp;IF(CSV!W16=0,"","("&amp;CSV!W16&amp;")")</f>
        <v/>
      </c>
      <c r="V19" s="11" t="str">
        <f>IF(CSV!X16=0,"",使用数!X16)&amp;IF(CSV!X16=0,"","("&amp;CSV!X16&amp;")")</f>
        <v/>
      </c>
      <c r="W19" s="11" t="str">
        <f>IF(CSV!Y16=0,"",使用数!Y16)&amp;IF(CSV!Y16=0,"","("&amp;CSV!Y16&amp;")")</f>
        <v/>
      </c>
      <c r="X19" s="11" t="str">
        <f>IF(CSV!Z16=0,"",使用数!Z16)&amp;IF(CSV!Z16=0,"","("&amp;CSV!Z16&amp;")")</f>
        <v/>
      </c>
      <c r="Y19" s="11" t="str">
        <f>IF(CSV!AA16=0,"",使用数!AA16)&amp;IF(CSV!AA16=0,"","("&amp;CSV!AA16&amp;")")</f>
        <v/>
      </c>
      <c r="Z19" s="11" t="str">
        <f>IF(CSV!AB16=0,"",使用数!AB16)&amp;IF(CSV!AB16=0,"","("&amp;CSV!AB16&amp;")")</f>
        <v/>
      </c>
      <c r="AA19" s="11" t="str">
        <f>IF(CSV!AC16=0,"",使用数!AC16)&amp;IF(CSV!AC16=0,"","("&amp;CSV!AC16&amp;")")</f>
        <v/>
      </c>
      <c r="AB19" s="11" t="str">
        <f>IF(CSV!AD16=0,"",使用数!AD16)&amp;IF(CSV!AD16=0,"","("&amp;CSV!AD16&amp;")")</f>
        <v/>
      </c>
      <c r="AC19" s="11" t="str">
        <f>IF(CSV!AE16=0,"",使用数!AE16)&amp;IF(CSV!AE16=0,"","("&amp;CSV!AE16&amp;")")</f>
        <v/>
      </c>
      <c r="AD19" s="11" t="str">
        <f>IF(CSV!AF16=0,"",使用数!AF16)&amp;IF(CSV!AF16=0,"","("&amp;CSV!AF16&amp;")")</f>
        <v/>
      </c>
      <c r="AE19" s="11" t="str">
        <f>IF(CSV!AG16=0,"",使用数!AG16)&amp;IF(CSV!AG16=0,"","("&amp;CSV!AG16&amp;")")</f>
        <v/>
      </c>
      <c r="AF19" s="11" t="str">
        <f>IF(CSV!AH16=0,"",使用数!AH16)&amp;IF(CSV!AH16=0,"","("&amp;CSV!AH16&amp;")")</f>
        <v/>
      </c>
      <c r="AG19" s="11" t="str">
        <f>IF(CSV!AI16=0,"",使用数!AI16)&amp;IF(CSV!AI16=0,"","("&amp;CSV!AI16&amp;")")</f>
        <v/>
      </c>
      <c r="AH19" s="11" t="str">
        <f>IF(CSV!AJ16=0,"",使用数!AJ16)&amp;IF(CSV!AJ16=0,"","("&amp;CSV!AJ16&amp;")")</f>
        <v/>
      </c>
      <c r="AI19" s="11" t="str">
        <f>IF(CSV!AK16=0,"",使用数!AK16)&amp;IF(CSV!AK16=0,"","("&amp;CSV!AK16&amp;")")</f>
        <v/>
      </c>
      <c r="AJ19" s="11" t="str">
        <f>IF(CSV!AL16=0,"",使用数!AL16)&amp;IF(CSV!AL16=0,"","("&amp;CSV!AL16&amp;")")</f>
        <v/>
      </c>
      <c r="AK19" s="11" t="str">
        <f>IF(CSV!AM16=0,"",使用数!AM16)&amp;IF(CSV!AM16=0,"","("&amp;CSV!AM16&amp;")")</f>
        <v/>
      </c>
    </row>
    <row r="20" spans="1:37" s="7" customFormat="1" ht="27" customHeight="1" x14ac:dyDescent="0.55000000000000004">
      <c r="A20" s="10"/>
      <c r="B20" s="8">
        <v>141015</v>
      </c>
      <c r="C20" s="9" t="str">
        <f>IF(CSV!F17&lt;&gt;0,CSV!F17,"")</f>
        <v/>
      </c>
      <c r="D20" s="8">
        <f>HLOOKUP("部品説明",CSV!$B$2:$CC$42,B20-140999,FALSE)</f>
        <v>0</v>
      </c>
      <c r="E20" s="8" t="str">
        <f>IF(CSV!G17=0,"",CSV!G17)</f>
        <v/>
      </c>
      <c r="F20" s="8">
        <f>CSV!$H17</f>
        <v>0</v>
      </c>
      <c r="G20" s="8" t="str">
        <f>IF(CSV!I17=0,"",使用数!I17)&amp;IF(CSV!I17=0,"","("&amp;CSV!I17&amp;")")</f>
        <v/>
      </c>
      <c r="H20" s="8" t="str">
        <f>IF(CSV!J17=0,"",使用数!J17)&amp;IF(CSV!J17=0,"","("&amp;CSV!J17&amp;")")</f>
        <v/>
      </c>
      <c r="I20" s="8" t="str">
        <f>IF(CSV!K17=0,"",使用数!K17)&amp;IF(CSV!K17=0,"","("&amp;CSV!K17&amp;")")</f>
        <v/>
      </c>
      <c r="J20" s="8" t="str">
        <f>IF(CSV!L17=0,"",使用数!L17)&amp;IF(CSV!L17=0,"","("&amp;CSV!L17&amp;")")</f>
        <v/>
      </c>
      <c r="K20" s="8" t="str">
        <f>IF(CSV!M17=0,"",使用数!M17)&amp;IF(CSV!M17=0,"","("&amp;CSV!M17&amp;")")</f>
        <v/>
      </c>
      <c r="L20" s="8" t="str">
        <f>IF(CSV!N17=0,"",使用数!N17)&amp;IF(CSV!N17=0,"","("&amp;CSV!N17&amp;")")</f>
        <v/>
      </c>
      <c r="M20" s="8" t="str">
        <f>IF(CSV!O17=0,"",使用数!O17)&amp;IF(CSV!O17=0,"","("&amp;CSV!O17&amp;")")</f>
        <v/>
      </c>
      <c r="N20" s="8" t="str">
        <f>IF(CSV!P17=0,"",使用数!P17)&amp;IF(CSV!P17=0,"","("&amp;CSV!P17&amp;")")</f>
        <v/>
      </c>
      <c r="O20" s="8" t="str">
        <f>IF(CSV!Q17=0,"",使用数!Q17)&amp;IF(CSV!Q17=0,"","("&amp;CSV!Q17&amp;")")</f>
        <v/>
      </c>
      <c r="P20" s="8" t="str">
        <f>IF(CSV!R17=0,"",使用数!R17)&amp;IF(CSV!R17=0,"","("&amp;CSV!R17&amp;")")</f>
        <v/>
      </c>
      <c r="Q20" s="8" t="str">
        <f>IF(CSV!S17=0,"",使用数!S17)&amp;IF(CSV!S17=0,"","("&amp;CSV!S17&amp;")")</f>
        <v/>
      </c>
      <c r="R20" s="8" t="str">
        <f>IF(CSV!T17=0,"",使用数!T17)&amp;IF(CSV!T17=0,"","("&amp;CSV!T17&amp;")")</f>
        <v/>
      </c>
      <c r="S20" s="8" t="str">
        <f>IF(CSV!U17=0,"",使用数!U17)&amp;IF(CSV!U17=0,"","("&amp;CSV!U17&amp;")")</f>
        <v/>
      </c>
      <c r="T20" s="8" t="str">
        <f>IF(CSV!V17=0,"",使用数!V17)&amp;IF(CSV!V17=0,"","("&amp;CSV!V17&amp;")")</f>
        <v/>
      </c>
      <c r="U20" s="8" t="str">
        <f>IF(CSV!W17=0,"",使用数!W17)&amp;IF(CSV!W17=0,"","("&amp;CSV!W17&amp;")")</f>
        <v/>
      </c>
      <c r="V20" s="8" t="str">
        <f>IF(CSV!X17=0,"",使用数!X17)&amp;IF(CSV!X17=0,"","("&amp;CSV!X17&amp;")")</f>
        <v/>
      </c>
      <c r="W20" s="8" t="str">
        <f>IF(CSV!Y17=0,"",使用数!Y17)&amp;IF(CSV!Y17=0,"","("&amp;CSV!Y17&amp;")")</f>
        <v/>
      </c>
      <c r="X20" s="8" t="str">
        <f>IF(CSV!Z17=0,"",使用数!Z17)&amp;IF(CSV!Z17=0,"","("&amp;CSV!Z17&amp;")")</f>
        <v/>
      </c>
      <c r="Y20" s="8" t="str">
        <f>IF(CSV!AA17=0,"",使用数!AA17)&amp;IF(CSV!AA17=0,"","("&amp;CSV!AA17&amp;")")</f>
        <v/>
      </c>
      <c r="Z20" s="8" t="str">
        <f>IF(CSV!AB17=0,"",使用数!AB17)&amp;IF(CSV!AB17=0,"","("&amp;CSV!AB17&amp;")")</f>
        <v/>
      </c>
      <c r="AA20" s="8" t="str">
        <f>IF(CSV!AC17=0,"",使用数!AC17)&amp;IF(CSV!AC17=0,"","("&amp;CSV!AC17&amp;")")</f>
        <v/>
      </c>
      <c r="AB20" s="8" t="str">
        <f>IF(CSV!AD17=0,"",使用数!AD17)&amp;IF(CSV!AD17=0,"","("&amp;CSV!AD17&amp;")")</f>
        <v/>
      </c>
      <c r="AC20" s="8" t="str">
        <f>IF(CSV!AE17=0,"",使用数!AE17)&amp;IF(CSV!AE17=0,"","("&amp;CSV!AE17&amp;")")</f>
        <v/>
      </c>
      <c r="AD20" s="8" t="str">
        <f>IF(CSV!AF17=0,"",使用数!AF17)&amp;IF(CSV!AF17=0,"","("&amp;CSV!AF17&amp;")")</f>
        <v/>
      </c>
      <c r="AE20" s="8" t="str">
        <f>IF(CSV!AG17=0,"",使用数!AG17)&amp;IF(CSV!AG17=0,"","("&amp;CSV!AG17&amp;")")</f>
        <v/>
      </c>
      <c r="AF20" s="8" t="str">
        <f>IF(CSV!AH17=0,"",使用数!AH17)&amp;IF(CSV!AH17=0,"","("&amp;CSV!AH17&amp;")")</f>
        <v/>
      </c>
      <c r="AG20" s="8" t="str">
        <f>IF(CSV!AI17=0,"",使用数!AI17)&amp;IF(CSV!AI17=0,"","("&amp;CSV!AI17&amp;")")</f>
        <v/>
      </c>
      <c r="AH20" s="8" t="str">
        <f>IF(CSV!AJ17=0,"",使用数!AJ17)&amp;IF(CSV!AJ17=0,"","("&amp;CSV!AJ17&amp;")")</f>
        <v/>
      </c>
      <c r="AI20" s="8" t="str">
        <f>IF(CSV!AK17=0,"",使用数!AK17)&amp;IF(CSV!AK17=0,"","("&amp;CSV!AK17&amp;")")</f>
        <v/>
      </c>
      <c r="AJ20" s="8" t="str">
        <f>IF(CSV!AL17=0,"",使用数!AL17)&amp;IF(CSV!AL17=0,"","("&amp;CSV!AL17&amp;")")</f>
        <v/>
      </c>
      <c r="AK20" s="8" t="str">
        <f>IF(CSV!AM17=0,"",使用数!AM17)&amp;IF(CSV!AM17=0,"","("&amp;CSV!AM17&amp;")")</f>
        <v/>
      </c>
    </row>
    <row r="21" spans="1:37" ht="27" customHeight="1" x14ac:dyDescent="0.55000000000000004">
      <c r="A21" s="12"/>
      <c r="B21" s="11">
        <v>141016</v>
      </c>
      <c r="C21" s="9" t="str">
        <f>IF(CSV!F18&lt;&gt;0,CSV!F18,"")</f>
        <v/>
      </c>
      <c r="D21" s="11">
        <f>HLOOKUP("部品説明",CSV!$B$2:$CC$42,B21-140999,FALSE)</f>
        <v>0</v>
      </c>
      <c r="E21" s="11" t="str">
        <f>IF(CSV!G18=0,"",CSV!G18)</f>
        <v/>
      </c>
      <c r="F21" s="11">
        <f>CSV!$H18</f>
        <v>0</v>
      </c>
      <c r="G21" s="11" t="str">
        <f>IF(CSV!I18=0,"",使用数!I18)&amp;IF(CSV!I18=0,"","("&amp;CSV!I18&amp;")")</f>
        <v/>
      </c>
      <c r="H21" s="11" t="str">
        <f>IF(CSV!J18=0,"",使用数!J18)&amp;IF(CSV!J18=0,"","("&amp;CSV!J18&amp;")")</f>
        <v/>
      </c>
      <c r="I21" s="11" t="str">
        <f>IF(CSV!K18=0,"",使用数!K18)&amp;IF(CSV!K18=0,"","("&amp;CSV!K18&amp;")")</f>
        <v/>
      </c>
      <c r="J21" s="11" t="str">
        <f>IF(CSV!L18=0,"",使用数!L18)&amp;IF(CSV!L18=0,"","("&amp;CSV!L18&amp;")")</f>
        <v/>
      </c>
      <c r="K21" s="11" t="str">
        <f>IF(CSV!M18=0,"",使用数!M18)&amp;IF(CSV!M18=0,"","("&amp;CSV!M18&amp;")")</f>
        <v/>
      </c>
      <c r="L21" s="11" t="str">
        <f>IF(CSV!N18=0,"",使用数!N18)&amp;IF(CSV!N18=0,"","("&amp;CSV!N18&amp;")")</f>
        <v/>
      </c>
      <c r="M21" s="11" t="str">
        <f>IF(CSV!O18=0,"",使用数!O18)&amp;IF(CSV!O18=0,"","("&amp;CSV!O18&amp;")")</f>
        <v/>
      </c>
      <c r="N21" s="11" t="str">
        <f>IF(CSV!P18=0,"",使用数!P18)&amp;IF(CSV!P18=0,"","("&amp;CSV!P18&amp;")")</f>
        <v/>
      </c>
      <c r="O21" s="11" t="str">
        <f>IF(CSV!Q18=0,"",使用数!Q18)&amp;IF(CSV!Q18=0,"","("&amp;CSV!Q18&amp;")")</f>
        <v/>
      </c>
      <c r="P21" s="11" t="str">
        <f>IF(CSV!R18=0,"",使用数!R18)&amp;IF(CSV!R18=0,"","("&amp;CSV!R18&amp;")")</f>
        <v/>
      </c>
      <c r="Q21" s="11" t="str">
        <f>IF(CSV!S18=0,"",使用数!S18)&amp;IF(CSV!S18=0,"","("&amp;CSV!S18&amp;")")</f>
        <v/>
      </c>
      <c r="R21" s="11" t="str">
        <f>IF(CSV!T18=0,"",使用数!T18)&amp;IF(CSV!T18=0,"","("&amp;CSV!T18&amp;")")</f>
        <v/>
      </c>
      <c r="S21" s="11" t="str">
        <f>IF(CSV!U18=0,"",使用数!U18)&amp;IF(CSV!U18=0,"","("&amp;CSV!U18&amp;")")</f>
        <v/>
      </c>
      <c r="T21" s="11" t="str">
        <f>IF(CSV!V18=0,"",使用数!V18)&amp;IF(CSV!V18=0,"","("&amp;CSV!V18&amp;")")</f>
        <v/>
      </c>
      <c r="U21" s="11" t="str">
        <f>IF(CSV!W18=0,"",使用数!W18)&amp;IF(CSV!W18=0,"","("&amp;CSV!W18&amp;")")</f>
        <v/>
      </c>
      <c r="V21" s="11" t="str">
        <f>IF(CSV!X18=0,"",使用数!X18)&amp;IF(CSV!X18=0,"","("&amp;CSV!X18&amp;")")</f>
        <v/>
      </c>
      <c r="W21" s="11" t="str">
        <f>IF(CSV!Y18=0,"",使用数!Y18)&amp;IF(CSV!Y18=0,"","("&amp;CSV!Y18&amp;")")</f>
        <v/>
      </c>
      <c r="X21" s="11" t="str">
        <f>IF(CSV!Z18=0,"",使用数!Z18)&amp;IF(CSV!Z18=0,"","("&amp;CSV!Z18&amp;")")</f>
        <v/>
      </c>
      <c r="Y21" s="11" t="str">
        <f>IF(CSV!AA18=0,"",使用数!AA18)&amp;IF(CSV!AA18=0,"","("&amp;CSV!AA18&amp;")")</f>
        <v/>
      </c>
      <c r="Z21" s="11" t="str">
        <f>IF(CSV!AB18=0,"",使用数!AB18)&amp;IF(CSV!AB18=0,"","("&amp;CSV!AB18&amp;")")</f>
        <v/>
      </c>
      <c r="AA21" s="11" t="str">
        <f>IF(CSV!AC18=0,"",使用数!AC18)&amp;IF(CSV!AC18=0,"","("&amp;CSV!AC18&amp;")")</f>
        <v/>
      </c>
      <c r="AB21" s="11" t="str">
        <f>IF(CSV!AD18=0,"",使用数!AD18)&amp;IF(CSV!AD18=0,"","("&amp;CSV!AD18&amp;")")</f>
        <v/>
      </c>
      <c r="AC21" s="11" t="str">
        <f>IF(CSV!AE18=0,"",使用数!AE18)&amp;IF(CSV!AE18=0,"","("&amp;CSV!AE18&amp;")")</f>
        <v/>
      </c>
      <c r="AD21" s="11" t="str">
        <f>IF(CSV!AF18=0,"",使用数!AF18)&amp;IF(CSV!AF18=0,"","("&amp;CSV!AF18&amp;")")</f>
        <v/>
      </c>
      <c r="AE21" s="11" t="str">
        <f>IF(CSV!AG18=0,"",使用数!AG18)&amp;IF(CSV!AG18=0,"","("&amp;CSV!AG18&amp;")")</f>
        <v/>
      </c>
      <c r="AF21" s="11" t="str">
        <f>IF(CSV!AH18=0,"",使用数!AH18)&amp;IF(CSV!AH18=0,"","("&amp;CSV!AH18&amp;")")</f>
        <v/>
      </c>
      <c r="AG21" s="11" t="str">
        <f>IF(CSV!AI18=0,"",使用数!AI18)&amp;IF(CSV!AI18=0,"","("&amp;CSV!AI18&amp;")")</f>
        <v/>
      </c>
      <c r="AH21" s="11" t="str">
        <f>IF(CSV!AJ18=0,"",使用数!AJ18)&amp;IF(CSV!AJ18=0,"","("&amp;CSV!AJ18&amp;")")</f>
        <v/>
      </c>
      <c r="AI21" s="11" t="str">
        <f>IF(CSV!AK18=0,"",使用数!AK18)&amp;IF(CSV!AK18=0,"","("&amp;CSV!AK18&amp;")")</f>
        <v/>
      </c>
      <c r="AJ21" s="11" t="str">
        <f>IF(CSV!AL18=0,"",使用数!AL18)&amp;IF(CSV!AL18=0,"","("&amp;CSV!AL18&amp;")")</f>
        <v/>
      </c>
      <c r="AK21" s="11" t="str">
        <f>IF(CSV!AM18=0,"",使用数!AM18)&amp;IF(CSV!AM18=0,"","("&amp;CSV!AM18&amp;")")</f>
        <v/>
      </c>
    </row>
    <row r="22" spans="1:37" s="7" customFormat="1" ht="27" customHeight="1" x14ac:dyDescent="0.55000000000000004">
      <c r="A22" s="10"/>
      <c r="B22" s="8">
        <v>141017</v>
      </c>
      <c r="C22" s="9" t="str">
        <f>IF(CSV!F19&lt;&gt;0,CSV!F19,"")</f>
        <v/>
      </c>
      <c r="D22" s="8">
        <f>HLOOKUP("部品説明",CSV!$B$2:$CC$42,B22-140999,FALSE)</f>
        <v>0</v>
      </c>
      <c r="E22" s="8" t="str">
        <f>IF(CSV!G19=0,"",CSV!G19)</f>
        <v/>
      </c>
      <c r="F22" s="8">
        <f>CSV!$H19</f>
        <v>0</v>
      </c>
      <c r="G22" s="8" t="str">
        <f>IF(CSV!I19=0,"",使用数!I19)&amp;IF(CSV!I19=0,"","("&amp;CSV!I19&amp;")")</f>
        <v/>
      </c>
      <c r="H22" s="8" t="str">
        <f>IF(CSV!J19=0,"",使用数!J19)&amp;IF(CSV!J19=0,"","("&amp;CSV!J19&amp;")")</f>
        <v/>
      </c>
      <c r="I22" s="8" t="str">
        <f>IF(CSV!K19=0,"",使用数!K19)&amp;IF(CSV!K19=0,"","("&amp;CSV!K19&amp;")")</f>
        <v/>
      </c>
      <c r="J22" s="8" t="str">
        <f>IF(CSV!L19=0,"",使用数!L19)&amp;IF(CSV!L19=0,"","("&amp;CSV!L19&amp;")")</f>
        <v/>
      </c>
      <c r="K22" s="8" t="str">
        <f>IF(CSV!M19=0,"",使用数!M19)&amp;IF(CSV!M19=0,"","("&amp;CSV!M19&amp;")")</f>
        <v/>
      </c>
      <c r="L22" s="8" t="str">
        <f>IF(CSV!N19=0,"",使用数!N19)&amp;IF(CSV!N19=0,"","("&amp;CSV!N19&amp;")")</f>
        <v/>
      </c>
      <c r="M22" s="8" t="str">
        <f>IF(CSV!O19=0,"",使用数!O19)&amp;IF(CSV!O19=0,"","("&amp;CSV!O19&amp;")")</f>
        <v/>
      </c>
      <c r="N22" s="8" t="str">
        <f>IF(CSV!P19=0,"",使用数!P19)&amp;IF(CSV!P19=0,"","("&amp;CSV!P19&amp;")")</f>
        <v/>
      </c>
      <c r="O22" s="8" t="str">
        <f>IF(CSV!Q19=0,"",使用数!Q19)&amp;IF(CSV!Q19=0,"","("&amp;CSV!Q19&amp;")")</f>
        <v/>
      </c>
      <c r="P22" s="8" t="str">
        <f>IF(CSV!R19=0,"",使用数!R19)&amp;IF(CSV!R19=0,"","("&amp;CSV!R19&amp;")")</f>
        <v/>
      </c>
      <c r="Q22" s="8" t="str">
        <f>IF(CSV!S19=0,"",使用数!S19)&amp;IF(CSV!S19=0,"","("&amp;CSV!S19&amp;")")</f>
        <v/>
      </c>
      <c r="R22" s="8" t="str">
        <f>IF(CSV!T19=0,"",使用数!T19)&amp;IF(CSV!T19=0,"","("&amp;CSV!T19&amp;")")</f>
        <v/>
      </c>
      <c r="S22" s="8" t="str">
        <f>IF(CSV!U19=0,"",使用数!U19)&amp;IF(CSV!U19=0,"","("&amp;CSV!U19&amp;")")</f>
        <v/>
      </c>
      <c r="T22" s="8" t="str">
        <f>IF(CSV!V19=0,"",使用数!V19)&amp;IF(CSV!V19=0,"","("&amp;CSV!V19&amp;")")</f>
        <v/>
      </c>
      <c r="U22" s="8" t="str">
        <f>IF(CSV!W19=0,"",使用数!W19)&amp;IF(CSV!W19=0,"","("&amp;CSV!W19&amp;")")</f>
        <v/>
      </c>
      <c r="V22" s="8" t="str">
        <f>IF(CSV!X19=0,"",使用数!X19)&amp;IF(CSV!X19=0,"","("&amp;CSV!X19&amp;")")</f>
        <v/>
      </c>
      <c r="W22" s="8" t="str">
        <f>IF(CSV!Y19=0,"",使用数!Y19)&amp;IF(CSV!Y19=0,"","("&amp;CSV!Y19&amp;")")</f>
        <v/>
      </c>
      <c r="X22" s="8" t="str">
        <f>IF(CSV!Z19=0,"",使用数!Z19)&amp;IF(CSV!Z19=0,"","("&amp;CSV!Z19&amp;")")</f>
        <v/>
      </c>
      <c r="Y22" s="8" t="str">
        <f>IF(CSV!AA19=0,"",使用数!AA19)&amp;IF(CSV!AA19=0,"","("&amp;CSV!AA19&amp;")")</f>
        <v/>
      </c>
      <c r="Z22" s="8" t="str">
        <f>IF(CSV!AB19=0,"",使用数!AB19)&amp;IF(CSV!AB19=0,"","("&amp;CSV!AB19&amp;")")</f>
        <v/>
      </c>
      <c r="AA22" s="8" t="str">
        <f>IF(CSV!AC19=0,"",使用数!AC19)&amp;IF(CSV!AC19=0,"","("&amp;CSV!AC19&amp;")")</f>
        <v/>
      </c>
      <c r="AB22" s="8" t="str">
        <f>IF(CSV!AD19=0,"",使用数!AD19)&amp;IF(CSV!AD19=0,"","("&amp;CSV!AD19&amp;")")</f>
        <v/>
      </c>
      <c r="AC22" s="8" t="str">
        <f>IF(CSV!AE19=0,"",使用数!AE19)&amp;IF(CSV!AE19=0,"","("&amp;CSV!AE19&amp;")")</f>
        <v/>
      </c>
      <c r="AD22" s="8" t="str">
        <f>IF(CSV!AF19=0,"",使用数!AF19)&amp;IF(CSV!AF19=0,"","("&amp;CSV!AF19&amp;")")</f>
        <v/>
      </c>
      <c r="AE22" s="8" t="str">
        <f>IF(CSV!AG19=0,"",使用数!AG19)&amp;IF(CSV!AG19=0,"","("&amp;CSV!AG19&amp;")")</f>
        <v/>
      </c>
      <c r="AF22" s="8" t="str">
        <f>IF(CSV!AH19=0,"",使用数!AH19)&amp;IF(CSV!AH19=0,"","("&amp;CSV!AH19&amp;")")</f>
        <v/>
      </c>
      <c r="AG22" s="8" t="str">
        <f>IF(CSV!AI19=0,"",使用数!AI19)&amp;IF(CSV!AI19=0,"","("&amp;CSV!AI19&amp;")")</f>
        <v/>
      </c>
      <c r="AH22" s="8" t="str">
        <f>IF(CSV!AJ19=0,"",使用数!AJ19)&amp;IF(CSV!AJ19=0,"","("&amp;CSV!AJ19&amp;")")</f>
        <v/>
      </c>
      <c r="AI22" s="8" t="str">
        <f>IF(CSV!AK19=0,"",使用数!AK19)&amp;IF(CSV!AK19=0,"","("&amp;CSV!AK19&amp;")")</f>
        <v/>
      </c>
      <c r="AJ22" s="8" t="str">
        <f>IF(CSV!AL19=0,"",使用数!AL19)&amp;IF(CSV!AL19=0,"","("&amp;CSV!AL19&amp;")")</f>
        <v/>
      </c>
      <c r="AK22" s="8" t="str">
        <f>IF(CSV!AM19=0,"",使用数!AM19)&amp;IF(CSV!AM19=0,"","("&amp;CSV!AM19&amp;")")</f>
        <v/>
      </c>
    </row>
    <row r="23" spans="1:37" ht="27" customHeight="1" x14ac:dyDescent="0.55000000000000004">
      <c r="A23" s="12"/>
      <c r="B23" s="11">
        <v>141018</v>
      </c>
      <c r="C23" s="9" t="str">
        <f>IF(CSV!F20&lt;&gt;0,CSV!F20,"")</f>
        <v/>
      </c>
      <c r="D23" s="11">
        <f>HLOOKUP("部品説明",CSV!$B$2:$CC$42,B23-140999,FALSE)</f>
        <v>0</v>
      </c>
      <c r="E23" s="11" t="str">
        <f>IF(CSV!G20=0,"",CSV!G20)</f>
        <v/>
      </c>
      <c r="F23" s="11">
        <f>CSV!$H20</f>
        <v>0</v>
      </c>
      <c r="G23" s="11" t="str">
        <f>IF(CSV!I20=0,"",使用数!I20)&amp;IF(CSV!I20=0,"","("&amp;CSV!I20&amp;")")</f>
        <v/>
      </c>
      <c r="H23" s="11" t="str">
        <f>IF(CSV!J20=0,"",使用数!J20)&amp;IF(CSV!J20=0,"","("&amp;CSV!J20&amp;")")</f>
        <v/>
      </c>
      <c r="I23" s="11" t="str">
        <f>IF(CSV!K20=0,"",使用数!K20)&amp;IF(CSV!K20=0,"","("&amp;CSV!K20&amp;")")</f>
        <v/>
      </c>
      <c r="J23" s="11" t="str">
        <f>IF(CSV!L20=0,"",使用数!L20)&amp;IF(CSV!L20=0,"","("&amp;CSV!L20&amp;")")</f>
        <v/>
      </c>
      <c r="K23" s="11" t="str">
        <f>IF(CSV!M20=0,"",使用数!M20)&amp;IF(CSV!M20=0,"","("&amp;CSV!M20&amp;")")</f>
        <v/>
      </c>
      <c r="L23" s="11" t="str">
        <f>IF(CSV!N20=0,"",使用数!N20)&amp;IF(CSV!N20=0,"","("&amp;CSV!N20&amp;")")</f>
        <v/>
      </c>
      <c r="M23" s="11" t="str">
        <f>IF(CSV!O20=0,"",使用数!O20)&amp;IF(CSV!O20=0,"","("&amp;CSV!O20&amp;")")</f>
        <v/>
      </c>
      <c r="N23" s="11" t="str">
        <f>IF(CSV!P20=0,"",使用数!P20)&amp;IF(CSV!P20=0,"","("&amp;CSV!P20&amp;")")</f>
        <v/>
      </c>
      <c r="O23" s="11" t="str">
        <f>IF(CSV!Q20=0,"",使用数!Q20)&amp;IF(CSV!Q20=0,"","("&amp;CSV!Q20&amp;")")</f>
        <v/>
      </c>
      <c r="P23" s="11" t="str">
        <f>IF(CSV!R20=0,"",使用数!R20)&amp;IF(CSV!R20=0,"","("&amp;CSV!R20&amp;")")</f>
        <v/>
      </c>
      <c r="Q23" s="11" t="str">
        <f>IF(CSV!S20=0,"",使用数!S20)&amp;IF(CSV!S20=0,"","("&amp;CSV!S20&amp;")")</f>
        <v/>
      </c>
      <c r="R23" s="11" t="str">
        <f>IF(CSV!T20=0,"",使用数!T20)&amp;IF(CSV!T20=0,"","("&amp;CSV!T20&amp;")")</f>
        <v/>
      </c>
      <c r="S23" s="11" t="str">
        <f>IF(CSV!U20=0,"",使用数!U20)&amp;IF(CSV!U20=0,"","("&amp;CSV!U20&amp;")")</f>
        <v/>
      </c>
      <c r="T23" s="11" t="str">
        <f>IF(CSV!V20=0,"",使用数!V20)&amp;IF(CSV!V20=0,"","("&amp;CSV!V20&amp;")")</f>
        <v/>
      </c>
      <c r="U23" s="11" t="str">
        <f>IF(CSV!W20=0,"",使用数!W20)&amp;IF(CSV!W20=0,"","("&amp;CSV!W20&amp;")")</f>
        <v/>
      </c>
      <c r="V23" s="11" t="str">
        <f>IF(CSV!X20=0,"",使用数!X20)&amp;IF(CSV!X20=0,"","("&amp;CSV!X20&amp;")")</f>
        <v/>
      </c>
      <c r="W23" s="11" t="str">
        <f>IF(CSV!Y20=0,"",使用数!Y20)&amp;IF(CSV!Y20=0,"","("&amp;CSV!Y20&amp;")")</f>
        <v/>
      </c>
      <c r="X23" s="11" t="str">
        <f>IF(CSV!Z20=0,"",使用数!Z20)&amp;IF(CSV!Z20=0,"","("&amp;CSV!Z20&amp;")")</f>
        <v/>
      </c>
      <c r="Y23" s="11" t="str">
        <f>IF(CSV!AA20=0,"",使用数!AA20)&amp;IF(CSV!AA20=0,"","("&amp;CSV!AA20&amp;")")</f>
        <v/>
      </c>
      <c r="Z23" s="11" t="str">
        <f>IF(CSV!AB20=0,"",使用数!AB20)&amp;IF(CSV!AB20=0,"","("&amp;CSV!AB20&amp;")")</f>
        <v/>
      </c>
      <c r="AA23" s="11" t="str">
        <f>IF(CSV!AC20=0,"",使用数!AC20)&amp;IF(CSV!AC20=0,"","("&amp;CSV!AC20&amp;")")</f>
        <v/>
      </c>
      <c r="AB23" s="11" t="str">
        <f>IF(CSV!AD20=0,"",使用数!AD20)&amp;IF(CSV!AD20=0,"","("&amp;CSV!AD20&amp;")")</f>
        <v/>
      </c>
      <c r="AC23" s="11" t="str">
        <f>IF(CSV!AE20=0,"",使用数!AE20)&amp;IF(CSV!AE20=0,"","("&amp;CSV!AE20&amp;")")</f>
        <v/>
      </c>
      <c r="AD23" s="11" t="str">
        <f>IF(CSV!AF20=0,"",使用数!AF20)&amp;IF(CSV!AF20=0,"","("&amp;CSV!AF20&amp;")")</f>
        <v/>
      </c>
      <c r="AE23" s="11" t="str">
        <f>IF(CSV!AG20=0,"",使用数!AG20)&amp;IF(CSV!AG20=0,"","("&amp;CSV!AG20&amp;")")</f>
        <v/>
      </c>
      <c r="AF23" s="11" t="str">
        <f>IF(CSV!AH20=0,"",使用数!AH20)&amp;IF(CSV!AH20=0,"","("&amp;CSV!AH20&amp;")")</f>
        <v/>
      </c>
      <c r="AG23" s="11" t="str">
        <f>IF(CSV!AI20=0,"",使用数!AI20)&amp;IF(CSV!AI20=0,"","("&amp;CSV!AI20&amp;")")</f>
        <v/>
      </c>
      <c r="AH23" s="11" t="str">
        <f>IF(CSV!AJ20=0,"",使用数!AJ20)&amp;IF(CSV!AJ20=0,"","("&amp;CSV!AJ20&amp;")")</f>
        <v/>
      </c>
      <c r="AI23" s="11" t="str">
        <f>IF(CSV!AK20=0,"",使用数!AK20)&amp;IF(CSV!AK20=0,"","("&amp;CSV!AK20&amp;")")</f>
        <v/>
      </c>
      <c r="AJ23" s="11" t="str">
        <f>IF(CSV!AL20=0,"",使用数!AL20)&amp;IF(CSV!AL20=0,"","("&amp;CSV!AL20&amp;")")</f>
        <v/>
      </c>
      <c r="AK23" s="11" t="str">
        <f>IF(CSV!AM20=0,"",使用数!AM20)&amp;IF(CSV!AM20=0,"","("&amp;CSV!AM20&amp;")")</f>
        <v/>
      </c>
    </row>
    <row r="24" spans="1:37" s="7" customFormat="1" ht="27" customHeight="1" x14ac:dyDescent="0.55000000000000004">
      <c r="A24" s="10"/>
      <c r="B24" s="8">
        <v>141019</v>
      </c>
      <c r="C24" s="9" t="str">
        <f>IF(CSV!F21&lt;&gt;0,CSV!F21,"")</f>
        <v/>
      </c>
      <c r="D24" s="8">
        <f>HLOOKUP("部品説明",CSV!$B$2:$CC$42,B24-140999,FALSE)</f>
        <v>0</v>
      </c>
      <c r="E24" s="8" t="str">
        <f>IF(CSV!G21=0,"",CSV!G21)</f>
        <v/>
      </c>
      <c r="F24" s="8">
        <f>CSV!$H21</f>
        <v>0</v>
      </c>
      <c r="G24" s="8" t="str">
        <f>IF(CSV!I21=0,"",使用数!I21)&amp;IF(CSV!I21=0,"","("&amp;CSV!I21&amp;")")</f>
        <v/>
      </c>
      <c r="H24" s="8" t="str">
        <f>IF(CSV!J21=0,"",使用数!J21)&amp;IF(CSV!J21=0,"","("&amp;CSV!J21&amp;")")</f>
        <v/>
      </c>
      <c r="I24" s="8" t="str">
        <f>IF(CSV!K21=0,"",使用数!K21)&amp;IF(CSV!K21=0,"","("&amp;CSV!K21&amp;")")</f>
        <v/>
      </c>
      <c r="J24" s="8" t="str">
        <f>IF(CSV!L21=0,"",使用数!L21)&amp;IF(CSV!L21=0,"","("&amp;CSV!L21&amp;")")</f>
        <v/>
      </c>
      <c r="K24" s="8" t="str">
        <f>IF(CSV!M21=0,"",使用数!M21)&amp;IF(CSV!M21=0,"","("&amp;CSV!M21&amp;")")</f>
        <v/>
      </c>
      <c r="L24" s="8" t="str">
        <f>IF(CSV!N21=0,"",使用数!N21)&amp;IF(CSV!N21=0,"","("&amp;CSV!N21&amp;")")</f>
        <v/>
      </c>
      <c r="M24" s="8" t="str">
        <f>IF(CSV!O21=0,"",使用数!O21)&amp;IF(CSV!O21=0,"","("&amp;CSV!O21&amp;")")</f>
        <v/>
      </c>
      <c r="N24" s="8" t="str">
        <f>IF(CSV!P21=0,"",使用数!P21)&amp;IF(CSV!P21=0,"","("&amp;CSV!P21&amp;")")</f>
        <v/>
      </c>
      <c r="O24" s="8" t="str">
        <f>IF(CSV!Q21=0,"",使用数!Q21)&amp;IF(CSV!Q21=0,"","("&amp;CSV!Q21&amp;")")</f>
        <v/>
      </c>
      <c r="P24" s="8" t="str">
        <f>IF(CSV!R21=0,"",使用数!R21)&amp;IF(CSV!R21=0,"","("&amp;CSV!R21&amp;")")</f>
        <v/>
      </c>
      <c r="Q24" s="8" t="str">
        <f>IF(CSV!S21=0,"",使用数!S21)&amp;IF(CSV!S21=0,"","("&amp;CSV!S21&amp;")")</f>
        <v/>
      </c>
      <c r="R24" s="8" t="str">
        <f>IF(CSV!T21=0,"",使用数!T21)&amp;IF(CSV!T21=0,"","("&amp;CSV!T21&amp;")")</f>
        <v/>
      </c>
      <c r="S24" s="8" t="str">
        <f>IF(CSV!U21=0,"",使用数!U21)&amp;IF(CSV!U21=0,"","("&amp;CSV!U21&amp;")")</f>
        <v/>
      </c>
      <c r="T24" s="8" t="str">
        <f>IF(CSV!V21=0,"",使用数!V21)&amp;IF(CSV!V21=0,"","("&amp;CSV!V21&amp;")")</f>
        <v/>
      </c>
      <c r="U24" s="8" t="str">
        <f>IF(CSV!W21=0,"",使用数!W21)&amp;IF(CSV!W21=0,"","("&amp;CSV!W21&amp;")")</f>
        <v/>
      </c>
      <c r="V24" s="8" t="str">
        <f>IF(CSV!X21=0,"",使用数!X21)&amp;IF(CSV!X21=0,"","("&amp;CSV!X21&amp;")")</f>
        <v/>
      </c>
      <c r="W24" s="8" t="str">
        <f>IF(CSV!Y21=0,"",使用数!Y21)&amp;IF(CSV!Y21=0,"","("&amp;CSV!Y21&amp;")")</f>
        <v/>
      </c>
      <c r="X24" s="8" t="str">
        <f>IF(CSV!Z21=0,"",使用数!Z21)&amp;IF(CSV!Z21=0,"","("&amp;CSV!Z21&amp;")")</f>
        <v/>
      </c>
      <c r="Y24" s="8" t="str">
        <f>IF(CSV!AA21=0,"",使用数!AA21)&amp;IF(CSV!AA21=0,"","("&amp;CSV!AA21&amp;")")</f>
        <v/>
      </c>
      <c r="Z24" s="8" t="str">
        <f>IF(CSV!AB21=0,"",使用数!AB21)&amp;IF(CSV!AB21=0,"","("&amp;CSV!AB21&amp;")")</f>
        <v/>
      </c>
      <c r="AA24" s="8" t="str">
        <f>IF(CSV!AC21=0,"",使用数!AC21)&amp;IF(CSV!AC21=0,"","("&amp;CSV!AC21&amp;")")</f>
        <v/>
      </c>
      <c r="AB24" s="8" t="str">
        <f>IF(CSV!AD21=0,"",使用数!AD21)&amp;IF(CSV!AD21=0,"","("&amp;CSV!AD21&amp;")")</f>
        <v/>
      </c>
      <c r="AC24" s="8" t="str">
        <f>IF(CSV!AE21=0,"",使用数!AE21)&amp;IF(CSV!AE21=0,"","("&amp;CSV!AE21&amp;")")</f>
        <v/>
      </c>
      <c r="AD24" s="8" t="str">
        <f>IF(CSV!AF21=0,"",使用数!AF21)&amp;IF(CSV!AF21=0,"","("&amp;CSV!AF21&amp;")")</f>
        <v/>
      </c>
      <c r="AE24" s="8" t="str">
        <f>IF(CSV!AG21=0,"",使用数!AG21)&amp;IF(CSV!AG21=0,"","("&amp;CSV!AG21&amp;")")</f>
        <v/>
      </c>
      <c r="AF24" s="8" t="str">
        <f>IF(CSV!AH21=0,"",使用数!AH21)&amp;IF(CSV!AH21=0,"","("&amp;CSV!AH21&amp;")")</f>
        <v/>
      </c>
      <c r="AG24" s="8" t="str">
        <f>IF(CSV!AI21=0,"",使用数!AI21)&amp;IF(CSV!AI21=0,"","("&amp;CSV!AI21&amp;")")</f>
        <v/>
      </c>
      <c r="AH24" s="8" t="str">
        <f>IF(CSV!AJ21=0,"",使用数!AJ21)&amp;IF(CSV!AJ21=0,"","("&amp;CSV!AJ21&amp;")")</f>
        <v/>
      </c>
      <c r="AI24" s="8" t="str">
        <f>IF(CSV!AK21=0,"",使用数!AK21)&amp;IF(CSV!AK21=0,"","("&amp;CSV!AK21&amp;")")</f>
        <v/>
      </c>
      <c r="AJ24" s="8" t="str">
        <f>IF(CSV!AL21=0,"",使用数!AL21)&amp;IF(CSV!AL21=0,"","("&amp;CSV!AL21&amp;")")</f>
        <v/>
      </c>
      <c r="AK24" s="8" t="str">
        <f>IF(CSV!AM21=0,"",使用数!AM21)&amp;IF(CSV!AM21=0,"","("&amp;CSV!AM21&amp;")")</f>
        <v/>
      </c>
    </row>
    <row r="25" spans="1:37" ht="27" customHeight="1" x14ac:dyDescent="0.55000000000000004">
      <c r="A25" s="12"/>
      <c r="B25" s="11">
        <v>141020</v>
      </c>
      <c r="C25" s="9" t="str">
        <f>IF(CSV!F22&lt;&gt;0,CSV!F22,"")</f>
        <v/>
      </c>
      <c r="D25" s="11">
        <f>HLOOKUP("部品説明",CSV!$B$2:$CC$42,B25-140999,FALSE)</f>
        <v>0</v>
      </c>
      <c r="E25" s="11" t="str">
        <f>IF(CSV!G22=0,"",CSV!G22)</f>
        <v/>
      </c>
      <c r="F25" s="11">
        <f>CSV!$H22</f>
        <v>0</v>
      </c>
      <c r="G25" s="11" t="str">
        <f>IF(CSV!I22=0,"",使用数!I22)&amp;IF(CSV!I22=0,"","("&amp;CSV!I22&amp;")")</f>
        <v/>
      </c>
      <c r="H25" s="11" t="str">
        <f>IF(CSV!J22=0,"",使用数!J22)&amp;IF(CSV!J22=0,"","("&amp;CSV!J22&amp;")")</f>
        <v/>
      </c>
      <c r="I25" s="11" t="str">
        <f>IF(CSV!K22=0,"",使用数!K22)&amp;IF(CSV!K22=0,"","("&amp;CSV!K22&amp;")")</f>
        <v/>
      </c>
      <c r="J25" s="11" t="str">
        <f>IF(CSV!L22=0,"",使用数!L22)&amp;IF(CSV!L22=0,"","("&amp;CSV!L22&amp;")")</f>
        <v/>
      </c>
      <c r="K25" s="11" t="str">
        <f>IF(CSV!M22=0,"",使用数!M22)&amp;IF(CSV!M22=0,"","("&amp;CSV!M22&amp;")")</f>
        <v/>
      </c>
      <c r="L25" s="11" t="str">
        <f>IF(CSV!N22=0,"",使用数!N22)&amp;IF(CSV!N22=0,"","("&amp;CSV!N22&amp;")")</f>
        <v/>
      </c>
      <c r="M25" s="11" t="str">
        <f>IF(CSV!O22=0,"",使用数!O22)&amp;IF(CSV!O22=0,"","("&amp;CSV!O22&amp;")")</f>
        <v/>
      </c>
      <c r="N25" s="11" t="str">
        <f>IF(CSV!P22=0,"",使用数!P22)&amp;IF(CSV!P22=0,"","("&amp;CSV!P22&amp;")")</f>
        <v/>
      </c>
      <c r="O25" s="11" t="str">
        <f>IF(CSV!Q22=0,"",使用数!Q22)&amp;IF(CSV!Q22=0,"","("&amp;CSV!Q22&amp;")")</f>
        <v/>
      </c>
      <c r="P25" s="11" t="str">
        <f>IF(CSV!R22=0,"",使用数!R22)&amp;IF(CSV!R22=0,"","("&amp;CSV!R22&amp;")")</f>
        <v/>
      </c>
      <c r="Q25" s="11" t="str">
        <f>IF(CSV!S22=0,"",使用数!S22)&amp;IF(CSV!S22=0,"","("&amp;CSV!S22&amp;")")</f>
        <v/>
      </c>
      <c r="R25" s="11" t="str">
        <f>IF(CSV!T22=0,"",使用数!T22)&amp;IF(CSV!T22=0,"","("&amp;CSV!T22&amp;")")</f>
        <v/>
      </c>
      <c r="S25" s="11" t="str">
        <f>IF(CSV!U22=0,"",使用数!U22)&amp;IF(CSV!U22=0,"","("&amp;CSV!U22&amp;")")</f>
        <v/>
      </c>
      <c r="T25" s="11" t="str">
        <f>IF(CSV!V22=0,"",使用数!V22)&amp;IF(CSV!V22=0,"","("&amp;CSV!V22&amp;")")</f>
        <v/>
      </c>
      <c r="U25" s="11" t="str">
        <f>IF(CSV!W22=0,"",使用数!W22)&amp;IF(CSV!W22=0,"","("&amp;CSV!W22&amp;")")</f>
        <v/>
      </c>
      <c r="V25" s="11" t="str">
        <f>IF(CSV!X22=0,"",使用数!X22)&amp;IF(CSV!X22=0,"","("&amp;CSV!X22&amp;")")</f>
        <v/>
      </c>
      <c r="W25" s="11" t="str">
        <f>IF(CSV!Y22=0,"",使用数!Y22)&amp;IF(CSV!Y22=0,"","("&amp;CSV!Y22&amp;")")</f>
        <v/>
      </c>
      <c r="X25" s="11" t="str">
        <f>IF(CSV!Z22=0,"",使用数!Z22)&amp;IF(CSV!Z22=0,"","("&amp;CSV!Z22&amp;")")</f>
        <v/>
      </c>
      <c r="Y25" s="11" t="str">
        <f>IF(CSV!AA22=0,"",使用数!AA22)&amp;IF(CSV!AA22=0,"","("&amp;CSV!AA22&amp;")")</f>
        <v/>
      </c>
      <c r="Z25" s="11" t="str">
        <f>IF(CSV!AB22=0,"",使用数!AB22)&amp;IF(CSV!AB22=0,"","("&amp;CSV!AB22&amp;")")</f>
        <v/>
      </c>
      <c r="AA25" s="11" t="str">
        <f>IF(CSV!AC22=0,"",使用数!AC22)&amp;IF(CSV!AC22=0,"","("&amp;CSV!AC22&amp;")")</f>
        <v/>
      </c>
      <c r="AB25" s="11" t="str">
        <f>IF(CSV!AD22=0,"",使用数!AD22)&amp;IF(CSV!AD22=0,"","("&amp;CSV!AD22&amp;")")</f>
        <v/>
      </c>
      <c r="AC25" s="11" t="str">
        <f>IF(CSV!AE22=0,"",使用数!AE22)&amp;IF(CSV!AE22=0,"","("&amp;CSV!AE22&amp;")")</f>
        <v/>
      </c>
      <c r="AD25" s="11" t="str">
        <f>IF(CSV!AF22=0,"",使用数!AF22)&amp;IF(CSV!AF22=0,"","("&amp;CSV!AF22&amp;")")</f>
        <v/>
      </c>
      <c r="AE25" s="11" t="str">
        <f>IF(CSV!AG22=0,"",使用数!AG22)&amp;IF(CSV!AG22=0,"","("&amp;CSV!AG22&amp;")")</f>
        <v/>
      </c>
      <c r="AF25" s="11" t="str">
        <f>IF(CSV!AH22=0,"",使用数!AH22)&amp;IF(CSV!AH22=0,"","("&amp;CSV!AH22&amp;")")</f>
        <v/>
      </c>
      <c r="AG25" s="11" t="str">
        <f>IF(CSV!AI22=0,"",使用数!AI22)&amp;IF(CSV!AI22=0,"","("&amp;CSV!AI22&amp;")")</f>
        <v/>
      </c>
      <c r="AH25" s="11" t="str">
        <f>IF(CSV!AJ22=0,"",使用数!AJ22)&amp;IF(CSV!AJ22=0,"","("&amp;CSV!AJ22&amp;")")</f>
        <v/>
      </c>
      <c r="AI25" s="11" t="str">
        <f>IF(CSV!AK22=0,"",使用数!AK22)&amp;IF(CSV!AK22=0,"","("&amp;CSV!AK22&amp;")")</f>
        <v/>
      </c>
      <c r="AJ25" s="11" t="str">
        <f>IF(CSV!AL22=0,"",使用数!AL22)&amp;IF(CSV!AL22=0,"","("&amp;CSV!AL22&amp;")")</f>
        <v/>
      </c>
      <c r="AK25" s="11" t="str">
        <f>IF(CSV!AM22=0,"",使用数!AM22)&amp;IF(CSV!AM22=0,"","("&amp;CSV!AM22&amp;")")</f>
        <v/>
      </c>
    </row>
    <row r="26" spans="1:37" ht="35.15" customHeight="1" x14ac:dyDescent="0.55000000000000004">
      <c r="A26" s="129" t="s">
        <v>62</v>
      </c>
      <c r="B26" s="124"/>
      <c r="C26" s="124"/>
      <c r="D26" s="125"/>
      <c r="E26" s="19" t="s">
        <v>10</v>
      </c>
      <c r="F26" s="12"/>
      <c r="G26" s="16">
        <f>台数入力!I$3</f>
        <v>24</v>
      </c>
      <c r="H26" s="16">
        <f>台数入力!J$3</f>
        <v>192</v>
      </c>
      <c r="I26" s="16">
        <f>台数入力!K$3</f>
        <v>48</v>
      </c>
      <c r="J26" s="16">
        <f>台数入力!L$3</f>
        <v>48</v>
      </c>
      <c r="K26" s="16">
        <f>台数入力!M$3</f>
        <v>144</v>
      </c>
      <c r="L26" s="16">
        <f>台数入力!N$3</f>
        <v>144</v>
      </c>
      <c r="M26" s="16">
        <f>台数入力!O$3</f>
        <v>168</v>
      </c>
      <c r="N26" s="16">
        <f>台数入力!P$3</f>
        <v>168</v>
      </c>
      <c r="O26" s="16">
        <f>台数入力!Q$3</f>
        <v>48</v>
      </c>
      <c r="P26" s="16">
        <f>台数入力!R$3</f>
        <v>24</v>
      </c>
      <c r="Q26" s="16">
        <f>台数入力!S$3</f>
        <v>1</v>
      </c>
      <c r="R26" s="16">
        <f>台数入力!T$3</f>
        <v>1</v>
      </c>
      <c r="S26" s="16">
        <f>台数入力!U$3</f>
        <v>1</v>
      </c>
      <c r="T26" s="16">
        <f>台数入力!V$3</f>
        <v>1</v>
      </c>
      <c r="U26" s="16">
        <f>台数入力!W$3</f>
        <v>1</v>
      </c>
      <c r="V26" s="16">
        <f>台数入力!X$3</f>
        <v>96</v>
      </c>
      <c r="W26" s="16">
        <f>台数入力!Y$3</f>
        <v>96</v>
      </c>
      <c r="X26" s="16">
        <f>台数入力!Z$3</f>
        <v>96</v>
      </c>
      <c r="Y26" s="16">
        <f>台数入力!AA$3</f>
        <v>96</v>
      </c>
      <c r="Z26" s="16">
        <f>台数入力!AB$3</f>
        <v>12</v>
      </c>
      <c r="AA26" s="16">
        <f>台数入力!AC$3</f>
        <v>96</v>
      </c>
      <c r="AB26" s="16">
        <f>台数入力!AD$3</f>
        <v>96</v>
      </c>
      <c r="AC26" s="16">
        <f>台数入力!AE$3</f>
        <v>1</v>
      </c>
      <c r="AD26" s="16">
        <f>台数入力!AF$3</f>
        <v>1</v>
      </c>
      <c r="AE26" s="16">
        <f>台数入力!AG$3</f>
        <v>1</v>
      </c>
      <c r="AF26" s="16">
        <f>台数入力!AH$3</f>
        <v>1</v>
      </c>
      <c r="AG26" s="16">
        <f>台数入力!AI$3</f>
        <v>1</v>
      </c>
      <c r="AH26" s="16">
        <f>台数入力!AJ$3</f>
        <v>1</v>
      </c>
      <c r="AI26" s="16">
        <f>台数入力!AK$3</f>
        <v>1</v>
      </c>
      <c r="AJ26" s="16">
        <f>台数入力!AL$3</f>
        <v>1</v>
      </c>
      <c r="AK26" s="16">
        <f>台数入力!AM$3</f>
        <v>1</v>
      </c>
    </row>
    <row r="27" spans="1:37" ht="35.15" customHeight="1" x14ac:dyDescent="0.55000000000000004">
      <c r="A27" s="126"/>
      <c r="B27" s="127"/>
      <c r="C27" s="127"/>
      <c r="D27" s="128"/>
      <c r="E27" s="19" t="s">
        <v>9</v>
      </c>
      <c r="F27" s="12"/>
      <c r="G27" s="16">
        <f>台数入力!I$4</f>
        <v>1</v>
      </c>
      <c r="H27" s="16">
        <f>台数入力!J$4</f>
        <v>2</v>
      </c>
      <c r="I27" s="16">
        <f>台数入力!K$4</f>
        <v>2</v>
      </c>
      <c r="J27" s="16">
        <f>台数入力!L$4</f>
        <v>2</v>
      </c>
      <c r="K27" s="16">
        <f>台数入力!M$4</f>
        <v>2</v>
      </c>
      <c r="L27" s="16">
        <f>台数入力!N$4</f>
        <v>2</v>
      </c>
      <c r="M27" s="16">
        <f>台数入力!O$4</f>
        <v>2</v>
      </c>
      <c r="N27" s="16">
        <f>台数入力!P$4</f>
        <v>2</v>
      </c>
      <c r="O27" s="16">
        <f>台数入力!Q$4</f>
        <v>2</v>
      </c>
      <c r="P27" s="16">
        <f>台数入力!R$4</f>
        <v>1</v>
      </c>
      <c r="Q27" s="16">
        <f>台数入力!S$4</f>
        <v>1</v>
      </c>
      <c r="R27" s="16">
        <f>台数入力!T$4</f>
        <v>1</v>
      </c>
      <c r="S27" s="16">
        <f>台数入力!U$4</f>
        <v>1</v>
      </c>
      <c r="T27" s="16">
        <f>台数入力!V$4</f>
        <v>1</v>
      </c>
      <c r="U27" s="16">
        <f>台数入力!W$4</f>
        <v>1</v>
      </c>
      <c r="V27" s="16">
        <f>台数入力!X$4</f>
        <v>2</v>
      </c>
      <c r="W27" s="16">
        <f>台数入力!Y$4</f>
        <v>2</v>
      </c>
      <c r="X27" s="16">
        <f>台数入力!Z$4</f>
        <v>2</v>
      </c>
      <c r="Y27" s="16">
        <f>台数入力!AA$4</f>
        <v>2</v>
      </c>
      <c r="Z27" s="16">
        <f>台数入力!AB$4</f>
        <v>1</v>
      </c>
      <c r="AA27" s="16">
        <f>台数入力!AC$4</f>
        <v>2</v>
      </c>
      <c r="AB27" s="16">
        <f>台数入力!AD$4</f>
        <v>2</v>
      </c>
      <c r="AC27" s="16">
        <f>台数入力!AE$4</f>
        <v>1</v>
      </c>
      <c r="AD27" s="16">
        <f>台数入力!AF$4</f>
        <v>1</v>
      </c>
      <c r="AE27" s="16">
        <f>台数入力!AG$4</f>
        <v>1</v>
      </c>
      <c r="AF27" s="16">
        <f>台数入力!AH$4</f>
        <v>1</v>
      </c>
      <c r="AG27" s="16">
        <f>台数入力!AI$4</f>
        <v>1</v>
      </c>
      <c r="AH27" s="16">
        <f>台数入力!AJ$4</f>
        <v>1</v>
      </c>
      <c r="AI27" s="16">
        <f>台数入力!AK$4</f>
        <v>1</v>
      </c>
      <c r="AJ27" s="16">
        <f>台数入力!AL$4</f>
        <v>1</v>
      </c>
      <c r="AK27" s="16">
        <f>台数入力!AM$4</f>
        <v>1</v>
      </c>
    </row>
    <row r="28" spans="1:37" ht="35.15" customHeight="1" x14ac:dyDescent="0.55000000000000004">
      <c r="A28" s="17" t="s">
        <v>13</v>
      </c>
      <c r="B28" s="11" t="s">
        <v>8</v>
      </c>
      <c r="C28" s="16" t="s">
        <v>7</v>
      </c>
      <c r="D28" s="18" t="str">
        <f>CSV!A1</f>
        <v>生産データ: 260723-011</v>
      </c>
      <c r="E28" s="17" t="s">
        <v>6</v>
      </c>
      <c r="F28" s="12"/>
      <c r="G28" s="16">
        <f>台数入力!I$5</f>
        <v>24</v>
      </c>
      <c r="H28" s="16">
        <f>台数入力!J$5</f>
        <v>96</v>
      </c>
      <c r="I28" s="16">
        <f>台数入力!K$5</f>
        <v>24</v>
      </c>
      <c r="J28" s="16">
        <f>台数入力!L$5</f>
        <v>24</v>
      </c>
      <c r="K28" s="16">
        <f>台数入力!M$5</f>
        <v>72</v>
      </c>
      <c r="L28" s="16">
        <f>台数入力!N$5</f>
        <v>72</v>
      </c>
      <c r="M28" s="16">
        <f>台数入力!O$5</f>
        <v>84</v>
      </c>
      <c r="N28" s="16">
        <f>台数入力!P$5</f>
        <v>84</v>
      </c>
      <c r="O28" s="16">
        <f>台数入力!Q$5</f>
        <v>24</v>
      </c>
      <c r="P28" s="16">
        <f>台数入力!R$5</f>
        <v>24</v>
      </c>
      <c r="Q28" s="16">
        <f>台数入力!S$5</f>
        <v>1</v>
      </c>
      <c r="R28" s="16">
        <f>台数入力!T$5</f>
        <v>1</v>
      </c>
      <c r="S28" s="16">
        <f>台数入力!U$5</f>
        <v>1</v>
      </c>
      <c r="T28" s="16">
        <f>台数入力!V$5</f>
        <v>1</v>
      </c>
      <c r="U28" s="16">
        <f>台数入力!W$5</f>
        <v>1</v>
      </c>
      <c r="V28" s="16">
        <f>台数入力!X$5</f>
        <v>48</v>
      </c>
      <c r="W28" s="16">
        <f>台数入力!Y$5</f>
        <v>48</v>
      </c>
      <c r="X28" s="16">
        <f>台数入力!Z$5</f>
        <v>48</v>
      </c>
      <c r="Y28" s="16">
        <f>台数入力!AA$5</f>
        <v>48</v>
      </c>
      <c r="Z28" s="16">
        <f>台数入力!AB$5</f>
        <v>12</v>
      </c>
      <c r="AA28" s="16">
        <f>台数入力!AC$5</f>
        <v>48</v>
      </c>
      <c r="AB28" s="16">
        <f>台数入力!AD$5</f>
        <v>48</v>
      </c>
      <c r="AC28" s="16">
        <f>台数入力!AE$5</f>
        <v>1</v>
      </c>
      <c r="AD28" s="16">
        <f>台数入力!AF$5</f>
        <v>1</v>
      </c>
      <c r="AE28" s="16">
        <f>台数入力!AG$5</f>
        <v>1</v>
      </c>
      <c r="AF28" s="16">
        <f>台数入力!AH$5</f>
        <v>1</v>
      </c>
      <c r="AG28" s="16">
        <f>台数入力!AI$5</f>
        <v>1</v>
      </c>
      <c r="AH28" s="16">
        <f>台数入力!AJ$5</f>
        <v>1</v>
      </c>
      <c r="AI28" s="16">
        <f>台数入力!AK$5</f>
        <v>1</v>
      </c>
      <c r="AJ28" s="16">
        <f>台数入力!AL$5</f>
        <v>1</v>
      </c>
      <c r="AK28" s="16">
        <f>台数入力!AM$5</f>
        <v>1</v>
      </c>
    </row>
    <row r="29" spans="1:37" s="5" customFormat="1" ht="56.25" customHeight="1" x14ac:dyDescent="0.55000000000000004">
      <c r="A29" s="15"/>
      <c r="B29" s="11" t="s">
        <v>5</v>
      </c>
      <c r="C29" s="14" t="s">
        <v>4</v>
      </c>
      <c r="D29" s="11" t="s">
        <v>3</v>
      </c>
      <c r="E29" s="13" t="s">
        <v>2</v>
      </c>
      <c r="F29" s="13" t="s">
        <v>1</v>
      </c>
      <c r="G29" s="13" t="str">
        <f>CSV!I$2</f>
        <v>000212220414_URS-43351-02_P6</v>
      </c>
      <c r="H29" s="13" t="str">
        <f>CSV!J$2</f>
        <v>部品説明</v>
      </c>
      <c r="I29" s="13" t="str">
        <f>CSV!K$2</f>
        <v>薄型シングル</v>
      </c>
      <c r="J29" s="13">
        <f>CSV!L$2</f>
        <v>0</v>
      </c>
      <c r="K29" s="13">
        <f>CSV!M$2</f>
        <v>0</v>
      </c>
      <c r="L29" s="13">
        <f>CSV!N$2</f>
        <v>0</v>
      </c>
      <c r="M29" s="13">
        <f>CSV!O$2</f>
        <v>0</v>
      </c>
      <c r="N29" s="13">
        <f>CSV!P$2</f>
        <v>0</v>
      </c>
      <c r="O29" s="13">
        <f>CSV!Q$2</f>
        <v>0</v>
      </c>
      <c r="P29" s="13">
        <f>CSV!R$2</f>
        <v>0</v>
      </c>
      <c r="Q29" s="13">
        <f>CSV!S$2</f>
        <v>0</v>
      </c>
      <c r="R29" s="13">
        <f>CSV!T$2</f>
        <v>0</v>
      </c>
      <c r="S29" s="13">
        <f>CSV!U$2</f>
        <v>0</v>
      </c>
      <c r="T29" s="13">
        <f>CSV!V$2</f>
        <v>0</v>
      </c>
      <c r="U29" s="13">
        <f>CSV!W$2</f>
        <v>0</v>
      </c>
      <c r="V29" s="13">
        <f>CSV!X$2</f>
        <v>0</v>
      </c>
      <c r="W29" s="13">
        <f>CSV!Y$2</f>
        <v>0</v>
      </c>
      <c r="X29" s="13">
        <f>CSV!Z$2</f>
        <v>0</v>
      </c>
      <c r="Y29" s="13">
        <f>CSV!AA$2</f>
        <v>0</v>
      </c>
      <c r="Z29" s="13">
        <f>CSV!AB$2</f>
        <v>0</v>
      </c>
      <c r="AA29" s="13">
        <f>CSV!AC$2</f>
        <v>0</v>
      </c>
      <c r="AB29" s="13">
        <f>CSV!AD$2</f>
        <v>0</v>
      </c>
      <c r="AC29" s="13">
        <f>CSV!AE$2</f>
        <v>0</v>
      </c>
      <c r="AD29" s="13">
        <f>CSV!AF$2</f>
        <v>0</v>
      </c>
      <c r="AE29" s="13">
        <f>CSV!AG$2</f>
        <v>0</v>
      </c>
      <c r="AF29" s="13">
        <f>CSV!AH$2</f>
        <v>0</v>
      </c>
      <c r="AG29" s="13">
        <f>CSV!AI$2</f>
        <v>0</v>
      </c>
      <c r="AH29" s="13">
        <f>CSV!AJ$2</f>
        <v>0</v>
      </c>
      <c r="AI29" s="13">
        <f>CSV!AK$2</f>
        <v>0</v>
      </c>
      <c r="AJ29" s="13">
        <f>CSV!AL$2</f>
        <v>0</v>
      </c>
      <c r="AK29" s="13">
        <f>CSV!AM$2</f>
        <v>0</v>
      </c>
    </row>
    <row r="30" spans="1:37" ht="27" customHeight="1" x14ac:dyDescent="0.55000000000000004">
      <c r="A30" s="12"/>
      <c r="B30" s="11">
        <v>142001</v>
      </c>
      <c r="C30" s="9" t="str">
        <f>IF(CSV!F23&lt;&gt;0,CSV!F23,"")</f>
        <v/>
      </c>
      <c r="D30" s="11">
        <f>HLOOKUP("部品説明",CSV!$B$2:$CC$42,B30-141979,FALSE)</f>
        <v>0</v>
      </c>
      <c r="E30" s="11" t="str">
        <f>IF(CSV!G23=0,"",CSV!G23)</f>
        <v/>
      </c>
      <c r="F30" s="11">
        <f>CSV!$H23</f>
        <v>0</v>
      </c>
      <c r="G30" s="11" t="str">
        <f>IF(CSV!I23=0,"",使用数!I23)&amp;IF(CSV!I23=0,"","("&amp;CSV!I23&amp;")")</f>
        <v/>
      </c>
      <c r="H30" s="11" t="str">
        <f>IF(CSV!J23=0,"",使用数!J23)&amp;IF(CSV!J23=0,"","("&amp;CSV!J23&amp;")")</f>
        <v/>
      </c>
      <c r="I30" s="11" t="str">
        <f>IF(CSV!K23=0,"",使用数!K23)&amp;IF(CSV!K23=0,"","("&amp;CSV!K23&amp;")")</f>
        <v/>
      </c>
      <c r="J30" s="11" t="str">
        <f>IF(CSV!L23=0,"",使用数!L23)&amp;IF(CSV!L23=0,"","("&amp;CSV!L23&amp;")")</f>
        <v/>
      </c>
      <c r="K30" s="11" t="str">
        <f>IF(CSV!M23=0,"",使用数!M23)&amp;IF(CSV!M23=0,"","("&amp;CSV!M23&amp;")")</f>
        <v/>
      </c>
      <c r="L30" s="11" t="str">
        <f>IF(CSV!N23=0,"",使用数!N23)&amp;IF(CSV!N23=0,"","("&amp;CSV!N23&amp;")")</f>
        <v/>
      </c>
      <c r="M30" s="11" t="str">
        <f>IF(CSV!O23=0,"",使用数!O23)&amp;IF(CSV!O23=0,"","("&amp;CSV!O23&amp;")")</f>
        <v/>
      </c>
      <c r="N30" s="11" t="str">
        <f>IF(CSV!P23=0,"",使用数!P23)&amp;IF(CSV!P23=0,"","("&amp;CSV!P23&amp;")")</f>
        <v/>
      </c>
      <c r="O30" s="11" t="str">
        <f>IF(CSV!Q23=0,"",使用数!Q23)&amp;IF(CSV!Q23=0,"","("&amp;CSV!Q23&amp;")")</f>
        <v/>
      </c>
      <c r="P30" s="11" t="str">
        <f>IF(CSV!R23=0,"",使用数!R23)&amp;IF(CSV!R23=0,"","("&amp;CSV!R23&amp;")")</f>
        <v/>
      </c>
      <c r="Q30" s="11" t="str">
        <f>IF(CSV!S23=0,"",使用数!S23)&amp;IF(CSV!S23=0,"","("&amp;CSV!S23&amp;")")</f>
        <v/>
      </c>
      <c r="R30" s="11" t="str">
        <f>IF(CSV!T23=0,"",使用数!T23)&amp;IF(CSV!T23=0,"","("&amp;CSV!T23&amp;")")</f>
        <v/>
      </c>
      <c r="S30" s="11" t="str">
        <f>IF(CSV!U23=0,"",使用数!U23)&amp;IF(CSV!U23=0,"","("&amp;CSV!U23&amp;")")</f>
        <v/>
      </c>
      <c r="T30" s="11" t="str">
        <f>IF(CSV!V23=0,"",使用数!V23)&amp;IF(CSV!V23=0,"","("&amp;CSV!V23&amp;")")</f>
        <v/>
      </c>
      <c r="U30" s="11" t="str">
        <f>IF(CSV!W23=0,"",使用数!W23)&amp;IF(CSV!W23=0,"","("&amp;CSV!W23&amp;")")</f>
        <v/>
      </c>
      <c r="V30" s="11" t="str">
        <f>IF(CSV!X23=0,"",使用数!X23)&amp;IF(CSV!X23=0,"","("&amp;CSV!X23&amp;")")</f>
        <v/>
      </c>
      <c r="W30" s="11" t="str">
        <f>IF(CSV!Y23=0,"",使用数!Y23)&amp;IF(CSV!Y23=0,"","("&amp;CSV!Y23&amp;")")</f>
        <v/>
      </c>
      <c r="X30" s="11" t="str">
        <f>IF(CSV!Z23=0,"",使用数!Z23)&amp;IF(CSV!Z23=0,"","("&amp;CSV!Z23&amp;")")</f>
        <v/>
      </c>
      <c r="Y30" s="11" t="str">
        <f>IF(CSV!AA23=0,"",使用数!AA23)&amp;IF(CSV!AA23=0,"","("&amp;CSV!AA23&amp;")")</f>
        <v/>
      </c>
      <c r="Z30" s="11" t="str">
        <f>IF(CSV!AB23=0,"",使用数!AB23)&amp;IF(CSV!AB23=0,"","("&amp;CSV!AB23&amp;")")</f>
        <v/>
      </c>
      <c r="AA30" s="11" t="str">
        <f>IF(CSV!AC23=0,"",使用数!AC23)&amp;IF(CSV!AC23=0,"","("&amp;CSV!AC23&amp;")")</f>
        <v/>
      </c>
      <c r="AB30" s="11" t="str">
        <f>IF(CSV!AD23=0,"",使用数!AD23)&amp;IF(CSV!AD23=0,"","("&amp;CSV!AD23&amp;")")</f>
        <v/>
      </c>
      <c r="AC30" s="11" t="str">
        <f>IF(CSV!AE23=0,"",使用数!AE23)&amp;IF(CSV!AE23=0,"","("&amp;CSV!AE23&amp;")")</f>
        <v/>
      </c>
      <c r="AD30" s="11" t="str">
        <f>IF(CSV!AF23=0,"",使用数!AF23)&amp;IF(CSV!AF23=0,"","("&amp;CSV!AF23&amp;")")</f>
        <v/>
      </c>
      <c r="AE30" s="11" t="str">
        <f>IF(CSV!AG23=0,"",使用数!AG23)&amp;IF(CSV!AG23=0,"","("&amp;CSV!AG23&amp;")")</f>
        <v/>
      </c>
      <c r="AF30" s="11" t="str">
        <f>IF(CSV!AH23=0,"",使用数!AH23)&amp;IF(CSV!AH23=0,"","("&amp;CSV!AH23&amp;")")</f>
        <v/>
      </c>
      <c r="AG30" s="11" t="str">
        <f>IF(CSV!AI23=0,"",使用数!AI23)&amp;IF(CSV!AI23=0,"","("&amp;CSV!AI23&amp;")")</f>
        <v/>
      </c>
      <c r="AH30" s="11" t="str">
        <f>IF(CSV!AJ23=0,"",使用数!AJ23)&amp;IF(CSV!AJ23=0,"","("&amp;CSV!AJ23&amp;")")</f>
        <v/>
      </c>
      <c r="AI30" s="11" t="str">
        <f>IF(CSV!AK23=0,"",使用数!AK23)&amp;IF(CSV!AK23=0,"","("&amp;CSV!AK23&amp;")")</f>
        <v/>
      </c>
      <c r="AJ30" s="11" t="str">
        <f>IF(CSV!AL23=0,"",使用数!AL23)&amp;IF(CSV!AL23=0,"","("&amp;CSV!AL23&amp;")")</f>
        <v/>
      </c>
      <c r="AK30" s="11" t="str">
        <f>IF(CSV!AM23=0,"",使用数!AM23)&amp;IF(CSV!AM23=0,"","("&amp;CSV!AM23&amp;")")</f>
        <v/>
      </c>
    </row>
    <row r="31" spans="1:37" s="7" customFormat="1" ht="27" customHeight="1" x14ac:dyDescent="0.55000000000000004">
      <c r="A31" s="10"/>
      <c r="B31" s="8">
        <v>142002</v>
      </c>
      <c r="C31" s="9" t="str">
        <f>IF(CSV!F24&lt;&gt;0,CSV!F24,"")</f>
        <v/>
      </c>
      <c r="D31" s="8">
        <f>HLOOKUP("部品説明",CSV!$B$2:$CC$42,B31-141979,FALSE)</f>
        <v>0</v>
      </c>
      <c r="E31" s="8" t="str">
        <f>IF(CSV!G24=0,"",CSV!G24)</f>
        <v/>
      </c>
      <c r="F31" s="8">
        <f>CSV!$H24</f>
        <v>0</v>
      </c>
      <c r="G31" s="8" t="str">
        <f>IF(CSV!I24=0,"",使用数!I24)&amp;IF(CSV!I24=0,"","("&amp;CSV!I24&amp;")")</f>
        <v/>
      </c>
      <c r="H31" s="8" t="str">
        <f>IF(CSV!J24=0,"",使用数!J24)&amp;IF(CSV!J24=0,"","("&amp;CSV!J24&amp;")")</f>
        <v/>
      </c>
      <c r="I31" s="8" t="str">
        <f>IF(CSV!K24=0,"",使用数!K24)&amp;IF(CSV!K24=0,"","("&amp;CSV!K24&amp;")")</f>
        <v/>
      </c>
      <c r="J31" s="8" t="str">
        <f>IF(CSV!L24=0,"",使用数!L24)&amp;IF(CSV!L24=0,"","("&amp;CSV!L24&amp;")")</f>
        <v/>
      </c>
      <c r="K31" s="8" t="str">
        <f>IF(CSV!M24=0,"",使用数!M24)&amp;IF(CSV!M24=0,"","("&amp;CSV!M24&amp;")")</f>
        <v/>
      </c>
      <c r="L31" s="8" t="str">
        <f>IF(CSV!N24=0,"",使用数!N24)&amp;IF(CSV!N24=0,"","("&amp;CSV!N24&amp;")")</f>
        <v/>
      </c>
      <c r="M31" s="8" t="str">
        <f>IF(CSV!O24=0,"",使用数!O24)&amp;IF(CSV!O24=0,"","("&amp;CSV!O24&amp;")")</f>
        <v/>
      </c>
      <c r="N31" s="8" t="str">
        <f>IF(CSV!P24=0,"",使用数!P24)&amp;IF(CSV!P24=0,"","("&amp;CSV!P24&amp;")")</f>
        <v/>
      </c>
      <c r="O31" s="8" t="str">
        <f>IF(CSV!Q24=0,"",使用数!Q24)&amp;IF(CSV!Q24=0,"","("&amp;CSV!Q24&amp;")")</f>
        <v/>
      </c>
      <c r="P31" s="8" t="str">
        <f>IF(CSV!R24=0,"",使用数!R24)&amp;IF(CSV!R24=0,"","("&amp;CSV!R24&amp;")")</f>
        <v/>
      </c>
      <c r="Q31" s="8" t="str">
        <f>IF(CSV!S24=0,"",使用数!S24)&amp;IF(CSV!S24=0,"","("&amp;CSV!S24&amp;")")</f>
        <v/>
      </c>
      <c r="R31" s="8" t="str">
        <f>IF(CSV!T24=0,"",使用数!T24)&amp;IF(CSV!T24=0,"","("&amp;CSV!T24&amp;")")</f>
        <v/>
      </c>
      <c r="S31" s="8" t="str">
        <f>IF(CSV!U24=0,"",使用数!U24)&amp;IF(CSV!U24=0,"","("&amp;CSV!U24&amp;")")</f>
        <v/>
      </c>
      <c r="T31" s="8" t="str">
        <f>IF(CSV!V24=0,"",使用数!V24)&amp;IF(CSV!V24=0,"","("&amp;CSV!V24&amp;")")</f>
        <v/>
      </c>
      <c r="U31" s="8" t="str">
        <f>IF(CSV!W24=0,"",使用数!W24)&amp;IF(CSV!W24=0,"","("&amp;CSV!W24&amp;")")</f>
        <v/>
      </c>
      <c r="V31" s="8" t="str">
        <f>IF(CSV!X24=0,"",使用数!X24)&amp;IF(CSV!X24=0,"","("&amp;CSV!X24&amp;")")</f>
        <v/>
      </c>
      <c r="W31" s="8" t="str">
        <f>IF(CSV!Y24=0,"",使用数!Y24)&amp;IF(CSV!Y24=0,"","("&amp;CSV!Y24&amp;")")</f>
        <v/>
      </c>
      <c r="X31" s="8" t="str">
        <f>IF(CSV!Z24=0,"",使用数!Z24)&amp;IF(CSV!Z24=0,"","("&amp;CSV!Z24&amp;")")</f>
        <v/>
      </c>
      <c r="Y31" s="8" t="str">
        <f>IF(CSV!AA24=0,"",使用数!AA24)&amp;IF(CSV!AA24=0,"","("&amp;CSV!AA24&amp;")")</f>
        <v/>
      </c>
      <c r="Z31" s="8" t="str">
        <f>IF(CSV!AB24=0,"",使用数!AB24)&amp;IF(CSV!AB24=0,"","("&amp;CSV!AB24&amp;")")</f>
        <v/>
      </c>
      <c r="AA31" s="8" t="str">
        <f>IF(CSV!AC24=0,"",使用数!AC24)&amp;IF(CSV!AC24=0,"","("&amp;CSV!AC24&amp;")")</f>
        <v/>
      </c>
      <c r="AB31" s="8" t="str">
        <f>IF(CSV!AD24=0,"",使用数!AD24)&amp;IF(CSV!AD24=0,"","("&amp;CSV!AD24&amp;")")</f>
        <v/>
      </c>
      <c r="AC31" s="8" t="str">
        <f>IF(CSV!AE24=0,"",使用数!AE24)&amp;IF(CSV!AE24=0,"","("&amp;CSV!AE24&amp;")")</f>
        <v/>
      </c>
      <c r="AD31" s="8" t="str">
        <f>IF(CSV!AF24=0,"",使用数!AF24)&amp;IF(CSV!AF24=0,"","("&amp;CSV!AF24&amp;")")</f>
        <v/>
      </c>
      <c r="AE31" s="8" t="str">
        <f>IF(CSV!AG24=0,"",使用数!AG24)&amp;IF(CSV!AG24=0,"","("&amp;CSV!AG24&amp;")")</f>
        <v/>
      </c>
      <c r="AF31" s="8" t="str">
        <f>IF(CSV!AH24=0,"",使用数!AH24)&amp;IF(CSV!AH24=0,"","("&amp;CSV!AH24&amp;")")</f>
        <v/>
      </c>
      <c r="AG31" s="8" t="str">
        <f>IF(CSV!AI24=0,"",使用数!AI24)&amp;IF(CSV!AI24=0,"","("&amp;CSV!AI24&amp;")")</f>
        <v/>
      </c>
      <c r="AH31" s="8" t="str">
        <f>IF(CSV!AJ24=0,"",使用数!AJ24)&amp;IF(CSV!AJ24=0,"","("&amp;CSV!AJ24&amp;")")</f>
        <v/>
      </c>
      <c r="AI31" s="8" t="str">
        <f>IF(CSV!AK24=0,"",使用数!AK24)&amp;IF(CSV!AK24=0,"","("&amp;CSV!AK24&amp;")")</f>
        <v/>
      </c>
      <c r="AJ31" s="8" t="str">
        <f>IF(CSV!AL24=0,"",使用数!AL24)&amp;IF(CSV!AL24=0,"","("&amp;CSV!AL24&amp;")")</f>
        <v/>
      </c>
      <c r="AK31" s="8" t="str">
        <f>IF(CSV!AM24=0,"",使用数!AM24)&amp;IF(CSV!AM24=0,"","("&amp;CSV!AM24&amp;")")</f>
        <v/>
      </c>
    </row>
    <row r="32" spans="1:37" ht="27" customHeight="1" x14ac:dyDescent="0.55000000000000004">
      <c r="A32" s="12"/>
      <c r="B32" s="11">
        <v>142003</v>
      </c>
      <c r="C32" s="9" t="str">
        <f>IF(CSV!F25&lt;&gt;0,CSV!F25,"")</f>
        <v/>
      </c>
      <c r="D32" s="11">
        <f>HLOOKUP("部品説明",CSV!$B$2:$CC$42,B32-141979,FALSE)</f>
        <v>0</v>
      </c>
      <c r="E32" s="11" t="str">
        <f>IF(CSV!G25=0,"",CSV!G25)</f>
        <v/>
      </c>
      <c r="F32" s="11">
        <f>CSV!$H25</f>
        <v>0</v>
      </c>
      <c r="G32" s="11" t="str">
        <f>IF(CSV!I25=0,"",使用数!I25)&amp;IF(CSV!I25=0,"","("&amp;CSV!I25&amp;")")</f>
        <v/>
      </c>
      <c r="H32" s="11" t="str">
        <f>IF(CSV!J25=0,"",使用数!J25)&amp;IF(CSV!J25=0,"","("&amp;CSV!J25&amp;")")</f>
        <v/>
      </c>
      <c r="I32" s="11" t="str">
        <f>IF(CSV!K25=0,"",使用数!K25)&amp;IF(CSV!K25=0,"","("&amp;CSV!K25&amp;")")</f>
        <v/>
      </c>
      <c r="J32" s="11" t="str">
        <f>IF(CSV!L25=0,"",使用数!L25)&amp;IF(CSV!L25=0,"","("&amp;CSV!L25&amp;")")</f>
        <v/>
      </c>
      <c r="K32" s="11" t="str">
        <f>IF(CSV!M25=0,"",使用数!M25)&amp;IF(CSV!M25=0,"","("&amp;CSV!M25&amp;")")</f>
        <v/>
      </c>
      <c r="L32" s="11" t="str">
        <f>IF(CSV!N25=0,"",使用数!N25)&amp;IF(CSV!N25=0,"","("&amp;CSV!N25&amp;")")</f>
        <v/>
      </c>
      <c r="M32" s="11" t="str">
        <f>IF(CSV!O25=0,"",使用数!O25)&amp;IF(CSV!O25=0,"","("&amp;CSV!O25&amp;")")</f>
        <v/>
      </c>
      <c r="N32" s="11" t="str">
        <f>IF(CSV!P25=0,"",使用数!P25)&amp;IF(CSV!P25=0,"","("&amp;CSV!P25&amp;")")</f>
        <v/>
      </c>
      <c r="O32" s="11" t="str">
        <f>IF(CSV!Q25=0,"",使用数!Q25)&amp;IF(CSV!Q25=0,"","("&amp;CSV!Q25&amp;")")</f>
        <v/>
      </c>
      <c r="P32" s="11" t="str">
        <f>IF(CSV!R25=0,"",使用数!R25)&amp;IF(CSV!R25=0,"","("&amp;CSV!R25&amp;")")</f>
        <v/>
      </c>
      <c r="Q32" s="11" t="str">
        <f>IF(CSV!S25=0,"",使用数!S25)&amp;IF(CSV!S25=0,"","("&amp;CSV!S25&amp;")")</f>
        <v/>
      </c>
      <c r="R32" s="11" t="str">
        <f>IF(CSV!T25=0,"",使用数!T25)&amp;IF(CSV!T25=0,"","("&amp;CSV!T25&amp;")")</f>
        <v/>
      </c>
      <c r="S32" s="11" t="str">
        <f>IF(CSV!U25=0,"",使用数!U25)&amp;IF(CSV!U25=0,"","("&amp;CSV!U25&amp;")")</f>
        <v/>
      </c>
      <c r="T32" s="11" t="str">
        <f>IF(CSV!V25=0,"",使用数!V25)&amp;IF(CSV!V25=0,"","("&amp;CSV!V25&amp;")")</f>
        <v/>
      </c>
      <c r="U32" s="11" t="str">
        <f>IF(CSV!W25=0,"",使用数!W25)&amp;IF(CSV!W25=0,"","("&amp;CSV!W25&amp;")")</f>
        <v/>
      </c>
      <c r="V32" s="11" t="str">
        <f>IF(CSV!X25=0,"",使用数!X25)&amp;IF(CSV!X25=0,"","("&amp;CSV!X25&amp;")")</f>
        <v/>
      </c>
      <c r="W32" s="11" t="str">
        <f>IF(CSV!Y25=0,"",使用数!Y25)&amp;IF(CSV!Y25=0,"","("&amp;CSV!Y25&amp;")")</f>
        <v/>
      </c>
      <c r="X32" s="11" t="str">
        <f>IF(CSV!Z25=0,"",使用数!Z25)&amp;IF(CSV!Z25=0,"","("&amp;CSV!Z25&amp;")")</f>
        <v/>
      </c>
      <c r="Y32" s="11" t="str">
        <f>IF(CSV!AA25=0,"",使用数!AA25)&amp;IF(CSV!AA25=0,"","("&amp;CSV!AA25&amp;")")</f>
        <v/>
      </c>
      <c r="Z32" s="11" t="str">
        <f>IF(CSV!AB25=0,"",使用数!AB25)&amp;IF(CSV!AB25=0,"","("&amp;CSV!AB25&amp;")")</f>
        <v/>
      </c>
      <c r="AA32" s="11" t="str">
        <f>IF(CSV!AC25=0,"",使用数!AC25)&amp;IF(CSV!AC25=0,"","("&amp;CSV!AC25&amp;")")</f>
        <v/>
      </c>
      <c r="AB32" s="11" t="str">
        <f>IF(CSV!AD25=0,"",使用数!AD25)&amp;IF(CSV!AD25=0,"","("&amp;CSV!AD25&amp;")")</f>
        <v/>
      </c>
      <c r="AC32" s="11" t="str">
        <f>IF(CSV!AE25=0,"",使用数!AE25)&amp;IF(CSV!AE25=0,"","("&amp;CSV!AE25&amp;")")</f>
        <v/>
      </c>
      <c r="AD32" s="11" t="str">
        <f>IF(CSV!AF25=0,"",使用数!AF25)&amp;IF(CSV!AF25=0,"","("&amp;CSV!AF25&amp;")")</f>
        <v/>
      </c>
      <c r="AE32" s="11" t="str">
        <f>IF(CSV!AG25=0,"",使用数!AG25)&amp;IF(CSV!AG25=0,"","("&amp;CSV!AG25&amp;")")</f>
        <v/>
      </c>
      <c r="AF32" s="11" t="str">
        <f>IF(CSV!AH25=0,"",使用数!AH25)&amp;IF(CSV!AH25=0,"","("&amp;CSV!AH25&amp;")")</f>
        <v/>
      </c>
      <c r="AG32" s="11" t="str">
        <f>IF(CSV!AI25=0,"",使用数!AI25)&amp;IF(CSV!AI25=0,"","("&amp;CSV!AI25&amp;")")</f>
        <v/>
      </c>
      <c r="AH32" s="11" t="str">
        <f>IF(CSV!AJ25=0,"",使用数!AJ25)&amp;IF(CSV!AJ25=0,"","("&amp;CSV!AJ25&amp;")")</f>
        <v/>
      </c>
      <c r="AI32" s="11" t="str">
        <f>IF(CSV!AK25=0,"",使用数!AK25)&amp;IF(CSV!AK25=0,"","("&amp;CSV!AK25&amp;")")</f>
        <v/>
      </c>
      <c r="AJ32" s="11" t="str">
        <f>IF(CSV!AL25=0,"",使用数!AL25)&amp;IF(CSV!AL25=0,"","("&amp;CSV!AL25&amp;")")</f>
        <v/>
      </c>
      <c r="AK32" s="11" t="str">
        <f>IF(CSV!AM25=0,"",使用数!AM25)&amp;IF(CSV!AM25=0,"","("&amp;CSV!AM25&amp;")")</f>
        <v/>
      </c>
    </row>
    <row r="33" spans="1:37" s="7" customFormat="1" ht="27" customHeight="1" x14ac:dyDescent="0.55000000000000004">
      <c r="A33" s="10"/>
      <c r="B33" s="8">
        <v>142004</v>
      </c>
      <c r="C33" s="9" t="str">
        <f>IF(CSV!F26&lt;&gt;0,CSV!F26,"")</f>
        <v/>
      </c>
      <c r="D33" s="8">
        <f>HLOOKUP("部品説明",CSV!$B$2:$CC$42,B33-141979,FALSE)</f>
        <v>0</v>
      </c>
      <c r="E33" s="8" t="str">
        <f>IF(CSV!G26=0,"",CSV!G26)</f>
        <v/>
      </c>
      <c r="F33" s="8">
        <f>CSV!$H26</f>
        <v>0</v>
      </c>
      <c r="G33" s="8" t="str">
        <f>IF(CSV!I26=0,"",使用数!I26)&amp;IF(CSV!I26=0,"","("&amp;CSV!I26&amp;")")</f>
        <v/>
      </c>
      <c r="H33" s="8" t="str">
        <f>IF(CSV!J26=0,"",使用数!J26)&amp;IF(CSV!J26=0,"","("&amp;CSV!J26&amp;")")</f>
        <v/>
      </c>
      <c r="I33" s="8" t="str">
        <f>IF(CSV!K26=0,"",使用数!K26)&amp;IF(CSV!K26=0,"","("&amp;CSV!K26&amp;")")</f>
        <v/>
      </c>
      <c r="J33" s="8" t="str">
        <f>IF(CSV!L26=0,"",使用数!L26)&amp;IF(CSV!L26=0,"","("&amp;CSV!L26&amp;")")</f>
        <v/>
      </c>
      <c r="K33" s="8" t="str">
        <f>IF(CSV!M26=0,"",使用数!M26)&amp;IF(CSV!M26=0,"","("&amp;CSV!M26&amp;")")</f>
        <v/>
      </c>
      <c r="L33" s="8" t="str">
        <f>IF(CSV!N26=0,"",使用数!N26)&amp;IF(CSV!N26=0,"","("&amp;CSV!N26&amp;")")</f>
        <v/>
      </c>
      <c r="M33" s="8" t="str">
        <f>IF(CSV!O26=0,"",使用数!O26)&amp;IF(CSV!O26=0,"","("&amp;CSV!O26&amp;")")</f>
        <v/>
      </c>
      <c r="N33" s="8" t="str">
        <f>IF(CSV!P26=0,"",使用数!P26)&amp;IF(CSV!P26=0,"","("&amp;CSV!P26&amp;")")</f>
        <v/>
      </c>
      <c r="O33" s="8" t="str">
        <f>IF(CSV!Q26=0,"",使用数!Q26)&amp;IF(CSV!Q26=0,"","("&amp;CSV!Q26&amp;")")</f>
        <v/>
      </c>
      <c r="P33" s="8" t="str">
        <f>IF(CSV!R26=0,"",使用数!R26)&amp;IF(CSV!R26=0,"","("&amp;CSV!R26&amp;")")</f>
        <v/>
      </c>
      <c r="Q33" s="8" t="str">
        <f>IF(CSV!S26=0,"",使用数!S26)&amp;IF(CSV!S26=0,"","("&amp;CSV!S26&amp;")")</f>
        <v/>
      </c>
      <c r="R33" s="8" t="str">
        <f>IF(CSV!T26=0,"",使用数!T26)&amp;IF(CSV!T26=0,"","("&amp;CSV!T26&amp;")")</f>
        <v/>
      </c>
      <c r="S33" s="8" t="str">
        <f>IF(CSV!U26=0,"",使用数!U26)&amp;IF(CSV!U26=0,"","("&amp;CSV!U26&amp;")")</f>
        <v/>
      </c>
      <c r="T33" s="8" t="str">
        <f>IF(CSV!V26=0,"",使用数!V26)&amp;IF(CSV!V26=0,"","("&amp;CSV!V26&amp;")")</f>
        <v/>
      </c>
      <c r="U33" s="8" t="str">
        <f>IF(CSV!W26=0,"",使用数!W26)&amp;IF(CSV!W26=0,"","("&amp;CSV!W26&amp;")")</f>
        <v/>
      </c>
      <c r="V33" s="8" t="str">
        <f>IF(CSV!X26=0,"",使用数!X26)&amp;IF(CSV!X26=0,"","("&amp;CSV!X26&amp;")")</f>
        <v/>
      </c>
      <c r="W33" s="8" t="str">
        <f>IF(CSV!Y26=0,"",使用数!Y26)&amp;IF(CSV!Y26=0,"","("&amp;CSV!Y26&amp;")")</f>
        <v/>
      </c>
      <c r="X33" s="8" t="str">
        <f>IF(CSV!Z26=0,"",使用数!Z26)&amp;IF(CSV!Z26=0,"","("&amp;CSV!Z26&amp;")")</f>
        <v/>
      </c>
      <c r="Y33" s="8" t="str">
        <f>IF(CSV!AA26=0,"",使用数!AA26)&amp;IF(CSV!AA26=0,"","("&amp;CSV!AA26&amp;")")</f>
        <v/>
      </c>
      <c r="Z33" s="8" t="str">
        <f>IF(CSV!AB26=0,"",使用数!AB26)&amp;IF(CSV!AB26=0,"","("&amp;CSV!AB26&amp;")")</f>
        <v/>
      </c>
      <c r="AA33" s="8" t="str">
        <f>IF(CSV!AC26=0,"",使用数!AC26)&amp;IF(CSV!AC26=0,"","("&amp;CSV!AC26&amp;")")</f>
        <v/>
      </c>
      <c r="AB33" s="8" t="str">
        <f>IF(CSV!AD26=0,"",使用数!AD26)&amp;IF(CSV!AD26=0,"","("&amp;CSV!AD26&amp;")")</f>
        <v/>
      </c>
      <c r="AC33" s="8" t="str">
        <f>IF(CSV!AE26=0,"",使用数!AE26)&amp;IF(CSV!AE26=0,"","("&amp;CSV!AE26&amp;")")</f>
        <v/>
      </c>
      <c r="AD33" s="8" t="str">
        <f>IF(CSV!AF26=0,"",使用数!AF26)&amp;IF(CSV!AF26=0,"","("&amp;CSV!AF26&amp;")")</f>
        <v/>
      </c>
      <c r="AE33" s="8" t="str">
        <f>IF(CSV!AG26=0,"",使用数!AG26)&amp;IF(CSV!AG26=0,"","("&amp;CSV!AG26&amp;")")</f>
        <v/>
      </c>
      <c r="AF33" s="8" t="str">
        <f>IF(CSV!AH26=0,"",使用数!AH26)&amp;IF(CSV!AH26=0,"","("&amp;CSV!AH26&amp;")")</f>
        <v/>
      </c>
      <c r="AG33" s="8" t="str">
        <f>IF(CSV!AI26=0,"",使用数!AI26)&amp;IF(CSV!AI26=0,"","("&amp;CSV!AI26&amp;")")</f>
        <v/>
      </c>
      <c r="AH33" s="8" t="str">
        <f>IF(CSV!AJ26=0,"",使用数!AJ26)&amp;IF(CSV!AJ26=0,"","("&amp;CSV!AJ26&amp;")")</f>
        <v/>
      </c>
      <c r="AI33" s="8" t="str">
        <f>IF(CSV!AK26=0,"",使用数!AK26)&amp;IF(CSV!AK26=0,"","("&amp;CSV!AK26&amp;")")</f>
        <v/>
      </c>
      <c r="AJ33" s="8" t="str">
        <f>IF(CSV!AL26=0,"",使用数!AL26)&amp;IF(CSV!AL26=0,"","("&amp;CSV!AL26&amp;")")</f>
        <v/>
      </c>
      <c r="AK33" s="8" t="str">
        <f>IF(CSV!AM26=0,"",使用数!AM26)&amp;IF(CSV!AM26=0,"","("&amp;CSV!AM26&amp;")")</f>
        <v/>
      </c>
    </row>
    <row r="34" spans="1:37" ht="27" customHeight="1" x14ac:dyDescent="0.55000000000000004">
      <c r="A34" s="12"/>
      <c r="B34" s="11">
        <v>142005</v>
      </c>
      <c r="C34" s="9" t="str">
        <f>IF(CSV!F27&lt;&gt;0,CSV!F27,"")</f>
        <v/>
      </c>
      <c r="D34" s="11">
        <f>HLOOKUP("部品説明",CSV!$B$2:$CC$42,B34-141979,FALSE)</f>
        <v>0</v>
      </c>
      <c r="E34" s="11" t="str">
        <f>IF(CSV!G27=0,"",CSV!G27)</f>
        <v/>
      </c>
      <c r="F34" s="11">
        <f>CSV!$H27</f>
        <v>0</v>
      </c>
      <c r="G34" s="11" t="str">
        <f>IF(CSV!I27=0,"",使用数!I27)&amp;IF(CSV!I27=0,"","("&amp;CSV!I27&amp;")")</f>
        <v/>
      </c>
      <c r="H34" s="11" t="str">
        <f>IF(CSV!J27=0,"",使用数!J27)&amp;IF(CSV!J27=0,"","("&amp;CSV!J27&amp;")")</f>
        <v/>
      </c>
      <c r="I34" s="11" t="str">
        <f>IF(CSV!K27=0,"",使用数!K27)&amp;IF(CSV!K27=0,"","("&amp;CSV!K27&amp;")")</f>
        <v/>
      </c>
      <c r="J34" s="11" t="str">
        <f>IF(CSV!L27=0,"",使用数!L27)&amp;IF(CSV!L27=0,"","("&amp;CSV!L27&amp;")")</f>
        <v/>
      </c>
      <c r="K34" s="11" t="str">
        <f>IF(CSV!M27=0,"",使用数!M27)&amp;IF(CSV!M27=0,"","("&amp;CSV!M27&amp;")")</f>
        <v/>
      </c>
      <c r="L34" s="11" t="str">
        <f>IF(CSV!N27=0,"",使用数!N27)&amp;IF(CSV!N27=0,"","("&amp;CSV!N27&amp;")")</f>
        <v/>
      </c>
      <c r="M34" s="11" t="str">
        <f>IF(CSV!O27=0,"",使用数!O27)&amp;IF(CSV!O27=0,"","("&amp;CSV!O27&amp;")")</f>
        <v/>
      </c>
      <c r="N34" s="11" t="str">
        <f>IF(CSV!P27=0,"",使用数!P27)&amp;IF(CSV!P27=0,"","("&amp;CSV!P27&amp;")")</f>
        <v/>
      </c>
      <c r="O34" s="11" t="str">
        <f>IF(CSV!Q27=0,"",使用数!Q27)&amp;IF(CSV!Q27=0,"","("&amp;CSV!Q27&amp;")")</f>
        <v/>
      </c>
      <c r="P34" s="11" t="str">
        <f>IF(CSV!R27=0,"",使用数!R27)&amp;IF(CSV!R27=0,"","("&amp;CSV!R27&amp;")")</f>
        <v/>
      </c>
      <c r="Q34" s="11" t="str">
        <f>IF(CSV!S27=0,"",使用数!S27)&amp;IF(CSV!S27=0,"","("&amp;CSV!S27&amp;")")</f>
        <v/>
      </c>
      <c r="R34" s="11" t="str">
        <f>IF(CSV!T27=0,"",使用数!T27)&amp;IF(CSV!T27=0,"","("&amp;CSV!T27&amp;")")</f>
        <v/>
      </c>
      <c r="S34" s="11" t="str">
        <f>IF(CSV!U27=0,"",使用数!U27)&amp;IF(CSV!U27=0,"","("&amp;CSV!U27&amp;")")</f>
        <v/>
      </c>
      <c r="T34" s="11" t="str">
        <f>IF(CSV!V27=0,"",使用数!V27)&amp;IF(CSV!V27=0,"","("&amp;CSV!V27&amp;")")</f>
        <v/>
      </c>
      <c r="U34" s="11" t="str">
        <f>IF(CSV!W27=0,"",使用数!W27)&amp;IF(CSV!W27=0,"","("&amp;CSV!W27&amp;")")</f>
        <v/>
      </c>
      <c r="V34" s="11" t="str">
        <f>IF(CSV!X27=0,"",使用数!X27)&amp;IF(CSV!X27=0,"","("&amp;CSV!X27&amp;")")</f>
        <v/>
      </c>
      <c r="W34" s="11" t="str">
        <f>IF(CSV!Y27=0,"",使用数!Y27)&amp;IF(CSV!Y27=0,"","("&amp;CSV!Y27&amp;")")</f>
        <v/>
      </c>
      <c r="X34" s="11" t="str">
        <f>IF(CSV!Z27=0,"",使用数!Z27)&amp;IF(CSV!Z27=0,"","("&amp;CSV!Z27&amp;")")</f>
        <v/>
      </c>
      <c r="Y34" s="11" t="str">
        <f>IF(CSV!AA27=0,"",使用数!AA27)&amp;IF(CSV!AA27=0,"","("&amp;CSV!AA27&amp;")")</f>
        <v/>
      </c>
      <c r="Z34" s="11" t="str">
        <f>IF(CSV!AB27=0,"",使用数!AB27)&amp;IF(CSV!AB27=0,"","("&amp;CSV!AB27&amp;")")</f>
        <v/>
      </c>
      <c r="AA34" s="11" t="str">
        <f>IF(CSV!AC27=0,"",使用数!AC27)&amp;IF(CSV!AC27=0,"","("&amp;CSV!AC27&amp;")")</f>
        <v/>
      </c>
      <c r="AB34" s="11" t="str">
        <f>IF(CSV!AD27=0,"",使用数!AD27)&amp;IF(CSV!AD27=0,"","("&amp;CSV!AD27&amp;")")</f>
        <v/>
      </c>
      <c r="AC34" s="11" t="str">
        <f>IF(CSV!AE27=0,"",使用数!AE27)&amp;IF(CSV!AE27=0,"","("&amp;CSV!AE27&amp;")")</f>
        <v/>
      </c>
      <c r="AD34" s="11" t="str">
        <f>IF(CSV!AF27=0,"",使用数!AF27)&amp;IF(CSV!AF27=0,"","("&amp;CSV!AF27&amp;")")</f>
        <v/>
      </c>
      <c r="AE34" s="11" t="str">
        <f>IF(CSV!AG27=0,"",使用数!AG27)&amp;IF(CSV!AG27=0,"","("&amp;CSV!AG27&amp;")")</f>
        <v/>
      </c>
      <c r="AF34" s="11" t="str">
        <f>IF(CSV!AH27=0,"",使用数!AH27)&amp;IF(CSV!AH27=0,"","("&amp;CSV!AH27&amp;")")</f>
        <v/>
      </c>
      <c r="AG34" s="11" t="str">
        <f>IF(CSV!AI27=0,"",使用数!AI27)&amp;IF(CSV!AI27=0,"","("&amp;CSV!AI27&amp;")")</f>
        <v/>
      </c>
      <c r="AH34" s="11" t="str">
        <f>IF(CSV!AJ27=0,"",使用数!AJ27)&amp;IF(CSV!AJ27=0,"","("&amp;CSV!AJ27&amp;")")</f>
        <v/>
      </c>
      <c r="AI34" s="11" t="str">
        <f>IF(CSV!AK27=0,"",使用数!AK27)&amp;IF(CSV!AK27=0,"","("&amp;CSV!AK27&amp;")")</f>
        <v/>
      </c>
      <c r="AJ34" s="11" t="str">
        <f>IF(CSV!AL27=0,"",使用数!AL27)&amp;IF(CSV!AL27=0,"","("&amp;CSV!AL27&amp;")")</f>
        <v/>
      </c>
      <c r="AK34" s="11" t="str">
        <f>IF(CSV!AM27=0,"",使用数!AM27)&amp;IF(CSV!AM27=0,"","("&amp;CSV!AM27&amp;")")</f>
        <v/>
      </c>
    </row>
    <row r="35" spans="1:37" s="7" customFormat="1" ht="27" customHeight="1" x14ac:dyDescent="0.55000000000000004">
      <c r="A35" s="10"/>
      <c r="B35" s="8">
        <v>142006</v>
      </c>
      <c r="C35" s="9" t="str">
        <f>IF(CSV!F28&lt;&gt;0,CSV!F28,"")</f>
        <v/>
      </c>
      <c r="D35" s="8">
        <f>HLOOKUP("部品説明",CSV!$B$2:$CC$42,B35-141979,FALSE)</f>
        <v>0</v>
      </c>
      <c r="E35" s="8" t="str">
        <f>IF(CSV!G28=0,"",CSV!G28)</f>
        <v/>
      </c>
      <c r="F35" s="8">
        <f>CSV!$H28</f>
        <v>0</v>
      </c>
      <c r="G35" s="8" t="str">
        <f>IF(CSV!I28=0,"",使用数!I28)&amp;IF(CSV!I28=0,"","("&amp;CSV!I28&amp;")")</f>
        <v/>
      </c>
      <c r="H35" s="8" t="str">
        <f>IF(CSV!J28=0,"",使用数!J28)&amp;IF(CSV!J28=0,"","("&amp;CSV!J28&amp;")")</f>
        <v/>
      </c>
      <c r="I35" s="8" t="str">
        <f>IF(CSV!K28=0,"",使用数!K28)&amp;IF(CSV!K28=0,"","("&amp;CSV!K28&amp;")")</f>
        <v/>
      </c>
      <c r="J35" s="8" t="str">
        <f>IF(CSV!L28=0,"",使用数!L28)&amp;IF(CSV!L28=0,"","("&amp;CSV!L28&amp;")")</f>
        <v/>
      </c>
      <c r="K35" s="8" t="str">
        <f>IF(CSV!M28=0,"",使用数!M28)&amp;IF(CSV!M28=0,"","("&amp;CSV!M28&amp;")")</f>
        <v/>
      </c>
      <c r="L35" s="8" t="str">
        <f>IF(CSV!N28=0,"",使用数!N28)&amp;IF(CSV!N28=0,"","("&amp;CSV!N28&amp;")")</f>
        <v/>
      </c>
      <c r="M35" s="8" t="str">
        <f>IF(CSV!O28=0,"",使用数!O28)&amp;IF(CSV!O28=0,"","("&amp;CSV!O28&amp;")")</f>
        <v/>
      </c>
      <c r="N35" s="8" t="str">
        <f>IF(CSV!P28=0,"",使用数!P28)&amp;IF(CSV!P28=0,"","("&amp;CSV!P28&amp;")")</f>
        <v/>
      </c>
      <c r="O35" s="8" t="str">
        <f>IF(CSV!Q28=0,"",使用数!Q28)&amp;IF(CSV!Q28=0,"","("&amp;CSV!Q28&amp;")")</f>
        <v/>
      </c>
      <c r="P35" s="8" t="str">
        <f>IF(CSV!R28=0,"",使用数!R28)&amp;IF(CSV!R28=0,"","("&amp;CSV!R28&amp;")")</f>
        <v/>
      </c>
      <c r="Q35" s="8" t="str">
        <f>IF(CSV!S28=0,"",使用数!S28)&amp;IF(CSV!S28=0,"","("&amp;CSV!S28&amp;")")</f>
        <v/>
      </c>
      <c r="R35" s="8" t="str">
        <f>IF(CSV!T28=0,"",使用数!T28)&amp;IF(CSV!T28=0,"","("&amp;CSV!T28&amp;")")</f>
        <v/>
      </c>
      <c r="S35" s="8" t="str">
        <f>IF(CSV!U28=0,"",使用数!U28)&amp;IF(CSV!U28=0,"","("&amp;CSV!U28&amp;")")</f>
        <v/>
      </c>
      <c r="T35" s="8" t="str">
        <f>IF(CSV!V28=0,"",使用数!V28)&amp;IF(CSV!V28=0,"","("&amp;CSV!V28&amp;")")</f>
        <v/>
      </c>
      <c r="U35" s="8" t="str">
        <f>IF(CSV!W28=0,"",使用数!W28)&amp;IF(CSV!W28=0,"","("&amp;CSV!W28&amp;")")</f>
        <v/>
      </c>
      <c r="V35" s="8" t="str">
        <f>IF(CSV!X28=0,"",使用数!X28)&amp;IF(CSV!X28=0,"","("&amp;CSV!X28&amp;")")</f>
        <v/>
      </c>
      <c r="W35" s="8" t="str">
        <f>IF(CSV!Y28=0,"",使用数!Y28)&amp;IF(CSV!Y28=0,"","("&amp;CSV!Y28&amp;")")</f>
        <v/>
      </c>
      <c r="X35" s="8" t="str">
        <f>IF(CSV!Z28=0,"",使用数!Z28)&amp;IF(CSV!Z28=0,"","("&amp;CSV!Z28&amp;")")</f>
        <v/>
      </c>
      <c r="Y35" s="8" t="str">
        <f>IF(CSV!AA28=0,"",使用数!AA28)&amp;IF(CSV!AA28=0,"","("&amp;CSV!AA28&amp;")")</f>
        <v/>
      </c>
      <c r="Z35" s="8" t="str">
        <f>IF(CSV!AB28=0,"",使用数!AB28)&amp;IF(CSV!AB28=0,"","("&amp;CSV!AB28&amp;")")</f>
        <v/>
      </c>
      <c r="AA35" s="8" t="str">
        <f>IF(CSV!AC28=0,"",使用数!AC28)&amp;IF(CSV!AC28=0,"","("&amp;CSV!AC28&amp;")")</f>
        <v/>
      </c>
      <c r="AB35" s="8" t="str">
        <f>IF(CSV!AD28=0,"",使用数!AD28)&amp;IF(CSV!AD28=0,"","("&amp;CSV!AD28&amp;")")</f>
        <v/>
      </c>
      <c r="AC35" s="8" t="str">
        <f>IF(CSV!AE28=0,"",使用数!AE28)&amp;IF(CSV!AE28=0,"","("&amp;CSV!AE28&amp;")")</f>
        <v/>
      </c>
      <c r="AD35" s="8" t="str">
        <f>IF(CSV!AF28=0,"",使用数!AF28)&amp;IF(CSV!AF28=0,"","("&amp;CSV!AF28&amp;")")</f>
        <v/>
      </c>
      <c r="AE35" s="8" t="str">
        <f>IF(CSV!AG28=0,"",使用数!AG28)&amp;IF(CSV!AG28=0,"","("&amp;CSV!AG28&amp;")")</f>
        <v/>
      </c>
      <c r="AF35" s="8" t="str">
        <f>IF(CSV!AH28=0,"",使用数!AH28)&amp;IF(CSV!AH28=0,"","("&amp;CSV!AH28&amp;")")</f>
        <v/>
      </c>
      <c r="AG35" s="8" t="str">
        <f>IF(CSV!AI28=0,"",使用数!AI28)&amp;IF(CSV!AI28=0,"","("&amp;CSV!AI28&amp;")")</f>
        <v/>
      </c>
      <c r="AH35" s="8" t="str">
        <f>IF(CSV!AJ28=0,"",使用数!AJ28)&amp;IF(CSV!AJ28=0,"","("&amp;CSV!AJ28&amp;")")</f>
        <v/>
      </c>
      <c r="AI35" s="8" t="str">
        <f>IF(CSV!AK28=0,"",使用数!AK28)&amp;IF(CSV!AK28=0,"","("&amp;CSV!AK28&amp;")")</f>
        <v/>
      </c>
      <c r="AJ35" s="8" t="str">
        <f>IF(CSV!AL28=0,"",使用数!AL28)&amp;IF(CSV!AL28=0,"","("&amp;CSV!AL28&amp;")")</f>
        <v/>
      </c>
      <c r="AK35" s="8" t="str">
        <f>IF(CSV!AM28=0,"",使用数!AM28)&amp;IF(CSV!AM28=0,"","("&amp;CSV!AM28&amp;")")</f>
        <v/>
      </c>
    </row>
    <row r="36" spans="1:37" ht="27" customHeight="1" x14ac:dyDescent="0.55000000000000004">
      <c r="A36" s="12"/>
      <c r="B36" s="11">
        <v>142007</v>
      </c>
      <c r="C36" s="9" t="str">
        <f>IF(CSV!F29&lt;&gt;0,CSV!F29,"")</f>
        <v/>
      </c>
      <c r="D36" s="11">
        <f>HLOOKUP("部品説明",CSV!$B$2:$CC$42,B36-141979,FALSE)</f>
        <v>0</v>
      </c>
      <c r="E36" s="11" t="str">
        <f>IF(CSV!G29=0,"",CSV!G29)</f>
        <v/>
      </c>
      <c r="F36" s="11">
        <f>CSV!$H29</f>
        <v>0</v>
      </c>
      <c r="G36" s="11" t="str">
        <f>IF(CSV!I29=0,"",使用数!I29)&amp;IF(CSV!I29=0,"","("&amp;CSV!I29&amp;")")</f>
        <v/>
      </c>
      <c r="H36" s="11" t="str">
        <f>IF(CSV!J29=0,"",使用数!J29)&amp;IF(CSV!J29=0,"","("&amp;CSV!J29&amp;")")</f>
        <v/>
      </c>
      <c r="I36" s="11" t="str">
        <f>IF(CSV!K29=0,"",使用数!K29)&amp;IF(CSV!K29=0,"","("&amp;CSV!K29&amp;")")</f>
        <v/>
      </c>
      <c r="J36" s="11" t="str">
        <f>IF(CSV!L29=0,"",使用数!L29)&amp;IF(CSV!L29=0,"","("&amp;CSV!L29&amp;")")</f>
        <v/>
      </c>
      <c r="K36" s="11" t="str">
        <f>IF(CSV!M29=0,"",使用数!M29)&amp;IF(CSV!M29=0,"","("&amp;CSV!M29&amp;")")</f>
        <v/>
      </c>
      <c r="L36" s="11" t="str">
        <f>IF(CSV!N29=0,"",使用数!N29)&amp;IF(CSV!N29=0,"","("&amp;CSV!N29&amp;")")</f>
        <v/>
      </c>
      <c r="M36" s="11" t="str">
        <f>IF(CSV!O29=0,"",使用数!O29)&amp;IF(CSV!O29=0,"","("&amp;CSV!O29&amp;")")</f>
        <v/>
      </c>
      <c r="N36" s="11" t="str">
        <f>IF(CSV!P29=0,"",使用数!P29)&amp;IF(CSV!P29=0,"","("&amp;CSV!P29&amp;")")</f>
        <v/>
      </c>
      <c r="O36" s="11" t="str">
        <f>IF(CSV!Q29=0,"",使用数!Q29)&amp;IF(CSV!Q29=0,"","("&amp;CSV!Q29&amp;")")</f>
        <v/>
      </c>
      <c r="P36" s="11" t="str">
        <f>IF(CSV!R29=0,"",使用数!R29)&amp;IF(CSV!R29=0,"","("&amp;CSV!R29&amp;")")</f>
        <v/>
      </c>
      <c r="Q36" s="11" t="str">
        <f>IF(CSV!S29=0,"",使用数!S29)&amp;IF(CSV!S29=0,"","("&amp;CSV!S29&amp;")")</f>
        <v/>
      </c>
      <c r="R36" s="11" t="str">
        <f>IF(CSV!T29=0,"",使用数!T29)&amp;IF(CSV!T29=0,"","("&amp;CSV!T29&amp;")")</f>
        <v/>
      </c>
      <c r="S36" s="11" t="str">
        <f>IF(CSV!U29=0,"",使用数!U29)&amp;IF(CSV!U29=0,"","("&amp;CSV!U29&amp;")")</f>
        <v/>
      </c>
      <c r="T36" s="11" t="str">
        <f>IF(CSV!V29=0,"",使用数!V29)&amp;IF(CSV!V29=0,"","("&amp;CSV!V29&amp;")")</f>
        <v/>
      </c>
      <c r="U36" s="11" t="str">
        <f>IF(CSV!W29=0,"",使用数!W29)&amp;IF(CSV!W29=0,"","("&amp;CSV!W29&amp;")")</f>
        <v/>
      </c>
      <c r="V36" s="11" t="str">
        <f>IF(CSV!X29=0,"",使用数!X29)&amp;IF(CSV!X29=0,"","("&amp;CSV!X29&amp;")")</f>
        <v/>
      </c>
      <c r="W36" s="11" t="str">
        <f>IF(CSV!Y29=0,"",使用数!Y29)&amp;IF(CSV!Y29=0,"","("&amp;CSV!Y29&amp;")")</f>
        <v/>
      </c>
      <c r="X36" s="11" t="str">
        <f>IF(CSV!Z29=0,"",使用数!Z29)&amp;IF(CSV!Z29=0,"","("&amp;CSV!Z29&amp;")")</f>
        <v/>
      </c>
      <c r="Y36" s="11" t="str">
        <f>IF(CSV!AA29=0,"",使用数!AA29)&amp;IF(CSV!AA29=0,"","("&amp;CSV!AA29&amp;")")</f>
        <v/>
      </c>
      <c r="Z36" s="11" t="str">
        <f>IF(CSV!AB29=0,"",使用数!AB29)&amp;IF(CSV!AB29=0,"","("&amp;CSV!AB29&amp;")")</f>
        <v/>
      </c>
      <c r="AA36" s="11" t="str">
        <f>IF(CSV!AC29=0,"",使用数!AC29)&amp;IF(CSV!AC29=0,"","("&amp;CSV!AC29&amp;")")</f>
        <v/>
      </c>
      <c r="AB36" s="11" t="str">
        <f>IF(CSV!AD29=0,"",使用数!AD29)&amp;IF(CSV!AD29=0,"","("&amp;CSV!AD29&amp;")")</f>
        <v/>
      </c>
      <c r="AC36" s="11" t="str">
        <f>IF(CSV!AE29=0,"",使用数!AE29)&amp;IF(CSV!AE29=0,"","("&amp;CSV!AE29&amp;")")</f>
        <v/>
      </c>
      <c r="AD36" s="11" t="str">
        <f>IF(CSV!AF29=0,"",使用数!AF29)&amp;IF(CSV!AF29=0,"","("&amp;CSV!AF29&amp;")")</f>
        <v/>
      </c>
      <c r="AE36" s="11" t="str">
        <f>IF(CSV!AG29=0,"",使用数!AG29)&amp;IF(CSV!AG29=0,"","("&amp;CSV!AG29&amp;")")</f>
        <v/>
      </c>
      <c r="AF36" s="11" t="str">
        <f>IF(CSV!AH29=0,"",使用数!AH29)&amp;IF(CSV!AH29=0,"","("&amp;CSV!AH29&amp;")")</f>
        <v/>
      </c>
      <c r="AG36" s="11" t="str">
        <f>IF(CSV!AI29=0,"",使用数!AI29)&amp;IF(CSV!AI29=0,"","("&amp;CSV!AI29&amp;")")</f>
        <v/>
      </c>
      <c r="AH36" s="11" t="str">
        <f>IF(CSV!AJ29=0,"",使用数!AJ29)&amp;IF(CSV!AJ29=0,"","("&amp;CSV!AJ29&amp;")")</f>
        <v/>
      </c>
      <c r="AI36" s="11" t="str">
        <f>IF(CSV!AK29=0,"",使用数!AK29)&amp;IF(CSV!AK29=0,"","("&amp;CSV!AK29&amp;")")</f>
        <v/>
      </c>
      <c r="AJ36" s="11" t="str">
        <f>IF(CSV!AL29=0,"",使用数!AL29)&amp;IF(CSV!AL29=0,"","("&amp;CSV!AL29&amp;")")</f>
        <v/>
      </c>
      <c r="AK36" s="11" t="str">
        <f>IF(CSV!AM29=0,"",使用数!AM29)&amp;IF(CSV!AM29=0,"","("&amp;CSV!AM29&amp;")")</f>
        <v/>
      </c>
    </row>
    <row r="37" spans="1:37" s="7" customFormat="1" ht="27" customHeight="1" x14ac:dyDescent="0.55000000000000004">
      <c r="A37" s="10"/>
      <c r="B37" s="8">
        <v>142008</v>
      </c>
      <c r="C37" s="9" t="str">
        <f>IF(CSV!F30&lt;&gt;0,CSV!F30,"")</f>
        <v/>
      </c>
      <c r="D37" s="8">
        <f>HLOOKUP("部品説明",CSV!$B$2:$CC$42,B37-141979,FALSE)</f>
        <v>0</v>
      </c>
      <c r="E37" s="8" t="str">
        <f>IF(CSV!G30=0,"",CSV!G30)</f>
        <v/>
      </c>
      <c r="F37" s="8">
        <f>CSV!$H30</f>
        <v>0</v>
      </c>
      <c r="G37" s="8" t="str">
        <f>IF(CSV!I30=0,"",使用数!I30)&amp;IF(CSV!I30=0,"","("&amp;CSV!I30&amp;")")</f>
        <v/>
      </c>
      <c r="H37" s="8" t="str">
        <f>IF(CSV!J30=0,"",使用数!J30)&amp;IF(CSV!J30=0,"","("&amp;CSV!J30&amp;")")</f>
        <v/>
      </c>
      <c r="I37" s="8" t="str">
        <f>IF(CSV!K30=0,"",使用数!K30)&amp;IF(CSV!K30=0,"","("&amp;CSV!K30&amp;")")</f>
        <v/>
      </c>
      <c r="J37" s="8" t="str">
        <f>IF(CSV!L30=0,"",使用数!L30)&amp;IF(CSV!L30=0,"","("&amp;CSV!L30&amp;")")</f>
        <v/>
      </c>
      <c r="K37" s="8" t="str">
        <f>IF(CSV!M30=0,"",使用数!M30)&amp;IF(CSV!M30=0,"","("&amp;CSV!M30&amp;")")</f>
        <v/>
      </c>
      <c r="L37" s="8" t="str">
        <f>IF(CSV!N30=0,"",使用数!N30)&amp;IF(CSV!N30=0,"","("&amp;CSV!N30&amp;")")</f>
        <v/>
      </c>
      <c r="M37" s="8" t="str">
        <f>IF(CSV!O30=0,"",使用数!O30)&amp;IF(CSV!O30=0,"","("&amp;CSV!O30&amp;")")</f>
        <v/>
      </c>
      <c r="N37" s="8" t="str">
        <f>IF(CSV!P30=0,"",使用数!P30)&amp;IF(CSV!P30=0,"","("&amp;CSV!P30&amp;")")</f>
        <v/>
      </c>
      <c r="O37" s="8" t="str">
        <f>IF(CSV!Q30=0,"",使用数!Q30)&amp;IF(CSV!Q30=0,"","("&amp;CSV!Q30&amp;")")</f>
        <v/>
      </c>
      <c r="P37" s="8" t="str">
        <f>IF(CSV!R30=0,"",使用数!R30)&amp;IF(CSV!R30=0,"","("&amp;CSV!R30&amp;")")</f>
        <v/>
      </c>
      <c r="Q37" s="8" t="str">
        <f>IF(CSV!S30=0,"",使用数!S30)&amp;IF(CSV!S30=0,"","("&amp;CSV!S30&amp;")")</f>
        <v/>
      </c>
      <c r="R37" s="8" t="str">
        <f>IF(CSV!T30=0,"",使用数!T30)&amp;IF(CSV!T30=0,"","("&amp;CSV!T30&amp;")")</f>
        <v/>
      </c>
      <c r="S37" s="8" t="str">
        <f>IF(CSV!U30=0,"",使用数!U30)&amp;IF(CSV!U30=0,"","("&amp;CSV!U30&amp;")")</f>
        <v/>
      </c>
      <c r="T37" s="8" t="str">
        <f>IF(CSV!V30=0,"",使用数!V30)&amp;IF(CSV!V30=0,"","("&amp;CSV!V30&amp;")")</f>
        <v/>
      </c>
      <c r="U37" s="8" t="str">
        <f>IF(CSV!W30=0,"",使用数!W30)&amp;IF(CSV!W30=0,"","("&amp;CSV!W30&amp;")")</f>
        <v/>
      </c>
      <c r="V37" s="8" t="str">
        <f>IF(CSV!X30=0,"",使用数!X30)&amp;IF(CSV!X30=0,"","("&amp;CSV!X30&amp;")")</f>
        <v/>
      </c>
      <c r="W37" s="8" t="str">
        <f>IF(CSV!Y30=0,"",使用数!Y30)&amp;IF(CSV!Y30=0,"","("&amp;CSV!Y30&amp;")")</f>
        <v/>
      </c>
      <c r="X37" s="8" t="str">
        <f>IF(CSV!Z30=0,"",使用数!Z30)&amp;IF(CSV!Z30=0,"","("&amp;CSV!Z30&amp;")")</f>
        <v/>
      </c>
      <c r="Y37" s="8" t="str">
        <f>IF(CSV!AA30=0,"",使用数!AA30)&amp;IF(CSV!AA30=0,"","("&amp;CSV!AA30&amp;")")</f>
        <v/>
      </c>
      <c r="Z37" s="8" t="str">
        <f>IF(CSV!AB30=0,"",使用数!AB30)&amp;IF(CSV!AB30=0,"","("&amp;CSV!AB30&amp;")")</f>
        <v/>
      </c>
      <c r="AA37" s="8" t="str">
        <f>IF(CSV!AC30=0,"",使用数!AC30)&amp;IF(CSV!AC30=0,"","("&amp;CSV!AC30&amp;")")</f>
        <v/>
      </c>
      <c r="AB37" s="8" t="str">
        <f>IF(CSV!AD30=0,"",使用数!AD30)&amp;IF(CSV!AD30=0,"","("&amp;CSV!AD30&amp;")")</f>
        <v/>
      </c>
      <c r="AC37" s="8" t="str">
        <f>IF(CSV!AE30=0,"",使用数!AE30)&amp;IF(CSV!AE30=0,"","("&amp;CSV!AE30&amp;")")</f>
        <v/>
      </c>
      <c r="AD37" s="8" t="str">
        <f>IF(CSV!AF30=0,"",使用数!AF30)&amp;IF(CSV!AF30=0,"","("&amp;CSV!AF30&amp;")")</f>
        <v/>
      </c>
      <c r="AE37" s="8" t="str">
        <f>IF(CSV!AG30=0,"",使用数!AG30)&amp;IF(CSV!AG30=0,"","("&amp;CSV!AG30&amp;")")</f>
        <v/>
      </c>
      <c r="AF37" s="8" t="str">
        <f>IF(CSV!AH30=0,"",使用数!AH30)&amp;IF(CSV!AH30=0,"","("&amp;CSV!AH30&amp;")")</f>
        <v/>
      </c>
      <c r="AG37" s="8" t="str">
        <f>IF(CSV!AI30=0,"",使用数!AI30)&amp;IF(CSV!AI30=0,"","("&amp;CSV!AI30&amp;")")</f>
        <v/>
      </c>
      <c r="AH37" s="8" t="str">
        <f>IF(CSV!AJ30=0,"",使用数!AJ30)&amp;IF(CSV!AJ30=0,"","("&amp;CSV!AJ30&amp;")")</f>
        <v/>
      </c>
      <c r="AI37" s="8" t="str">
        <f>IF(CSV!AK30=0,"",使用数!AK30)&amp;IF(CSV!AK30=0,"","("&amp;CSV!AK30&amp;")")</f>
        <v/>
      </c>
      <c r="AJ37" s="8" t="str">
        <f>IF(CSV!AL30=0,"",使用数!AL30)&amp;IF(CSV!AL30=0,"","("&amp;CSV!AL30&amp;")")</f>
        <v/>
      </c>
      <c r="AK37" s="8" t="str">
        <f>IF(CSV!AM30=0,"",使用数!AM30)&amp;IF(CSV!AM30=0,"","("&amp;CSV!AM30&amp;")")</f>
        <v/>
      </c>
    </row>
    <row r="38" spans="1:37" ht="27" customHeight="1" x14ac:dyDescent="0.55000000000000004">
      <c r="A38" s="12"/>
      <c r="B38" s="11">
        <v>142009</v>
      </c>
      <c r="C38" s="9" t="str">
        <f>IF(CSV!F31&lt;&gt;0,CSV!F31,"")</f>
        <v/>
      </c>
      <c r="D38" s="11">
        <f>HLOOKUP("部品説明",CSV!$B$2:$CC$42,B38-141979,FALSE)</f>
        <v>0</v>
      </c>
      <c r="E38" s="11" t="str">
        <f>IF(CSV!G31=0,"",CSV!G31)</f>
        <v/>
      </c>
      <c r="F38" s="11">
        <f>CSV!$H31</f>
        <v>0</v>
      </c>
      <c r="G38" s="11" t="str">
        <f>IF(CSV!I31=0,"",使用数!I31)&amp;IF(CSV!I31=0,"","("&amp;CSV!I31&amp;")")</f>
        <v/>
      </c>
      <c r="H38" s="11" t="str">
        <f>IF(CSV!J31=0,"",使用数!J31)&amp;IF(CSV!J31=0,"","("&amp;CSV!J31&amp;")")</f>
        <v/>
      </c>
      <c r="I38" s="11" t="str">
        <f>IF(CSV!K31=0,"",使用数!K31)&amp;IF(CSV!K31=0,"","("&amp;CSV!K31&amp;")")</f>
        <v/>
      </c>
      <c r="J38" s="11" t="str">
        <f>IF(CSV!L31=0,"",使用数!L31)&amp;IF(CSV!L31=0,"","("&amp;CSV!L31&amp;")")</f>
        <v/>
      </c>
      <c r="K38" s="11" t="str">
        <f>IF(CSV!M31=0,"",使用数!M31)&amp;IF(CSV!M31=0,"","("&amp;CSV!M31&amp;")")</f>
        <v/>
      </c>
      <c r="L38" s="11" t="str">
        <f>IF(CSV!N31=0,"",使用数!N31)&amp;IF(CSV!N31=0,"","("&amp;CSV!N31&amp;")")</f>
        <v/>
      </c>
      <c r="M38" s="11" t="str">
        <f>IF(CSV!O31=0,"",使用数!O31)&amp;IF(CSV!O31=0,"","("&amp;CSV!O31&amp;")")</f>
        <v/>
      </c>
      <c r="N38" s="11" t="str">
        <f>IF(CSV!P31=0,"",使用数!P31)&amp;IF(CSV!P31=0,"","("&amp;CSV!P31&amp;")")</f>
        <v/>
      </c>
      <c r="O38" s="11" t="str">
        <f>IF(CSV!Q31=0,"",使用数!Q31)&amp;IF(CSV!Q31=0,"","("&amp;CSV!Q31&amp;")")</f>
        <v/>
      </c>
      <c r="P38" s="11" t="str">
        <f>IF(CSV!R31=0,"",使用数!R31)&amp;IF(CSV!R31=0,"","("&amp;CSV!R31&amp;")")</f>
        <v/>
      </c>
      <c r="Q38" s="11" t="str">
        <f>IF(CSV!S31=0,"",使用数!S31)&amp;IF(CSV!S31=0,"","("&amp;CSV!S31&amp;")")</f>
        <v/>
      </c>
      <c r="R38" s="11" t="str">
        <f>IF(CSV!T31=0,"",使用数!T31)&amp;IF(CSV!T31=0,"","("&amp;CSV!T31&amp;")")</f>
        <v/>
      </c>
      <c r="S38" s="11" t="str">
        <f>IF(CSV!U31=0,"",使用数!U31)&amp;IF(CSV!U31=0,"","("&amp;CSV!U31&amp;")")</f>
        <v/>
      </c>
      <c r="T38" s="11" t="str">
        <f>IF(CSV!V31=0,"",使用数!V31)&amp;IF(CSV!V31=0,"","("&amp;CSV!V31&amp;")")</f>
        <v/>
      </c>
      <c r="U38" s="11" t="str">
        <f>IF(CSV!W31=0,"",使用数!W31)&amp;IF(CSV!W31=0,"","("&amp;CSV!W31&amp;")")</f>
        <v/>
      </c>
      <c r="V38" s="11" t="str">
        <f>IF(CSV!X31=0,"",使用数!X31)&amp;IF(CSV!X31=0,"","("&amp;CSV!X31&amp;")")</f>
        <v/>
      </c>
      <c r="W38" s="11" t="str">
        <f>IF(CSV!Y31=0,"",使用数!Y31)&amp;IF(CSV!Y31=0,"","("&amp;CSV!Y31&amp;")")</f>
        <v/>
      </c>
      <c r="X38" s="11" t="str">
        <f>IF(CSV!Z31=0,"",使用数!Z31)&amp;IF(CSV!Z31=0,"","("&amp;CSV!Z31&amp;")")</f>
        <v/>
      </c>
      <c r="Y38" s="11" t="str">
        <f>IF(CSV!AA31=0,"",使用数!AA31)&amp;IF(CSV!AA31=0,"","("&amp;CSV!AA31&amp;")")</f>
        <v/>
      </c>
      <c r="Z38" s="11" t="str">
        <f>IF(CSV!AB31=0,"",使用数!AB31)&amp;IF(CSV!AB31=0,"","("&amp;CSV!AB31&amp;")")</f>
        <v/>
      </c>
      <c r="AA38" s="11" t="str">
        <f>IF(CSV!AC31=0,"",使用数!AC31)&amp;IF(CSV!AC31=0,"","("&amp;CSV!AC31&amp;")")</f>
        <v/>
      </c>
      <c r="AB38" s="11" t="str">
        <f>IF(CSV!AD31=0,"",使用数!AD31)&amp;IF(CSV!AD31=0,"","("&amp;CSV!AD31&amp;")")</f>
        <v/>
      </c>
      <c r="AC38" s="11" t="str">
        <f>IF(CSV!AE31=0,"",使用数!AE31)&amp;IF(CSV!AE31=0,"","("&amp;CSV!AE31&amp;")")</f>
        <v/>
      </c>
      <c r="AD38" s="11" t="str">
        <f>IF(CSV!AF31=0,"",使用数!AF31)&amp;IF(CSV!AF31=0,"","("&amp;CSV!AF31&amp;")")</f>
        <v/>
      </c>
      <c r="AE38" s="11" t="str">
        <f>IF(CSV!AG31=0,"",使用数!AG31)&amp;IF(CSV!AG31=0,"","("&amp;CSV!AG31&amp;")")</f>
        <v/>
      </c>
      <c r="AF38" s="11" t="str">
        <f>IF(CSV!AH31=0,"",使用数!AH31)&amp;IF(CSV!AH31=0,"","("&amp;CSV!AH31&amp;")")</f>
        <v/>
      </c>
      <c r="AG38" s="11" t="str">
        <f>IF(CSV!AI31=0,"",使用数!AI31)&amp;IF(CSV!AI31=0,"","("&amp;CSV!AI31&amp;")")</f>
        <v/>
      </c>
      <c r="AH38" s="11" t="str">
        <f>IF(CSV!AJ31=0,"",使用数!AJ31)&amp;IF(CSV!AJ31=0,"","("&amp;CSV!AJ31&amp;")")</f>
        <v/>
      </c>
      <c r="AI38" s="11" t="str">
        <f>IF(CSV!AK31=0,"",使用数!AK31)&amp;IF(CSV!AK31=0,"","("&amp;CSV!AK31&amp;")")</f>
        <v/>
      </c>
      <c r="AJ38" s="11" t="str">
        <f>IF(CSV!AL31=0,"",使用数!AL31)&amp;IF(CSV!AL31=0,"","("&amp;CSV!AL31&amp;")")</f>
        <v/>
      </c>
      <c r="AK38" s="11" t="str">
        <f>IF(CSV!AM31=0,"",使用数!AM31)&amp;IF(CSV!AM31=0,"","("&amp;CSV!AM31&amp;")")</f>
        <v/>
      </c>
    </row>
    <row r="39" spans="1:37" s="7" customFormat="1" ht="27" customHeight="1" x14ac:dyDescent="0.55000000000000004">
      <c r="A39" s="10"/>
      <c r="B39" s="8">
        <v>142010</v>
      </c>
      <c r="C39" s="9" t="str">
        <f>IF(CSV!F32&lt;&gt;0,CSV!F32,"")</f>
        <v/>
      </c>
      <c r="D39" s="8">
        <f>HLOOKUP("部品説明",CSV!$B$2:$CC$42,B39-141979,FALSE)</f>
        <v>0</v>
      </c>
      <c r="E39" s="8" t="str">
        <f>IF(CSV!G32=0,"",CSV!G32)</f>
        <v/>
      </c>
      <c r="F39" s="8">
        <f>CSV!$H32</f>
        <v>0</v>
      </c>
      <c r="G39" s="8" t="str">
        <f>IF(CSV!I32=0,"",使用数!I32)&amp;IF(CSV!I32=0,"","("&amp;CSV!I32&amp;")")</f>
        <v/>
      </c>
      <c r="H39" s="8" t="str">
        <f>IF(CSV!J32=0,"",使用数!J32)&amp;IF(CSV!J32=0,"","("&amp;CSV!J32&amp;")")</f>
        <v/>
      </c>
      <c r="I39" s="8" t="str">
        <f>IF(CSV!K32=0,"",使用数!K32)&amp;IF(CSV!K32=0,"","("&amp;CSV!K32&amp;")")</f>
        <v/>
      </c>
      <c r="J39" s="8" t="str">
        <f>IF(CSV!L32=0,"",使用数!L32)&amp;IF(CSV!L32=0,"","("&amp;CSV!L32&amp;")")</f>
        <v/>
      </c>
      <c r="K39" s="8" t="str">
        <f>IF(CSV!M32=0,"",使用数!M32)&amp;IF(CSV!M32=0,"","("&amp;CSV!M32&amp;")")</f>
        <v/>
      </c>
      <c r="L39" s="8" t="str">
        <f>IF(CSV!N32=0,"",使用数!N32)&amp;IF(CSV!N32=0,"","("&amp;CSV!N32&amp;")")</f>
        <v/>
      </c>
      <c r="M39" s="8" t="str">
        <f>IF(CSV!O32=0,"",使用数!O32)&amp;IF(CSV!O32=0,"","("&amp;CSV!O32&amp;")")</f>
        <v/>
      </c>
      <c r="N39" s="8" t="str">
        <f>IF(CSV!P32=0,"",使用数!P32)&amp;IF(CSV!P32=0,"","("&amp;CSV!P32&amp;")")</f>
        <v/>
      </c>
      <c r="O39" s="8" t="str">
        <f>IF(CSV!Q32=0,"",使用数!Q32)&amp;IF(CSV!Q32=0,"","("&amp;CSV!Q32&amp;")")</f>
        <v/>
      </c>
      <c r="P39" s="8" t="str">
        <f>IF(CSV!R32=0,"",使用数!R32)&amp;IF(CSV!R32=0,"","("&amp;CSV!R32&amp;")")</f>
        <v/>
      </c>
      <c r="Q39" s="8" t="str">
        <f>IF(CSV!S32=0,"",使用数!S32)&amp;IF(CSV!S32=0,"","("&amp;CSV!S32&amp;")")</f>
        <v/>
      </c>
      <c r="R39" s="8" t="str">
        <f>IF(CSV!T32=0,"",使用数!T32)&amp;IF(CSV!T32=0,"","("&amp;CSV!T32&amp;")")</f>
        <v/>
      </c>
      <c r="S39" s="8" t="str">
        <f>IF(CSV!U32=0,"",使用数!U32)&amp;IF(CSV!U32=0,"","("&amp;CSV!U32&amp;")")</f>
        <v/>
      </c>
      <c r="T39" s="8" t="str">
        <f>IF(CSV!V32=0,"",使用数!V32)&amp;IF(CSV!V32=0,"","("&amp;CSV!V32&amp;")")</f>
        <v/>
      </c>
      <c r="U39" s="8" t="str">
        <f>IF(CSV!W32=0,"",使用数!W32)&amp;IF(CSV!W32=0,"","("&amp;CSV!W32&amp;")")</f>
        <v/>
      </c>
      <c r="V39" s="8" t="str">
        <f>IF(CSV!X32=0,"",使用数!X32)&amp;IF(CSV!X32=0,"","("&amp;CSV!X32&amp;")")</f>
        <v/>
      </c>
      <c r="W39" s="8" t="str">
        <f>IF(CSV!Y32=0,"",使用数!Y32)&amp;IF(CSV!Y32=0,"","("&amp;CSV!Y32&amp;")")</f>
        <v/>
      </c>
      <c r="X39" s="8" t="str">
        <f>IF(CSV!Z32=0,"",使用数!Z32)&amp;IF(CSV!Z32=0,"","("&amp;CSV!Z32&amp;")")</f>
        <v/>
      </c>
      <c r="Y39" s="8" t="str">
        <f>IF(CSV!AA32=0,"",使用数!AA32)&amp;IF(CSV!AA32=0,"","("&amp;CSV!AA32&amp;")")</f>
        <v/>
      </c>
      <c r="Z39" s="8" t="str">
        <f>IF(CSV!AB32=0,"",使用数!AB32)&amp;IF(CSV!AB32=0,"","("&amp;CSV!AB32&amp;")")</f>
        <v/>
      </c>
      <c r="AA39" s="8" t="str">
        <f>IF(CSV!AC32=0,"",使用数!AC32)&amp;IF(CSV!AC32=0,"","("&amp;CSV!AC32&amp;")")</f>
        <v/>
      </c>
      <c r="AB39" s="8" t="str">
        <f>IF(CSV!AD32=0,"",使用数!AD32)&amp;IF(CSV!AD32=0,"","("&amp;CSV!AD32&amp;")")</f>
        <v/>
      </c>
      <c r="AC39" s="8" t="str">
        <f>IF(CSV!AE32=0,"",使用数!AE32)&amp;IF(CSV!AE32=0,"","("&amp;CSV!AE32&amp;")")</f>
        <v/>
      </c>
      <c r="AD39" s="8" t="str">
        <f>IF(CSV!AF32=0,"",使用数!AF32)&amp;IF(CSV!AF32=0,"","("&amp;CSV!AF32&amp;")")</f>
        <v/>
      </c>
      <c r="AE39" s="8" t="str">
        <f>IF(CSV!AG32=0,"",使用数!AG32)&amp;IF(CSV!AG32=0,"","("&amp;CSV!AG32&amp;")")</f>
        <v/>
      </c>
      <c r="AF39" s="8" t="str">
        <f>IF(CSV!AH32=0,"",使用数!AH32)&amp;IF(CSV!AH32=0,"","("&amp;CSV!AH32&amp;")")</f>
        <v/>
      </c>
      <c r="AG39" s="8" t="str">
        <f>IF(CSV!AI32=0,"",使用数!AI32)&amp;IF(CSV!AI32=0,"","("&amp;CSV!AI32&amp;")")</f>
        <v/>
      </c>
      <c r="AH39" s="8" t="str">
        <f>IF(CSV!AJ32=0,"",使用数!AJ32)&amp;IF(CSV!AJ32=0,"","("&amp;CSV!AJ32&amp;")")</f>
        <v/>
      </c>
      <c r="AI39" s="8" t="str">
        <f>IF(CSV!AK32=0,"",使用数!AK32)&amp;IF(CSV!AK32=0,"","("&amp;CSV!AK32&amp;")")</f>
        <v/>
      </c>
      <c r="AJ39" s="8" t="str">
        <f>IF(CSV!AL32=0,"",使用数!AL32)&amp;IF(CSV!AL32=0,"","("&amp;CSV!AL32&amp;")")</f>
        <v/>
      </c>
      <c r="AK39" s="8" t="str">
        <f>IF(CSV!AM32=0,"",使用数!AM32)&amp;IF(CSV!AM32=0,"","("&amp;CSV!AM32&amp;")")</f>
        <v/>
      </c>
    </row>
    <row r="40" spans="1:37" ht="27" customHeight="1" x14ac:dyDescent="0.55000000000000004">
      <c r="A40" s="12"/>
      <c r="B40" s="11">
        <v>142011</v>
      </c>
      <c r="C40" s="9" t="str">
        <f>IF(CSV!F33&lt;&gt;0,CSV!F33,"")</f>
        <v/>
      </c>
      <c r="D40" s="11">
        <f>HLOOKUP("部品説明",CSV!$B$2:$CC$42,B40-141979,FALSE)</f>
        <v>0</v>
      </c>
      <c r="E40" s="11" t="str">
        <f>IF(CSV!G33=0,"",CSV!G33)</f>
        <v/>
      </c>
      <c r="F40" s="11">
        <f>CSV!$H33</f>
        <v>0</v>
      </c>
      <c r="G40" s="11" t="str">
        <f>IF(CSV!I33=0,"",使用数!I33)&amp;IF(CSV!I33=0,"","("&amp;CSV!I33&amp;")")</f>
        <v/>
      </c>
      <c r="H40" s="11" t="str">
        <f>IF(CSV!J33=0,"",使用数!J33)&amp;IF(CSV!J33=0,"","("&amp;CSV!J33&amp;")")</f>
        <v/>
      </c>
      <c r="I40" s="11" t="str">
        <f>IF(CSV!K33=0,"",使用数!K33)&amp;IF(CSV!K33=0,"","("&amp;CSV!K33&amp;")")</f>
        <v/>
      </c>
      <c r="J40" s="11" t="str">
        <f>IF(CSV!L33=0,"",使用数!L33)&amp;IF(CSV!L33=0,"","("&amp;CSV!L33&amp;")")</f>
        <v/>
      </c>
      <c r="K40" s="11" t="str">
        <f>IF(CSV!M33=0,"",使用数!M33)&amp;IF(CSV!M33=0,"","("&amp;CSV!M33&amp;")")</f>
        <v/>
      </c>
      <c r="L40" s="11" t="str">
        <f>IF(CSV!N33=0,"",使用数!N33)&amp;IF(CSV!N33=0,"","("&amp;CSV!N33&amp;")")</f>
        <v/>
      </c>
      <c r="M40" s="11" t="str">
        <f>IF(CSV!O33=0,"",使用数!O33)&amp;IF(CSV!O33=0,"","("&amp;CSV!O33&amp;")")</f>
        <v/>
      </c>
      <c r="N40" s="11" t="str">
        <f>IF(CSV!P33=0,"",使用数!P33)&amp;IF(CSV!P33=0,"","("&amp;CSV!P33&amp;")")</f>
        <v/>
      </c>
      <c r="O40" s="11" t="str">
        <f>IF(CSV!Q33=0,"",使用数!Q33)&amp;IF(CSV!Q33=0,"","("&amp;CSV!Q33&amp;")")</f>
        <v/>
      </c>
      <c r="P40" s="11" t="str">
        <f>IF(CSV!R33=0,"",使用数!R33)&amp;IF(CSV!R33=0,"","("&amp;CSV!R33&amp;")")</f>
        <v/>
      </c>
      <c r="Q40" s="11" t="str">
        <f>IF(CSV!S33=0,"",使用数!S33)&amp;IF(CSV!S33=0,"","("&amp;CSV!S33&amp;")")</f>
        <v/>
      </c>
      <c r="R40" s="11" t="str">
        <f>IF(CSV!T33=0,"",使用数!T33)&amp;IF(CSV!T33=0,"","("&amp;CSV!T33&amp;")")</f>
        <v/>
      </c>
      <c r="S40" s="11" t="str">
        <f>IF(CSV!U33=0,"",使用数!U33)&amp;IF(CSV!U33=0,"","("&amp;CSV!U33&amp;")")</f>
        <v/>
      </c>
      <c r="T40" s="11" t="str">
        <f>IF(CSV!V33=0,"",使用数!V33)&amp;IF(CSV!V33=0,"","("&amp;CSV!V33&amp;")")</f>
        <v/>
      </c>
      <c r="U40" s="11" t="str">
        <f>IF(CSV!W33=0,"",使用数!W33)&amp;IF(CSV!W33=0,"","("&amp;CSV!W33&amp;")")</f>
        <v/>
      </c>
      <c r="V40" s="11" t="str">
        <f>IF(CSV!X33=0,"",使用数!X33)&amp;IF(CSV!X33=0,"","("&amp;CSV!X33&amp;")")</f>
        <v/>
      </c>
      <c r="W40" s="11" t="str">
        <f>IF(CSV!Y33=0,"",使用数!Y33)&amp;IF(CSV!Y33=0,"","("&amp;CSV!Y33&amp;")")</f>
        <v/>
      </c>
      <c r="X40" s="11" t="str">
        <f>IF(CSV!Z33=0,"",使用数!Z33)&amp;IF(CSV!Z33=0,"","("&amp;CSV!Z33&amp;")")</f>
        <v/>
      </c>
      <c r="Y40" s="11" t="str">
        <f>IF(CSV!AA33=0,"",使用数!AA33)&amp;IF(CSV!AA33=0,"","("&amp;CSV!AA33&amp;")")</f>
        <v/>
      </c>
      <c r="Z40" s="11" t="str">
        <f>IF(CSV!AB33=0,"",使用数!AB33)&amp;IF(CSV!AB33=0,"","("&amp;CSV!AB33&amp;")")</f>
        <v/>
      </c>
      <c r="AA40" s="11" t="str">
        <f>IF(CSV!AC33=0,"",使用数!AC33)&amp;IF(CSV!AC33=0,"","("&amp;CSV!AC33&amp;")")</f>
        <v/>
      </c>
      <c r="AB40" s="11" t="str">
        <f>IF(CSV!AD33=0,"",使用数!AD33)&amp;IF(CSV!AD33=0,"","("&amp;CSV!AD33&amp;")")</f>
        <v/>
      </c>
      <c r="AC40" s="11" t="str">
        <f>IF(CSV!AE33=0,"",使用数!AE33)&amp;IF(CSV!AE33=0,"","("&amp;CSV!AE33&amp;")")</f>
        <v/>
      </c>
      <c r="AD40" s="11" t="str">
        <f>IF(CSV!AF33=0,"",使用数!AF33)&amp;IF(CSV!AF33=0,"","("&amp;CSV!AF33&amp;")")</f>
        <v/>
      </c>
      <c r="AE40" s="11" t="str">
        <f>IF(CSV!AG33=0,"",使用数!AG33)&amp;IF(CSV!AG33=0,"","("&amp;CSV!AG33&amp;")")</f>
        <v/>
      </c>
      <c r="AF40" s="11" t="str">
        <f>IF(CSV!AH33=0,"",使用数!AH33)&amp;IF(CSV!AH33=0,"","("&amp;CSV!AH33&amp;")")</f>
        <v/>
      </c>
      <c r="AG40" s="11" t="str">
        <f>IF(CSV!AI33=0,"",使用数!AI33)&amp;IF(CSV!AI33=0,"","("&amp;CSV!AI33&amp;")")</f>
        <v/>
      </c>
      <c r="AH40" s="11" t="str">
        <f>IF(CSV!AJ33=0,"",使用数!AJ33)&amp;IF(CSV!AJ33=0,"","("&amp;CSV!AJ33&amp;")")</f>
        <v/>
      </c>
      <c r="AI40" s="11" t="str">
        <f>IF(CSV!AK33=0,"",使用数!AK33)&amp;IF(CSV!AK33=0,"","("&amp;CSV!AK33&amp;")")</f>
        <v/>
      </c>
      <c r="AJ40" s="11" t="str">
        <f>IF(CSV!AL33=0,"",使用数!AL33)&amp;IF(CSV!AL33=0,"","("&amp;CSV!AL33&amp;")")</f>
        <v/>
      </c>
      <c r="AK40" s="11" t="str">
        <f>IF(CSV!AM33=0,"",使用数!AM33)&amp;IF(CSV!AM33=0,"","("&amp;CSV!AM33&amp;")")</f>
        <v/>
      </c>
    </row>
    <row r="41" spans="1:37" s="7" customFormat="1" ht="27" customHeight="1" x14ac:dyDescent="0.55000000000000004">
      <c r="A41" s="10"/>
      <c r="B41" s="8">
        <v>142012</v>
      </c>
      <c r="C41" s="9" t="str">
        <f>IF(CSV!F34&lt;&gt;0,CSV!F34,"")</f>
        <v/>
      </c>
      <c r="D41" s="8">
        <f>HLOOKUP("部品説明",CSV!$B$2:$CC$42,B41-141979,FALSE)</f>
        <v>0</v>
      </c>
      <c r="E41" s="8" t="str">
        <f>IF(CSV!G34=0,"",CSV!G34)</f>
        <v/>
      </c>
      <c r="F41" s="8">
        <f>CSV!$H34</f>
        <v>0</v>
      </c>
      <c r="G41" s="8" t="str">
        <f>IF(CSV!I34=0,"",使用数!I34)&amp;IF(CSV!I34=0,"","("&amp;CSV!I34&amp;")")</f>
        <v/>
      </c>
      <c r="H41" s="8" t="str">
        <f>IF(CSV!J34=0,"",使用数!J34)&amp;IF(CSV!J34=0,"","("&amp;CSV!J34&amp;")")</f>
        <v/>
      </c>
      <c r="I41" s="8" t="str">
        <f>IF(CSV!K34=0,"",使用数!K34)&amp;IF(CSV!K34=0,"","("&amp;CSV!K34&amp;")")</f>
        <v/>
      </c>
      <c r="J41" s="8" t="str">
        <f>IF(CSV!L34=0,"",使用数!L34)&amp;IF(CSV!L34=0,"","("&amp;CSV!L34&amp;")")</f>
        <v/>
      </c>
      <c r="K41" s="8" t="str">
        <f>IF(CSV!M34=0,"",使用数!M34)&amp;IF(CSV!M34=0,"","("&amp;CSV!M34&amp;")")</f>
        <v/>
      </c>
      <c r="L41" s="8" t="str">
        <f>IF(CSV!N34=0,"",使用数!N34)&amp;IF(CSV!N34=0,"","("&amp;CSV!N34&amp;")")</f>
        <v/>
      </c>
      <c r="M41" s="8" t="str">
        <f>IF(CSV!O34=0,"",使用数!O34)&amp;IF(CSV!O34=0,"","("&amp;CSV!O34&amp;")")</f>
        <v/>
      </c>
      <c r="N41" s="8" t="str">
        <f>IF(CSV!P34=0,"",使用数!P34)&amp;IF(CSV!P34=0,"","("&amp;CSV!P34&amp;")")</f>
        <v/>
      </c>
      <c r="O41" s="8" t="str">
        <f>IF(CSV!Q34=0,"",使用数!Q34)&amp;IF(CSV!Q34=0,"","("&amp;CSV!Q34&amp;")")</f>
        <v/>
      </c>
      <c r="P41" s="8" t="str">
        <f>IF(CSV!R34=0,"",使用数!R34)&amp;IF(CSV!R34=0,"","("&amp;CSV!R34&amp;")")</f>
        <v/>
      </c>
      <c r="Q41" s="8" t="str">
        <f>IF(CSV!S34=0,"",使用数!S34)&amp;IF(CSV!S34=0,"","("&amp;CSV!S34&amp;")")</f>
        <v/>
      </c>
      <c r="R41" s="8" t="str">
        <f>IF(CSV!T34=0,"",使用数!T34)&amp;IF(CSV!T34=0,"","("&amp;CSV!T34&amp;")")</f>
        <v/>
      </c>
      <c r="S41" s="8" t="str">
        <f>IF(CSV!U34=0,"",使用数!U34)&amp;IF(CSV!U34=0,"","("&amp;CSV!U34&amp;")")</f>
        <v/>
      </c>
      <c r="T41" s="8" t="str">
        <f>IF(CSV!V34=0,"",使用数!V34)&amp;IF(CSV!V34=0,"","("&amp;CSV!V34&amp;")")</f>
        <v/>
      </c>
      <c r="U41" s="8" t="str">
        <f>IF(CSV!W34=0,"",使用数!W34)&amp;IF(CSV!W34=0,"","("&amp;CSV!W34&amp;")")</f>
        <v/>
      </c>
      <c r="V41" s="8" t="str">
        <f>IF(CSV!X34=0,"",使用数!X34)&amp;IF(CSV!X34=0,"","("&amp;CSV!X34&amp;")")</f>
        <v/>
      </c>
      <c r="W41" s="8" t="str">
        <f>IF(CSV!Y34=0,"",使用数!Y34)&amp;IF(CSV!Y34=0,"","("&amp;CSV!Y34&amp;")")</f>
        <v/>
      </c>
      <c r="X41" s="8" t="str">
        <f>IF(CSV!Z34=0,"",使用数!Z34)&amp;IF(CSV!Z34=0,"","("&amp;CSV!Z34&amp;")")</f>
        <v/>
      </c>
      <c r="Y41" s="8" t="str">
        <f>IF(CSV!AA34=0,"",使用数!AA34)&amp;IF(CSV!AA34=0,"","("&amp;CSV!AA34&amp;")")</f>
        <v/>
      </c>
      <c r="Z41" s="8" t="str">
        <f>IF(CSV!AB34=0,"",使用数!AB34)&amp;IF(CSV!AB34=0,"","("&amp;CSV!AB34&amp;")")</f>
        <v/>
      </c>
      <c r="AA41" s="8" t="str">
        <f>IF(CSV!AC34=0,"",使用数!AC34)&amp;IF(CSV!AC34=0,"","("&amp;CSV!AC34&amp;")")</f>
        <v/>
      </c>
      <c r="AB41" s="8" t="str">
        <f>IF(CSV!AD34=0,"",使用数!AD34)&amp;IF(CSV!AD34=0,"","("&amp;CSV!AD34&amp;")")</f>
        <v/>
      </c>
      <c r="AC41" s="8" t="str">
        <f>IF(CSV!AE34=0,"",使用数!AE34)&amp;IF(CSV!AE34=0,"","("&amp;CSV!AE34&amp;")")</f>
        <v/>
      </c>
      <c r="AD41" s="8" t="str">
        <f>IF(CSV!AF34=0,"",使用数!AF34)&amp;IF(CSV!AF34=0,"","("&amp;CSV!AF34&amp;")")</f>
        <v/>
      </c>
      <c r="AE41" s="8" t="str">
        <f>IF(CSV!AG34=0,"",使用数!AG34)&amp;IF(CSV!AG34=0,"","("&amp;CSV!AG34&amp;")")</f>
        <v/>
      </c>
      <c r="AF41" s="8" t="str">
        <f>IF(CSV!AH34=0,"",使用数!AH34)&amp;IF(CSV!AH34=0,"","("&amp;CSV!AH34&amp;")")</f>
        <v/>
      </c>
      <c r="AG41" s="8" t="str">
        <f>IF(CSV!AI34=0,"",使用数!AI34)&amp;IF(CSV!AI34=0,"","("&amp;CSV!AI34&amp;")")</f>
        <v/>
      </c>
      <c r="AH41" s="8" t="str">
        <f>IF(CSV!AJ34=0,"",使用数!AJ34)&amp;IF(CSV!AJ34=0,"","("&amp;CSV!AJ34&amp;")")</f>
        <v/>
      </c>
      <c r="AI41" s="8" t="str">
        <f>IF(CSV!AK34=0,"",使用数!AK34)&amp;IF(CSV!AK34=0,"","("&amp;CSV!AK34&amp;")")</f>
        <v/>
      </c>
      <c r="AJ41" s="8" t="str">
        <f>IF(CSV!AL34=0,"",使用数!AL34)&amp;IF(CSV!AL34=0,"","("&amp;CSV!AL34&amp;")")</f>
        <v/>
      </c>
      <c r="AK41" s="8" t="str">
        <f>IF(CSV!AM34=0,"",使用数!AM34)&amp;IF(CSV!AM34=0,"","("&amp;CSV!AM34&amp;")")</f>
        <v/>
      </c>
    </row>
    <row r="42" spans="1:37" ht="27" customHeight="1" x14ac:dyDescent="0.55000000000000004">
      <c r="A42" s="12"/>
      <c r="B42" s="11">
        <v>142013</v>
      </c>
      <c r="C42" s="9" t="str">
        <f>IF(CSV!F35&lt;&gt;0,CSV!F35,"")</f>
        <v/>
      </c>
      <c r="D42" s="11">
        <f>HLOOKUP("部品説明",CSV!$B$2:$CC$42,B42-141979,FALSE)</f>
        <v>0</v>
      </c>
      <c r="E42" s="11" t="str">
        <f>IF(CSV!G35=0,"",CSV!G35)</f>
        <v/>
      </c>
      <c r="F42" s="11">
        <f>CSV!$H35</f>
        <v>0</v>
      </c>
      <c r="G42" s="11" t="str">
        <f>IF(CSV!I35=0,"",使用数!I35)&amp;IF(CSV!I35=0,"","("&amp;CSV!I35&amp;")")</f>
        <v/>
      </c>
      <c r="H42" s="11" t="str">
        <f>IF(CSV!J35=0,"",使用数!J35)&amp;IF(CSV!J35=0,"","("&amp;CSV!J35&amp;")")</f>
        <v/>
      </c>
      <c r="I42" s="11" t="str">
        <f>IF(CSV!K35=0,"",使用数!K35)&amp;IF(CSV!K35=0,"","("&amp;CSV!K35&amp;")")</f>
        <v/>
      </c>
      <c r="J42" s="11" t="str">
        <f>IF(CSV!L35=0,"",使用数!L35)&amp;IF(CSV!L35=0,"","("&amp;CSV!L35&amp;")")</f>
        <v/>
      </c>
      <c r="K42" s="11" t="str">
        <f>IF(CSV!M35=0,"",使用数!M35)&amp;IF(CSV!M35=0,"","("&amp;CSV!M35&amp;")")</f>
        <v/>
      </c>
      <c r="L42" s="11" t="str">
        <f>IF(CSV!N35=0,"",使用数!N35)&amp;IF(CSV!N35=0,"","("&amp;CSV!N35&amp;")")</f>
        <v/>
      </c>
      <c r="M42" s="11" t="str">
        <f>IF(CSV!O35=0,"",使用数!O35)&amp;IF(CSV!O35=0,"","("&amp;CSV!O35&amp;")")</f>
        <v/>
      </c>
      <c r="N42" s="11" t="str">
        <f>IF(CSV!P35=0,"",使用数!P35)&amp;IF(CSV!P35=0,"","("&amp;CSV!P35&amp;")")</f>
        <v/>
      </c>
      <c r="O42" s="11" t="str">
        <f>IF(CSV!Q35=0,"",使用数!Q35)&amp;IF(CSV!Q35=0,"","("&amp;CSV!Q35&amp;")")</f>
        <v/>
      </c>
      <c r="P42" s="11" t="str">
        <f>IF(CSV!R35=0,"",使用数!R35)&amp;IF(CSV!R35=0,"","("&amp;CSV!R35&amp;")")</f>
        <v/>
      </c>
      <c r="Q42" s="11" t="str">
        <f>IF(CSV!S35=0,"",使用数!S35)&amp;IF(CSV!S35=0,"","("&amp;CSV!S35&amp;")")</f>
        <v/>
      </c>
      <c r="R42" s="11" t="str">
        <f>IF(CSV!T35=0,"",使用数!T35)&amp;IF(CSV!T35=0,"","("&amp;CSV!T35&amp;")")</f>
        <v/>
      </c>
      <c r="S42" s="11" t="str">
        <f>IF(CSV!U35=0,"",使用数!U35)&amp;IF(CSV!U35=0,"","("&amp;CSV!U35&amp;")")</f>
        <v/>
      </c>
      <c r="T42" s="11" t="str">
        <f>IF(CSV!V35=0,"",使用数!V35)&amp;IF(CSV!V35=0,"","("&amp;CSV!V35&amp;")")</f>
        <v/>
      </c>
      <c r="U42" s="11" t="str">
        <f>IF(CSV!W35=0,"",使用数!W35)&amp;IF(CSV!W35=0,"","("&amp;CSV!W35&amp;")")</f>
        <v/>
      </c>
      <c r="V42" s="11" t="str">
        <f>IF(CSV!X35=0,"",使用数!X35)&amp;IF(CSV!X35=0,"","("&amp;CSV!X35&amp;")")</f>
        <v/>
      </c>
      <c r="W42" s="11" t="str">
        <f>IF(CSV!Y35=0,"",使用数!Y35)&amp;IF(CSV!Y35=0,"","("&amp;CSV!Y35&amp;")")</f>
        <v/>
      </c>
      <c r="X42" s="11" t="str">
        <f>IF(CSV!Z35=0,"",使用数!Z35)&amp;IF(CSV!Z35=0,"","("&amp;CSV!Z35&amp;")")</f>
        <v/>
      </c>
      <c r="Y42" s="11" t="str">
        <f>IF(CSV!AA35=0,"",使用数!AA35)&amp;IF(CSV!AA35=0,"","("&amp;CSV!AA35&amp;")")</f>
        <v/>
      </c>
      <c r="Z42" s="11" t="str">
        <f>IF(CSV!AB35=0,"",使用数!AB35)&amp;IF(CSV!AB35=0,"","("&amp;CSV!AB35&amp;")")</f>
        <v/>
      </c>
      <c r="AA42" s="11" t="str">
        <f>IF(CSV!AC35=0,"",使用数!AC35)&amp;IF(CSV!AC35=0,"","("&amp;CSV!AC35&amp;")")</f>
        <v/>
      </c>
      <c r="AB42" s="11" t="str">
        <f>IF(CSV!AD35=0,"",使用数!AD35)&amp;IF(CSV!AD35=0,"","("&amp;CSV!AD35&amp;")")</f>
        <v/>
      </c>
      <c r="AC42" s="11" t="str">
        <f>IF(CSV!AE35=0,"",使用数!AE35)&amp;IF(CSV!AE35=0,"","("&amp;CSV!AE35&amp;")")</f>
        <v/>
      </c>
      <c r="AD42" s="11" t="str">
        <f>IF(CSV!AF35=0,"",使用数!AF35)&amp;IF(CSV!AF35=0,"","("&amp;CSV!AF35&amp;")")</f>
        <v/>
      </c>
      <c r="AE42" s="11" t="str">
        <f>IF(CSV!AG35=0,"",使用数!AG35)&amp;IF(CSV!AG35=0,"","("&amp;CSV!AG35&amp;")")</f>
        <v/>
      </c>
      <c r="AF42" s="11" t="str">
        <f>IF(CSV!AH35=0,"",使用数!AH35)&amp;IF(CSV!AH35=0,"","("&amp;CSV!AH35&amp;")")</f>
        <v/>
      </c>
      <c r="AG42" s="11" t="str">
        <f>IF(CSV!AI35=0,"",使用数!AI35)&amp;IF(CSV!AI35=0,"","("&amp;CSV!AI35&amp;")")</f>
        <v/>
      </c>
      <c r="AH42" s="11" t="str">
        <f>IF(CSV!AJ35=0,"",使用数!AJ35)&amp;IF(CSV!AJ35=0,"","("&amp;CSV!AJ35&amp;")")</f>
        <v/>
      </c>
      <c r="AI42" s="11" t="str">
        <f>IF(CSV!AK35=0,"",使用数!AK35)&amp;IF(CSV!AK35=0,"","("&amp;CSV!AK35&amp;")")</f>
        <v/>
      </c>
      <c r="AJ42" s="11" t="str">
        <f>IF(CSV!AL35=0,"",使用数!AL35)&amp;IF(CSV!AL35=0,"","("&amp;CSV!AL35&amp;")")</f>
        <v/>
      </c>
      <c r="AK42" s="11" t="str">
        <f>IF(CSV!AM35=0,"",使用数!AM35)&amp;IF(CSV!AM35=0,"","("&amp;CSV!AM35&amp;")")</f>
        <v/>
      </c>
    </row>
    <row r="43" spans="1:37" s="7" customFormat="1" ht="27" customHeight="1" x14ac:dyDescent="0.55000000000000004">
      <c r="A43" s="10"/>
      <c r="B43" s="8">
        <v>142014</v>
      </c>
      <c r="C43" s="9" t="str">
        <f>IF(CSV!F36&lt;&gt;0,CSV!F36,"")</f>
        <v/>
      </c>
      <c r="D43" s="8">
        <f>HLOOKUP("部品説明",CSV!$B$2:$CC$42,B43-141979,FALSE)</f>
        <v>0</v>
      </c>
      <c r="E43" s="8" t="str">
        <f>IF(CSV!G36=0,"",CSV!G36)</f>
        <v/>
      </c>
      <c r="F43" s="8">
        <f>CSV!$H36</f>
        <v>0</v>
      </c>
      <c r="G43" s="8" t="str">
        <f>IF(CSV!I36=0,"",使用数!I36)&amp;IF(CSV!I36=0,"","("&amp;CSV!I36&amp;")")</f>
        <v/>
      </c>
      <c r="H43" s="8" t="str">
        <f>IF(CSV!J36=0,"",使用数!J36)&amp;IF(CSV!J36=0,"","("&amp;CSV!J36&amp;")")</f>
        <v/>
      </c>
      <c r="I43" s="8" t="str">
        <f>IF(CSV!K36=0,"",使用数!K36)&amp;IF(CSV!K36=0,"","("&amp;CSV!K36&amp;")")</f>
        <v/>
      </c>
      <c r="J43" s="8" t="str">
        <f>IF(CSV!L36=0,"",使用数!L36)&amp;IF(CSV!L36=0,"","("&amp;CSV!L36&amp;")")</f>
        <v/>
      </c>
      <c r="K43" s="8" t="str">
        <f>IF(CSV!M36=0,"",使用数!M36)&amp;IF(CSV!M36=0,"","("&amp;CSV!M36&amp;")")</f>
        <v/>
      </c>
      <c r="L43" s="8" t="str">
        <f>IF(CSV!N36=0,"",使用数!N36)&amp;IF(CSV!N36=0,"","("&amp;CSV!N36&amp;")")</f>
        <v/>
      </c>
      <c r="M43" s="8" t="str">
        <f>IF(CSV!O36=0,"",使用数!O36)&amp;IF(CSV!O36=0,"","("&amp;CSV!O36&amp;")")</f>
        <v/>
      </c>
      <c r="N43" s="8" t="str">
        <f>IF(CSV!P36=0,"",使用数!P36)&amp;IF(CSV!P36=0,"","("&amp;CSV!P36&amp;")")</f>
        <v/>
      </c>
      <c r="O43" s="8" t="str">
        <f>IF(CSV!Q36=0,"",使用数!Q36)&amp;IF(CSV!Q36=0,"","("&amp;CSV!Q36&amp;")")</f>
        <v/>
      </c>
      <c r="P43" s="8" t="str">
        <f>IF(CSV!R36=0,"",使用数!R36)&amp;IF(CSV!R36=0,"","("&amp;CSV!R36&amp;")")</f>
        <v/>
      </c>
      <c r="Q43" s="8" t="str">
        <f>IF(CSV!S36=0,"",使用数!S36)&amp;IF(CSV!S36=0,"","("&amp;CSV!S36&amp;")")</f>
        <v/>
      </c>
      <c r="R43" s="8" t="str">
        <f>IF(CSV!T36=0,"",使用数!T36)&amp;IF(CSV!T36=0,"","("&amp;CSV!T36&amp;")")</f>
        <v/>
      </c>
      <c r="S43" s="8" t="str">
        <f>IF(CSV!U36=0,"",使用数!U36)&amp;IF(CSV!U36=0,"","("&amp;CSV!U36&amp;")")</f>
        <v/>
      </c>
      <c r="T43" s="8" t="str">
        <f>IF(CSV!V36=0,"",使用数!V36)&amp;IF(CSV!V36=0,"","("&amp;CSV!V36&amp;")")</f>
        <v/>
      </c>
      <c r="U43" s="8" t="str">
        <f>IF(CSV!W36=0,"",使用数!W36)&amp;IF(CSV!W36=0,"","("&amp;CSV!W36&amp;")")</f>
        <v/>
      </c>
      <c r="V43" s="8" t="str">
        <f>IF(CSV!X36=0,"",使用数!X36)&amp;IF(CSV!X36=0,"","("&amp;CSV!X36&amp;")")</f>
        <v/>
      </c>
      <c r="W43" s="8" t="str">
        <f>IF(CSV!Y36=0,"",使用数!Y36)&amp;IF(CSV!Y36=0,"","("&amp;CSV!Y36&amp;")")</f>
        <v/>
      </c>
      <c r="X43" s="8" t="str">
        <f>IF(CSV!Z36=0,"",使用数!Z36)&amp;IF(CSV!Z36=0,"","("&amp;CSV!Z36&amp;")")</f>
        <v/>
      </c>
      <c r="Y43" s="8" t="str">
        <f>IF(CSV!AA36=0,"",使用数!AA36)&amp;IF(CSV!AA36=0,"","("&amp;CSV!AA36&amp;")")</f>
        <v/>
      </c>
      <c r="Z43" s="8" t="str">
        <f>IF(CSV!AB36=0,"",使用数!AB36)&amp;IF(CSV!AB36=0,"","("&amp;CSV!AB36&amp;")")</f>
        <v/>
      </c>
      <c r="AA43" s="8" t="str">
        <f>IF(CSV!AC36=0,"",使用数!AC36)&amp;IF(CSV!AC36=0,"","("&amp;CSV!AC36&amp;")")</f>
        <v/>
      </c>
      <c r="AB43" s="8" t="str">
        <f>IF(CSV!AD36=0,"",使用数!AD36)&amp;IF(CSV!AD36=0,"","("&amp;CSV!AD36&amp;")")</f>
        <v/>
      </c>
      <c r="AC43" s="8" t="str">
        <f>IF(CSV!AE36=0,"",使用数!AE36)&amp;IF(CSV!AE36=0,"","("&amp;CSV!AE36&amp;")")</f>
        <v/>
      </c>
      <c r="AD43" s="8" t="str">
        <f>IF(CSV!AF36=0,"",使用数!AF36)&amp;IF(CSV!AF36=0,"","("&amp;CSV!AF36&amp;")")</f>
        <v/>
      </c>
      <c r="AE43" s="8" t="str">
        <f>IF(CSV!AG36=0,"",使用数!AG36)&amp;IF(CSV!AG36=0,"","("&amp;CSV!AG36&amp;")")</f>
        <v/>
      </c>
      <c r="AF43" s="8" t="str">
        <f>IF(CSV!AH36=0,"",使用数!AH36)&amp;IF(CSV!AH36=0,"","("&amp;CSV!AH36&amp;")")</f>
        <v/>
      </c>
      <c r="AG43" s="8" t="str">
        <f>IF(CSV!AI36=0,"",使用数!AI36)&amp;IF(CSV!AI36=0,"","("&amp;CSV!AI36&amp;")")</f>
        <v/>
      </c>
      <c r="AH43" s="8" t="str">
        <f>IF(CSV!AJ36=0,"",使用数!AJ36)&amp;IF(CSV!AJ36=0,"","("&amp;CSV!AJ36&amp;")")</f>
        <v/>
      </c>
      <c r="AI43" s="8" t="str">
        <f>IF(CSV!AK36=0,"",使用数!AK36)&amp;IF(CSV!AK36=0,"","("&amp;CSV!AK36&amp;")")</f>
        <v/>
      </c>
      <c r="AJ43" s="8" t="str">
        <f>IF(CSV!AL36=0,"",使用数!AL36)&amp;IF(CSV!AL36=0,"","("&amp;CSV!AL36&amp;")")</f>
        <v/>
      </c>
      <c r="AK43" s="8" t="str">
        <f>IF(CSV!AM36=0,"",使用数!AM36)&amp;IF(CSV!AM36=0,"","("&amp;CSV!AM36&amp;")")</f>
        <v/>
      </c>
    </row>
    <row r="44" spans="1:37" ht="27" customHeight="1" x14ac:dyDescent="0.55000000000000004">
      <c r="A44" s="12"/>
      <c r="B44" s="11">
        <v>142015</v>
      </c>
      <c r="C44" s="9" t="str">
        <f>IF(CSV!F37&lt;&gt;0,CSV!F37,"")</f>
        <v/>
      </c>
      <c r="D44" s="11">
        <f>HLOOKUP("部品説明",CSV!$B$2:$CC$42,B44-141979,FALSE)</f>
        <v>0</v>
      </c>
      <c r="E44" s="11" t="str">
        <f>IF(CSV!G37=0,"",CSV!G37)</f>
        <v/>
      </c>
      <c r="F44" s="11">
        <f>CSV!$H37</f>
        <v>0</v>
      </c>
      <c r="G44" s="11" t="str">
        <f>IF(CSV!I37=0,"",使用数!I37)&amp;IF(CSV!I37=0,"","("&amp;CSV!I37&amp;")")</f>
        <v/>
      </c>
      <c r="H44" s="11" t="str">
        <f>IF(CSV!J37=0,"",使用数!J37)&amp;IF(CSV!J37=0,"","("&amp;CSV!J37&amp;")")</f>
        <v/>
      </c>
      <c r="I44" s="11" t="str">
        <f>IF(CSV!K37=0,"",使用数!K37)&amp;IF(CSV!K37=0,"","("&amp;CSV!K37&amp;")")</f>
        <v/>
      </c>
      <c r="J44" s="11" t="str">
        <f>IF(CSV!L37=0,"",使用数!L37)&amp;IF(CSV!L37=0,"","("&amp;CSV!L37&amp;")")</f>
        <v/>
      </c>
      <c r="K44" s="11" t="str">
        <f>IF(CSV!M37=0,"",使用数!M37)&amp;IF(CSV!M37=0,"","("&amp;CSV!M37&amp;")")</f>
        <v/>
      </c>
      <c r="L44" s="11" t="str">
        <f>IF(CSV!N37=0,"",使用数!N37)&amp;IF(CSV!N37=0,"","("&amp;CSV!N37&amp;")")</f>
        <v/>
      </c>
      <c r="M44" s="11" t="str">
        <f>IF(CSV!O37=0,"",使用数!O37)&amp;IF(CSV!O37=0,"","("&amp;CSV!O37&amp;")")</f>
        <v/>
      </c>
      <c r="N44" s="11" t="str">
        <f>IF(CSV!P37=0,"",使用数!P37)&amp;IF(CSV!P37=0,"","("&amp;CSV!P37&amp;")")</f>
        <v/>
      </c>
      <c r="O44" s="11" t="str">
        <f>IF(CSV!Q37=0,"",使用数!Q37)&amp;IF(CSV!Q37=0,"","("&amp;CSV!Q37&amp;")")</f>
        <v/>
      </c>
      <c r="P44" s="11" t="str">
        <f>IF(CSV!R37=0,"",使用数!R37)&amp;IF(CSV!R37=0,"","("&amp;CSV!R37&amp;")")</f>
        <v/>
      </c>
      <c r="Q44" s="11" t="str">
        <f>IF(CSV!S37=0,"",使用数!S37)&amp;IF(CSV!S37=0,"","("&amp;CSV!S37&amp;")")</f>
        <v/>
      </c>
      <c r="R44" s="11" t="str">
        <f>IF(CSV!T37=0,"",使用数!T37)&amp;IF(CSV!T37=0,"","("&amp;CSV!T37&amp;")")</f>
        <v/>
      </c>
      <c r="S44" s="11" t="str">
        <f>IF(CSV!U37=0,"",使用数!U37)&amp;IF(CSV!U37=0,"","("&amp;CSV!U37&amp;")")</f>
        <v/>
      </c>
      <c r="T44" s="11" t="str">
        <f>IF(CSV!V37=0,"",使用数!V37)&amp;IF(CSV!V37=0,"","("&amp;CSV!V37&amp;")")</f>
        <v/>
      </c>
      <c r="U44" s="11" t="str">
        <f>IF(CSV!W37=0,"",使用数!W37)&amp;IF(CSV!W37=0,"","("&amp;CSV!W37&amp;")")</f>
        <v/>
      </c>
      <c r="V44" s="11" t="str">
        <f>IF(CSV!X37=0,"",使用数!X37)&amp;IF(CSV!X37=0,"","("&amp;CSV!X37&amp;")")</f>
        <v/>
      </c>
      <c r="W44" s="11" t="str">
        <f>IF(CSV!Y37=0,"",使用数!Y37)&amp;IF(CSV!Y37=0,"","("&amp;CSV!Y37&amp;")")</f>
        <v/>
      </c>
      <c r="X44" s="11" t="str">
        <f>IF(CSV!Z37=0,"",使用数!Z37)&amp;IF(CSV!Z37=0,"","("&amp;CSV!Z37&amp;")")</f>
        <v/>
      </c>
      <c r="Y44" s="11" t="str">
        <f>IF(CSV!AA37=0,"",使用数!AA37)&amp;IF(CSV!AA37=0,"","("&amp;CSV!AA37&amp;")")</f>
        <v/>
      </c>
      <c r="Z44" s="11" t="str">
        <f>IF(CSV!AB37=0,"",使用数!AB37)&amp;IF(CSV!AB37=0,"","("&amp;CSV!AB37&amp;")")</f>
        <v/>
      </c>
      <c r="AA44" s="11" t="str">
        <f>IF(CSV!AC37=0,"",使用数!AC37)&amp;IF(CSV!AC37=0,"","("&amp;CSV!AC37&amp;")")</f>
        <v/>
      </c>
      <c r="AB44" s="11" t="str">
        <f>IF(CSV!AD37=0,"",使用数!AD37)&amp;IF(CSV!AD37=0,"","("&amp;CSV!AD37&amp;")")</f>
        <v/>
      </c>
      <c r="AC44" s="11" t="str">
        <f>IF(CSV!AE37=0,"",使用数!AE37)&amp;IF(CSV!AE37=0,"","("&amp;CSV!AE37&amp;")")</f>
        <v/>
      </c>
      <c r="AD44" s="11" t="str">
        <f>IF(CSV!AF37=0,"",使用数!AF37)&amp;IF(CSV!AF37=0,"","("&amp;CSV!AF37&amp;")")</f>
        <v/>
      </c>
      <c r="AE44" s="11" t="str">
        <f>IF(CSV!AG37=0,"",使用数!AG37)&amp;IF(CSV!AG37=0,"","("&amp;CSV!AG37&amp;")")</f>
        <v/>
      </c>
      <c r="AF44" s="11" t="str">
        <f>IF(CSV!AH37=0,"",使用数!AH37)&amp;IF(CSV!AH37=0,"","("&amp;CSV!AH37&amp;")")</f>
        <v/>
      </c>
      <c r="AG44" s="11" t="str">
        <f>IF(CSV!AI37=0,"",使用数!AI37)&amp;IF(CSV!AI37=0,"","("&amp;CSV!AI37&amp;")")</f>
        <v/>
      </c>
      <c r="AH44" s="11" t="str">
        <f>IF(CSV!AJ37=0,"",使用数!AJ37)&amp;IF(CSV!AJ37=0,"","("&amp;CSV!AJ37&amp;")")</f>
        <v/>
      </c>
      <c r="AI44" s="11" t="str">
        <f>IF(CSV!AK37=0,"",使用数!AK37)&amp;IF(CSV!AK37=0,"","("&amp;CSV!AK37&amp;")")</f>
        <v/>
      </c>
      <c r="AJ44" s="11" t="str">
        <f>IF(CSV!AL37=0,"",使用数!AL37)&amp;IF(CSV!AL37=0,"","("&amp;CSV!AL37&amp;")")</f>
        <v/>
      </c>
      <c r="AK44" s="11" t="str">
        <f>IF(CSV!AM37=0,"",使用数!AM37)&amp;IF(CSV!AM37=0,"","("&amp;CSV!AM37&amp;")")</f>
        <v/>
      </c>
    </row>
    <row r="45" spans="1:37" s="7" customFormat="1" ht="27" customHeight="1" x14ac:dyDescent="0.55000000000000004">
      <c r="A45" s="10"/>
      <c r="B45" s="8">
        <v>142016</v>
      </c>
      <c r="C45" s="9" t="str">
        <f>IF(CSV!F38&lt;&gt;0,CSV!F38,"")</f>
        <v/>
      </c>
      <c r="D45" s="8">
        <f>HLOOKUP("部品説明",CSV!$B$2:$CC$42,B45-141979,FALSE)</f>
        <v>0</v>
      </c>
      <c r="E45" s="8" t="str">
        <f>IF(CSV!G38=0,"",CSV!G38)</f>
        <v/>
      </c>
      <c r="F45" s="8">
        <f>CSV!$H38</f>
        <v>0</v>
      </c>
      <c r="G45" s="8" t="str">
        <f>IF(CSV!I38=0,"",使用数!I38)&amp;IF(CSV!I38=0,"","("&amp;CSV!I38&amp;")")</f>
        <v/>
      </c>
      <c r="H45" s="8" t="str">
        <f>IF(CSV!J38=0,"",使用数!J38)&amp;IF(CSV!J38=0,"","("&amp;CSV!J38&amp;")")</f>
        <v/>
      </c>
      <c r="I45" s="8" t="str">
        <f>IF(CSV!K38=0,"",使用数!K38)&amp;IF(CSV!K38=0,"","("&amp;CSV!K38&amp;")")</f>
        <v/>
      </c>
      <c r="J45" s="8" t="str">
        <f>IF(CSV!L38=0,"",使用数!L38)&amp;IF(CSV!L38=0,"","("&amp;CSV!L38&amp;")")</f>
        <v/>
      </c>
      <c r="K45" s="8" t="str">
        <f>IF(CSV!M38=0,"",使用数!M38)&amp;IF(CSV!M38=0,"","("&amp;CSV!M38&amp;")")</f>
        <v/>
      </c>
      <c r="L45" s="8" t="str">
        <f>IF(CSV!N38=0,"",使用数!N38)&amp;IF(CSV!N38=0,"","("&amp;CSV!N38&amp;")")</f>
        <v/>
      </c>
      <c r="M45" s="8" t="str">
        <f>IF(CSV!O38=0,"",使用数!O38)&amp;IF(CSV!O38=0,"","("&amp;CSV!O38&amp;")")</f>
        <v/>
      </c>
      <c r="N45" s="8" t="str">
        <f>IF(CSV!P38=0,"",使用数!P38)&amp;IF(CSV!P38=0,"","("&amp;CSV!P38&amp;")")</f>
        <v/>
      </c>
      <c r="O45" s="8" t="str">
        <f>IF(CSV!Q38=0,"",使用数!Q38)&amp;IF(CSV!Q38=0,"","("&amp;CSV!Q38&amp;")")</f>
        <v/>
      </c>
      <c r="P45" s="8" t="str">
        <f>IF(CSV!R38=0,"",使用数!R38)&amp;IF(CSV!R38=0,"","("&amp;CSV!R38&amp;")")</f>
        <v/>
      </c>
      <c r="Q45" s="8" t="str">
        <f>IF(CSV!S38=0,"",使用数!S38)&amp;IF(CSV!S38=0,"","("&amp;CSV!S38&amp;")")</f>
        <v/>
      </c>
      <c r="R45" s="8" t="str">
        <f>IF(CSV!T38=0,"",使用数!T38)&amp;IF(CSV!T38=0,"","("&amp;CSV!T38&amp;")")</f>
        <v/>
      </c>
      <c r="S45" s="8" t="str">
        <f>IF(CSV!U38=0,"",使用数!U38)&amp;IF(CSV!U38=0,"","("&amp;CSV!U38&amp;")")</f>
        <v/>
      </c>
      <c r="T45" s="8" t="str">
        <f>IF(CSV!V38=0,"",使用数!V38)&amp;IF(CSV!V38=0,"","("&amp;CSV!V38&amp;")")</f>
        <v/>
      </c>
      <c r="U45" s="8" t="str">
        <f>IF(CSV!W38=0,"",使用数!W38)&amp;IF(CSV!W38=0,"","("&amp;CSV!W38&amp;")")</f>
        <v/>
      </c>
      <c r="V45" s="8" t="str">
        <f>IF(CSV!X38=0,"",使用数!X38)&amp;IF(CSV!X38=0,"","("&amp;CSV!X38&amp;")")</f>
        <v/>
      </c>
      <c r="W45" s="8" t="str">
        <f>IF(CSV!Y38=0,"",使用数!Y38)&amp;IF(CSV!Y38=0,"","("&amp;CSV!Y38&amp;")")</f>
        <v/>
      </c>
      <c r="X45" s="8" t="str">
        <f>IF(CSV!Z38=0,"",使用数!Z38)&amp;IF(CSV!Z38=0,"","("&amp;CSV!Z38&amp;")")</f>
        <v/>
      </c>
      <c r="Y45" s="8" t="str">
        <f>IF(CSV!AA38=0,"",使用数!AA38)&amp;IF(CSV!AA38=0,"","("&amp;CSV!AA38&amp;")")</f>
        <v/>
      </c>
      <c r="Z45" s="8" t="str">
        <f>IF(CSV!AB38=0,"",使用数!AB38)&amp;IF(CSV!AB38=0,"","("&amp;CSV!AB38&amp;")")</f>
        <v/>
      </c>
      <c r="AA45" s="8" t="str">
        <f>IF(CSV!AC38=0,"",使用数!AC38)&amp;IF(CSV!AC38=0,"","("&amp;CSV!AC38&amp;")")</f>
        <v/>
      </c>
      <c r="AB45" s="8" t="str">
        <f>IF(CSV!AD38=0,"",使用数!AD38)&amp;IF(CSV!AD38=0,"","("&amp;CSV!AD38&amp;")")</f>
        <v/>
      </c>
      <c r="AC45" s="8" t="str">
        <f>IF(CSV!AE38=0,"",使用数!AE38)&amp;IF(CSV!AE38=0,"","("&amp;CSV!AE38&amp;")")</f>
        <v/>
      </c>
      <c r="AD45" s="8" t="str">
        <f>IF(CSV!AF38=0,"",使用数!AF38)&amp;IF(CSV!AF38=0,"","("&amp;CSV!AF38&amp;")")</f>
        <v/>
      </c>
      <c r="AE45" s="8" t="str">
        <f>IF(CSV!AG38=0,"",使用数!AG38)&amp;IF(CSV!AG38=0,"","("&amp;CSV!AG38&amp;")")</f>
        <v/>
      </c>
      <c r="AF45" s="8" t="str">
        <f>IF(CSV!AH38=0,"",使用数!AH38)&amp;IF(CSV!AH38=0,"","("&amp;CSV!AH38&amp;")")</f>
        <v/>
      </c>
      <c r="AG45" s="8" t="str">
        <f>IF(CSV!AI38=0,"",使用数!AI38)&amp;IF(CSV!AI38=0,"","("&amp;CSV!AI38&amp;")")</f>
        <v/>
      </c>
      <c r="AH45" s="8" t="str">
        <f>IF(CSV!AJ38=0,"",使用数!AJ38)&amp;IF(CSV!AJ38=0,"","("&amp;CSV!AJ38&amp;")")</f>
        <v/>
      </c>
      <c r="AI45" s="8" t="str">
        <f>IF(CSV!AK38=0,"",使用数!AK38)&amp;IF(CSV!AK38=0,"","("&amp;CSV!AK38&amp;")")</f>
        <v/>
      </c>
      <c r="AJ45" s="8" t="str">
        <f>IF(CSV!AL38=0,"",使用数!AL38)&amp;IF(CSV!AL38=0,"","("&amp;CSV!AL38&amp;")")</f>
        <v/>
      </c>
      <c r="AK45" s="8" t="str">
        <f>IF(CSV!AM38=0,"",使用数!AM38)&amp;IF(CSV!AM38=0,"","("&amp;CSV!AM38&amp;")")</f>
        <v/>
      </c>
    </row>
    <row r="46" spans="1:37" ht="27" customHeight="1" x14ac:dyDescent="0.55000000000000004">
      <c r="A46" s="12"/>
      <c r="B46" s="11">
        <v>142017</v>
      </c>
      <c r="C46" s="9" t="str">
        <f>IF(CSV!F39&lt;&gt;0,CSV!F39,"")</f>
        <v/>
      </c>
      <c r="D46" s="11">
        <f>HLOOKUP("部品説明",CSV!$B$2:$CC$42,B46-141979,FALSE)</f>
        <v>0</v>
      </c>
      <c r="E46" s="11" t="str">
        <f>IF(CSV!G39=0,"",CSV!G39)</f>
        <v/>
      </c>
      <c r="F46" s="11">
        <f>CSV!$H39</f>
        <v>0</v>
      </c>
      <c r="G46" s="11" t="str">
        <f>IF(CSV!I39=0,"",使用数!I39)&amp;IF(CSV!I39=0,"","("&amp;CSV!I39&amp;")")</f>
        <v/>
      </c>
      <c r="H46" s="11" t="str">
        <f>IF(CSV!J39=0,"",使用数!J39)&amp;IF(CSV!J39=0,"","("&amp;CSV!J39&amp;")")</f>
        <v/>
      </c>
      <c r="I46" s="11" t="str">
        <f>IF(CSV!K39=0,"",使用数!K39)&amp;IF(CSV!K39=0,"","("&amp;CSV!K39&amp;")")</f>
        <v/>
      </c>
      <c r="J46" s="11" t="str">
        <f>IF(CSV!L39=0,"",使用数!L39)&amp;IF(CSV!L39=0,"","("&amp;CSV!L39&amp;")")</f>
        <v/>
      </c>
      <c r="K46" s="11" t="str">
        <f>IF(CSV!M39=0,"",使用数!M39)&amp;IF(CSV!M39=0,"","("&amp;CSV!M39&amp;")")</f>
        <v/>
      </c>
      <c r="L46" s="11" t="str">
        <f>IF(CSV!N39=0,"",使用数!N39)&amp;IF(CSV!N39=0,"","("&amp;CSV!N39&amp;")")</f>
        <v/>
      </c>
      <c r="M46" s="11" t="str">
        <f>IF(CSV!O39=0,"",使用数!O39)&amp;IF(CSV!O39=0,"","("&amp;CSV!O39&amp;")")</f>
        <v/>
      </c>
      <c r="N46" s="11" t="str">
        <f>IF(CSV!P39=0,"",使用数!P39)&amp;IF(CSV!P39=0,"","("&amp;CSV!P39&amp;")")</f>
        <v/>
      </c>
      <c r="O46" s="11" t="str">
        <f>IF(CSV!Q39=0,"",使用数!Q39)&amp;IF(CSV!Q39=0,"","("&amp;CSV!Q39&amp;")")</f>
        <v/>
      </c>
      <c r="P46" s="11" t="str">
        <f>IF(CSV!R39=0,"",使用数!R39)&amp;IF(CSV!R39=0,"","("&amp;CSV!R39&amp;")")</f>
        <v/>
      </c>
      <c r="Q46" s="11" t="str">
        <f>IF(CSV!S39=0,"",使用数!S39)&amp;IF(CSV!S39=0,"","("&amp;CSV!S39&amp;")")</f>
        <v/>
      </c>
      <c r="R46" s="11" t="str">
        <f>IF(CSV!T39=0,"",使用数!T39)&amp;IF(CSV!T39=0,"","("&amp;CSV!T39&amp;")")</f>
        <v/>
      </c>
      <c r="S46" s="11" t="str">
        <f>IF(CSV!U39=0,"",使用数!U39)&amp;IF(CSV!U39=0,"","("&amp;CSV!U39&amp;")")</f>
        <v/>
      </c>
      <c r="T46" s="11" t="str">
        <f>IF(CSV!V39=0,"",使用数!V39)&amp;IF(CSV!V39=0,"","("&amp;CSV!V39&amp;")")</f>
        <v/>
      </c>
      <c r="U46" s="11" t="str">
        <f>IF(CSV!W39=0,"",使用数!W39)&amp;IF(CSV!W39=0,"","("&amp;CSV!W39&amp;")")</f>
        <v/>
      </c>
      <c r="V46" s="11" t="str">
        <f>IF(CSV!X39=0,"",使用数!X39)&amp;IF(CSV!X39=0,"","("&amp;CSV!X39&amp;")")</f>
        <v/>
      </c>
      <c r="W46" s="11" t="str">
        <f>IF(CSV!Y39=0,"",使用数!Y39)&amp;IF(CSV!Y39=0,"","("&amp;CSV!Y39&amp;")")</f>
        <v/>
      </c>
      <c r="X46" s="11" t="str">
        <f>IF(CSV!Z39=0,"",使用数!Z39)&amp;IF(CSV!Z39=0,"","("&amp;CSV!Z39&amp;")")</f>
        <v/>
      </c>
      <c r="Y46" s="11" t="str">
        <f>IF(CSV!AA39=0,"",使用数!AA39)&amp;IF(CSV!AA39=0,"","("&amp;CSV!AA39&amp;")")</f>
        <v/>
      </c>
      <c r="Z46" s="11" t="str">
        <f>IF(CSV!AB39=0,"",使用数!AB39)&amp;IF(CSV!AB39=0,"","("&amp;CSV!AB39&amp;")")</f>
        <v/>
      </c>
      <c r="AA46" s="11" t="str">
        <f>IF(CSV!AC39=0,"",使用数!AC39)&amp;IF(CSV!AC39=0,"","("&amp;CSV!AC39&amp;")")</f>
        <v/>
      </c>
      <c r="AB46" s="11" t="str">
        <f>IF(CSV!AD39=0,"",使用数!AD39)&amp;IF(CSV!AD39=0,"","("&amp;CSV!AD39&amp;")")</f>
        <v/>
      </c>
      <c r="AC46" s="11" t="str">
        <f>IF(CSV!AE39=0,"",使用数!AE39)&amp;IF(CSV!AE39=0,"","("&amp;CSV!AE39&amp;")")</f>
        <v/>
      </c>
      <c r="AD46" s="11" t="str">
        <f>IF(CSV!AF39=0,"",使用数!AF39)&amp;IF(CSV!AF39=0,"","("&amp;CSV!AF39&amp;")")</f>
        <v/>
      </c>
      <c r="AE46" s="11" t="str">
        <f>IF(CSV!AG39=0,"",使用数!AG39)&amp;IF(CSV!AG39=0,"","("&amp;CSV!AG39&amp;")")</f>
        <v/>
      </c>
      <c r="AF46" s="11" t="str">
        <f>IF(CSV!AH39=0,"",使用数!AH39)&amp;IF(CSV!AH39=0,"","("&amp;CSV!AH39&amp;")")</f>
        <v/>
      </c>
      <c r="AG46" s="11" t="str">
        <f>IF(CSV!AI39=0,"",使用数!AI39)&amp;IF(CSV!AI39=0,"","("&amp;CSV!AI39&amp;")")</f>
        <v/>
      </c>
      <c r="AH46" s="11" t="str">
        <f>IF(CSV!AJ39=0,"",使用数!AJ39)&amp;IF(CSV!AJ39=0,"","("&amp;CSV!AJ39&amp;")")</f>
        <v/>
      </c>
      <c r="AI46" s="11" t="str">
        <f>IF(CSV!AK39=0,"",使用数!AK39)&amp;IF(CSV!AK39=0,"","("&amp;CSV!AK39&amp;")")</f>
        <v/>
      </c>
      <c r="AJ46" s="11" t="str">
        <f>IF(CSV!AL39=0,"",使用数!AL39)&amp;IF(CSV!AL39=0,"","("&amp;CSV!AL39&amp;")")</f>
        <v/>
      </c>
      <c r="AK46" s="11" t="str">
        <f>IF(CSV!AM39=0,"",使用数!AM39)&amp;IF(CSV!AM39=0,"","("&amp;CSV!AM39&amp;")")</f>
        <v/>
      </c>
    </row>
    <row r="47" spans="1:37" s="7" customFormat="1" ht="27" customHeight="1" x14ac:dyDescent="0.55000000000000004">
      <c r="A47" s="10"/>
      <c r="B47" s="8">
        <v>142018</v>
      </c>
      <c r="C47" s="9" t="str">
        <f>IF(CSV!F40&lt;&gt;0,CSV!F40,"")</f>
        <v/>
      </c>
      <c r="D47" s="8">
        <f>HLOOKUP("部品説明",CSV!$B$2:$CC$42,B47-141979,FALSE)</f>
        <v>0</v>
      </c>
      <c r="E47" s="8" t="str">
        <f>IF(CSV!G40=0,"",CSV!G40)</f>
        <v/>
      </c>
      <c r="F47" s="8">
        <f>CSV!$H40</f>
        <v>0</v>
      </c>
      <c r="G47" s="8" t="str">
        <f>IF(CSV!I40=0,"",使用数!I40)&amp;IF(CSV!I40=0,"","("&amp;CSV!I40&amp;")")</f>
        <v/>
      </c>
      <c r="H47" s="8" t="str">
        <f>IF(CSV!J40=0,"",使用数!J40)&amp;IF(CSV!J40=0,"","("&amp;CSV!J40&amp;")")</f>
        <v/>
      </c>
      <c r="I47" s="8" t="str">
        <f>IF(CSV!K40=0,"",使用数!K40)&amp;IF(CSV!K40=0,"","("&amp;CSV!K40&amp;")")</f>
        <v/>
      </c>
      <c r="J47" s="8" t="str">
        <f>IF(CSV!L40=0,"",使用数!L40)&amp;IF(CSV!L40=0,"","("&amp;CSV!L40&amp;")")</f>
        <v/>
      </c>
      <c r="K47" s="8" t="str">
        <f>IF(CSV!M40=0,"",使用数!M40)&amp;IF(CSV!M40=0,"","("&amp;CSV!M40&amp;")")</f>
        <v/>
      </c>
      <c r="L47" s="8" t="str">
        <f>IF(CSV!N40=0,"",使用数!N40)&amp;IF(CSV!N40=0,"","("&amp;CSV!N40&amp;")")</f>
        <v/>
      </c>
      <c r="M47" s="8" t="str">
        <f>IF(CSV!O40=0,"",使用数!O40)&amp;IF(CSV!O40=0,"","("&amp;CSV!O40&amp;")")</f>
        <v/>
      </c>
      <c r="N47" s="8" t="str">
        <f>IF(CSV!P40=0,"",使用数!P40)&amp;IF(CSV!P40=0,"","("&amp;CSV!P40&amp;")")</f>
        <v/>
      </c>
      <c r="O47" s="8" t="str">
        <f>IF(CSV!Q40=0,"",使用数!Q40)&amp;IF(CSV!Q40=0,"","("&amp;CSV!Q40&amp;")")</f>
        <v/>
      </c>
      <c r="P47" s="8" t="str">
        <f>IF(CSV!R40=0,"",使用数!R40)&amp;IF(CSV!R40=0,"","("&amp;CSV!R40&amp;")")</f>
        <v/>
      </c>
      <c r="Q47" s="8" t="str">
        <f>IF(CSV!S40=0,"",使用数!S40)&amp;IF(CSV!S40=0,"","("&amp;CSV!S40&amp;")")</f>
        <v/>
      </c>
      <c r="R47" s="8" t="str">
        <f>IF(CSV!T40=0,"",使用数!T40)&amp;IF(CSV!T40=0,"","("&amp;CSV!T40&amp;")")</f>
        <v/>
      </c>
      <c r="S47" s="8" t="str">
        <f>IF(CSV!U40=0,"",使用数!U40)&amp;IF(CSV!U40=0,"","("&amp;CSV!U40&amp;")")</f>
        <v/>
      </c>
      <c r="T47" s="8" t="str">
        <f>IF(CSV!V40=0,"",使用数!V40)&amp;IF(CSV!V40=0,"","("&amp;CSV!V40&amp;")")</f>
        <v/>
      </c>
      <c r="U47" s="8" t="str">
        <f>IF(CSV!W40=0,"",使用数!W40)&amp;IF(CSV!W40=0,"","("&amp;CSV!W40&amp;")")</f>
        <v/>
      </c>
      <c r="V47" s="8" t="str">
        <f>IF(CSV!X40=0,"",使用数!X40)&amp;IF(CSV!X40=0,"","("&amp;CSV!X40&amp;")")</f>
        <v/>
      </c>
      <c r="W47" s="8" t="str">
        <f>IF(CSV!Y40=0,"",使用数!Y40)&amp;IF(CSV!Y40=0,"","("&amp;CSV!Y40&amp;")")</f>
        <v/>
      </c>
      <c r="X47" s="8" t="str">
        <f>IF(CSV!Z40=0,"",使用数!Z40)&amp;IF(CSV!Z40=0,"","("&amp;CSV!Z40&amp;")")</f>
        <v/>
      </c>
      <c r="Y47" s="8" t="str">
        <f>IF(CSV!AA40=0,"",使用数!AA40)&amp;IF(CSV!AA40=0,"","("&amp;CSV!AA40&amp;")")</f>
        <v/>
      </c>
      <c r="Z47" s="8" t="str">
        <f>IF(CSV!AB40=0,"",使用数!AB40)&amp;IF(CSV!AB40=0,"","("&amp;CSV!AB40&amp;")")</f>
        <v/>
      </c>
      <c r="AA47" s="8" t="str">
        <f>IF(CSV!AC40=0,"",使用数!AC40)&amp;IF(CSV!AC40=0,"","("&amp;CSV!AC40&amp;")")</f>
        <v/>
      </c>
      <c r="AB47" s="8" t="str">
        <f>IF(CSV!AD40=0,"",使用数!AD40)&amp;IF(CSV!AD40=0,"","("&amp;CSV!AD40&amp;")")</f>
        <v/>
      </c>
      <c r="AC47" s="8" t="str">
        <f>IF(CSV!AE40=0,"",使用数!AE40)&amp;IF(CSV!AE40=0,"","("&amp;CSV!AE40&amp;")")</f>
        <v/>
      </c>
      <c r="AD47" s="8" t="str">
        <f>IF(CSV!AF40=0,"",使用数!AF40)&amp;IF(CSV!AF40=0,"","("&amp;CSV!AF40&amp;")")</f>
        <v/>
      </c>
      <c r="AE47" s="8" t="str">
        <f>IF(CSV!AG40=0,"",使用数!AG40)&amp;IF(CSV!AG40=0,"","("&amp;CSV!AG40&amp;")")</f>
        <v/>
      </c>
      <c r="AF47" s="8" t="str">
        <f>IF(CSV!AH40=0,"",使用数!AH40)&amp;IF(CSV!AH40=0,"","("&amp;CSV!AH40&amp;")")</f>
        <v/>
      </c>
      <c r="AG47" s="8" t="str">
        <f>IF(CSV!AI40=0,"",使用数!AI40)&amp;IF(CSV!AI40=0,"","("&amp;CSV!AI40&amp;")")</f>
        <v/>
      </c>
      <c r="AH47" s="8" t="str">
        <f>IF(CSV!AJ40=0,"",使用数!AJ40)&amp;IF(CSV!AJ40=0,"","("&amp;CSV!AJ40&amp;")")</f>
        <v/>
      </c>
      <c r="AI47" s="8" t="str">
        <f>IF(CSV!AK40=0,"",使用数!AK40)&amp;IF(CSV!AK40=0,"","("&amp;CSV!AK40&amp;")")</f>
        <v/>
      </c>
      <c r="AJ47" s="8" t="str">
        <f>IF(CSV!AL40=0,"",使用数!AL40)&amp;IF(CSV!AL40=0,"","("&amp;CSV!AL40&amp;")")</f>
        <v/>
      </c>
      <c r="AK47" s="8" t="str">
        <f>IF(CSV!AM40=0,"",使用数!AM40)&amp;IF(CSV!AM40=0,"","("&amp;CSV!AM40&amp;")")</f>
        <v/>
      </c>
    </row>
    <row r="48" spans="1:37" ht="27" customHeight="1" x14ac:dyDescent="0.55000000000000004">
      <c r="A48" s="12"/>
      <c r="B48" s="11">
        <v>142019</v>
      </c>
      <c r="C48" s="9" t="str">
        <f>IF(CSV!F41&lt;&gt;0,CSV!F41,"")</f>
        <v/>
      </c>
      <c r="D48" s="11">
        <f>HLOOKUP("部品説明",CSV!$B$2:$CC$42,B48-141979,FALSE)</f>
        <v>0</v>
      </c>
      <c r="E48" s="11" t="str">
        <f>IF(CSV!G41=0,"",CSV!G41)</f>
        <v/>
      </c>
      <c r="F48" s="11">
        <f>CSV!$H41</f>
        <v>0</v>
      </c>
      <c r="G48" s="11" t="str">
        <f>IF(CSV!I41=0,"",使用数!I41)&amp;IF(CSV!I41=0,"","("&amp;CSV!I41&amp;")")</f>
        <v/>
      </c>
      <c r="H48" s="11" t="str">
        <f>IF(CSV!J41=0,"",使用数!J41)&amp;IF(CSV!J41=0,"","("&amp;CSV!J41&amp;")")</f>
        <v/>
      </c>
      <c r="I48" s="11" t="str">
        <f>IF(CSV!K41=0,"",使用数!K41)&amp;IF(CSV!K41=0,"","("&amp;CSV!K41&amp;")")</f>
        <v/>
      </c>
      <c r="J48" s="11" t="str">
        <f>IF(CSV!L41=0,"",使用数!L41)&amp;IF(CSV!L41=0,"","("&amp;CSV!L41&amp;")")</f>
        <v/>
      </c>
      <c r="K48" s="11" t="str">
        <f>IF(CSV!M41=0,"",使用数!M41)&amp;IF(CSV!M41=0,"","("&amp;CSV!M41&amp;")")</f>
        <v/>
      </c>
      <c r="L48" s="11" t="str">
        <f>IF(CSV!N41=0,"",使用数!N41)&amp;IF(CSV!N41=0,"","("&amp;CSV!N41&amp;")")</f>
        <v/>
      </c>
      <c r="M48" s="11" t="str">
        <f>IF(CSV!O41=0,"",使用数!O41)&amp;IF(CSV!O41=0,"","("&amp;CSV!O41&amp;")")</f>
        <v/>
      </c>
      <c r="N48" s="11" t="str">
        <f>IF(CSV!P41=0,"",使用数!P41)&amp;IF(CSV!P41=0,"","("&amp;CSV!P41&amp;")")</f>
        <v/>
      </c>
      <c r="O48" s="11" t="str">
        <f>IF(CSV!Q41=0,"",使用数!Q41)&amp;IF(CSV!Q41=0,"","("&amp;CSV!Q41&amp;")")</f>
        <v/>
      </c>
      <c r="P48" s="11" t="str">
        <f>IF(CSV!R41=0,"",使用数!R41)&amp;IF(CSV!R41=0,"","("&amp;CSV!R41&amp;")")</f>
        <v/>
      </c>
      <c r="Q48" s="11" t="str">
        <f>IF(CSV!S41=0,"",使用数!S41)&amp;IF(CSV!S41=0,"","("&amp;CSV!S41&amp;")")</f>
        <v/>
      </c>
      <c r="R48" s="11" t="str">
        <f>IF(CSV!T41=0,"",使用数!T41)&amp;IF(CSV!T41=0,"","("&amp;CSV!T41&amp;")")</f>
        <v/>
      </c>
      <c r="S48" s="11" t="str">
        <f>IF(CSV!U41=0,"",使用数!U41)&amp;IF(CSV!U41=0,"","("&amp;CSV!U41&amp;")")</f>
        <v/>
      </c>
      <c r="T48" s="11" t="str">
        <f>IF(CSV!V41=0,"",使用数!V41)&amp;IF(CSV!V41=0,"","("&amp;CSV!V41&amp;")")</f>
        <v/>
      </c>
      <c r="U48" s="11" t="str">
        <f>IF(CSV!W41=0,"",使用数!W41)&amp;IF(CSV!W41=0,"","("&amp;CSV!W41&amp;")")</f>
        <v/>
      </c>
      <c r="V48" s="11" t="str">
        <f>IF(CSV!X41=0,"",使用数!X41)&amp;IF(CSV!X41=0,"","("&amp;CSV!X41&amp;")")</f>
        <v/>
      </c>
      <c r="W48" s="11" t="str">
        <f>IF(CSV!Y41=0,"",使用数!Y41)&amp;IF(CSV!Y41=0,"","("&amp;CSV!Y41&amp;")")</f>
        <v/>
      </c>
      <c r="X48" s="11" t="str">
        <f>IF(CSV!Z41=0,"",使用数!Z41)&amp;IF(CSV!Z41=0,"","("&amp;CSV!Z41&amp;")")</f>
        <v/>
      </c>
      <c r="Y48" s="11" t="str">
        <f>IF(CSV!AA41=0,"",使用数!AA41)&amp;IF(CSV!AA41=0,"","("&amp;CSV!AA41&amp;")")</f>
        <v/>
      </c>
      <c r="Z48" s="11" t="str">
        <f>IF(CSV!AB41=0,"",使用数!AB41)&amp;IF(CSV!AB41=0,"","("&amp;CSV!AB41&amp;")")</f>
        <v/>
      </c>
      <c r="AA48" s="11" t="str">
        <f>IF(CSV!AC41=0,"",使用数!AC41)&amp;IF(CSV!AC41=0,"","("&amp;CSV!AC41&amp;")")</f>
        <v/>
      </c>
      <c r="AB48" s="11" t="str">
        <f>IF(CSV!AD41=0,"",使用数!AD41)&amp;IF(CSV!AD41=0,"","("&amp;CSV!AD41&amp;")")</f>
        <v/>
      </c>
      <c r="AC48" s="11" t="str">
        <f>IF(CSV!AE41=0,"",使用数!AE41)&amp;IF(CSV!AE41=0,"","("&amp;CSV!AE41&amp;")")</f>
        <v/>
      </c>
      <c r="AD48" s="11" t="str">
        <f>IF(CSV!AF41=0,"",使用数!AF41)&amp;IF(CSV!AF41=0,"","("&amp;CSV!AF41&amp;")")</f>
        <v/>
      </c>
      <c r="AE48" s="11" t="str">
        <f>IF(CSV!AG41=0,"",使用数!AG41)&amp;IF(CSV!AG41=0,"","("&amp;CSV!AG41&amp;")")</f>
        <v/>
      </c>
      <c r="AF48" s="11" t="str">
        <f>IF(CSV!AH41=0,"",使用数!AH41)&amp;IF(CSV!AH41=0,"","("&amp;CSV!AH41&amp;")")</f>
        <v/>
      </c>
      <c r="AG48" s="11" t="str">
        <f>IF(CSV!AI41=0,"",使用数!AI41)&amp;IF(CSV!AI41=0,"","("&amp;CSV!AI41&amp;")")</f>
        <v/>
      </c>
      <c r="AH48" s="11" t="str">
        <f>IF(CSV!AJ41=0,"",使用数!AJ41)&amp;IF(CSV!AJ41=0,"","("&amp;CSV!AJ41&amp;")")</f>
        <v/>
      </c>
      <c r="AI48" s="11" t="str">
        <f>IF(CSV!AK41=0,"",使用数!AK41)&amp;IF(CSV!AK41=0,"","("&amp;CSV!AK41&amp;")")</f>
        <v/>
      </c>
      <c r="AJ48" s="11" t="str">
        <f>IF(CSV!AL41=0,"",使用数!AL41)&amp;IF(CSV!AL41=0,"","("&amp;CSV!AL41&amp;")")</f>
        <v/>
      </c>
      <c r="AK48" s="11" t="str">
        <f>IF(CSV!AM41=0,"",使用数!AM41)&amp;IF(CSV!AM41=0,"","("&amp;CSV!AM41&amp;")")</f>
        <v/>
      </c>
    </row>
    <row r="49" spans="1:37" s="7" customFormat="1" ht="27" customHeight="1" x14ac:dyDescent="0.55000000000000004">
      <c r="A49" s="10"/>
      <c r="B49" s="8">
        <v>142020</v>
      </c>
      <c r="C49" s="9" t="str">
        <f>IF(CSV!F42&lt;&gt;0,CSV!F42,"")</f>
        <v/>
      </c>
      <c r="D49" s="8">
        <f>HLOOKUP("部品説明",CSV!$B$2:$CC$42,B49-141979,FALSE)</f>
        <v>0</v>
      </c>
      <c r="E49" s="8" t="str">
        <f>IF(CSV!G42=0,"",CSV!G42)</f>
        <v/>
      </c>
      <c r="F49" s="8">
        <f>CSV!$H42</f>
        <v>0</v>
      </c>
      <c r="G49" s="8" t="str">
        <f>IF(CSV!I42=0,"",使用数!I42)&amp;IF(CSV!I42=0,"","("&amp;CSV!I42&amp;")")</f>
        <v/>
      </c>
      <c r="H49" s="8" t="str">
        <f>IF(CSV!J42=0,"",使用数!J42)&amp;IF(CSV!J42=0,"","("&amp;CSV!J42&amp;")")</f>
        <v/>
      </c>
      <c r="I49" s="8" t="str">
        <f>IF(CSV!K42=0,"",使用数!K42)&amp;IF(CSV!K42=0,"","("&amp;CSV!K42&amp;")")</f>
        <v/>
      </c>
      <c r="J49" s="8" t="str">
        <f>IF(CSV!L42=0,"",使用数!L42)&amp;IF(CSV!L42=0,"","("&amp;CSV!L42&amp;")")</f>
        <v/>
      </c>
      <c r="K49" s="8" t="str">
        <f>IF(CSV!M42=0,"",使用数!M42)&amp;IF(CSV!M42=0,"","("&amp;CSV!M42&amp;")")</f>
        <v/>
      </c>
      <c r="L49" s="8" t="str">
        <f>IF(CSV!N42=0,"",使用数!N42)&amp;IF(CSV!N42=0,"","("&amp;CSV!N42&amp;")")</f>
        <v/>
      </c>
      <c r="M49" s="8" t="str">
        <f>IF(CSV!O42=0,"",使用数!O42)&amp;IF(CSV!O42=0,"","("&amp;CSV!O42&amp;")")</f>
        <v/>
      </c>
      <c r="N49" s="8" t="str">
        <f>IF(CSV!P42=0,"",使用数!P42)&amp;IF(CSV!P42=0,"","("&amp;CSV!P42&amp;")")</f>
        <v/>
      </c>
      <c r="O49" s="8" t="str">
        <f>IF(CSV!Q42=0,"",使用数!Q42)&amp;IF(CSV!Q42=0,"","("&amp;CSV!Q42&amp;")")</f>
        <v/>
      </c>
      <c r="P49" s="8" t="str">
        <f>IF(CSV!R42=0,"",使用数!R42)&amp;IF(CSV!R42=0,"","("&amp;CSV!R42&amp;")")</f>
        <v/>
      </c>
      <c r="Q49" s="8" t="str">
        <f>IF(CSV!S42=0,"",使用数!S42)&amp;IF(CSV!S42=0,"","("&amp;CSV!S42&amp;")")</f>
        <v/>
      </c>
      <c r="R49" s="8" t="str">
        <f>IF(CSV!T42=0,"",使用数!T42)&amp;IF(CSV!T42=0,"","("&amp;CSV!T42&amp;")")</f>
        <v/>
      </c>
      <c r="S49" s="8" t="str">
        <f>IF(CSV!U42=0,"",使用数!U42)&amp;IF(CSV!U42=0,"","("&amp;CSV!U42&amp;")")</f>
        <v/>
      </c>
      <c r="T49" s="8" t="str">
        <f>IF(CSV!V42=0,"",使用数!V42)&amp;IF(CSV!V42=0,"","("&amp;CSV!V42&amp;")")</f>
        <v/>
      </c>
      <c r="U49" s="8" t="str">
        <f>IF(CSV!W42=0,"",使用数!W42)&amp;IF(CSV!W42=0,"","("&amp;CSV!W42&amp;")")</f>
        <v/>
      </c>
      <c r="V49" s="8" t="str">
        <f>IF(CSV!X42=0,"",使用数!X42)&amp;IF(CSV!X42=0,"","("&amp;CSV!X42&amp;")")</f>
        <v/>
      </c>
      <c r="W49" s="8" t="str">
        <f>IF(CSV!Y42=0,"",使用数!Y42)&amp;IF(CSV!Y42=0,"","("&amp;CSV!Y42&amp;")")</f>
        <v/>
      </c>
      <c r="X49" s="8" t="str">
        <f>IF(CSV!Z42=0,"",使用数!Z42)&amp;IF(CSV!Z42=0,"","("&amp;CSV!Z42&amp;")")</f>
        <v/>
      </c>
      <c r="Y49" s="8" t="str">
        <f>IF(CSV!AA42=0,"",使用数!AA42)&amp;IF(CSV!AA42=0,"","("&amp;CSV!AA42&amp;")")</f>
        <v/>
      </c>
      <c r="Z49" s="8" t="str">
        <f>IF(CSV!AB42=0,"",使用数!AB42)&amp;IF(CSV!AB42=0,"","("&amp;CSV!AB42&amp;")")</f>
        <v/>
      </c>
      <c r="AA49" s="8" t="str">
        <f>IF(CSV!AC42=0,"",使用数!AC42)&amp;IF(CSV!AC42=0,"","("&amp;CSV!AC42&amp;")")</f>
        <v/>
      </c>
      <c r="AB49" s="8" t="str">
        <f>IF(CSV!AD42=0,"",使用数!AD42)&amp;IF(CSV!AD42=0,"","("&amp;CSV!AD42&amp;")")</f>
        <v/>
      </c>
      <c r="AC49" s="8" t="str">
        <f>IF(CSV!AE42=0,"",使用数!AE42)&amp;IF(CSV!AE42=0,"","("&amp;CSV!AE42&amp;")")</f>
        <v/>
      </c>
      <c r="AD49" s="8" t="str">
        <f>IF(CSV!AF42=0,"",使用数!AF42)&amp;IF(CSV!AF42=0,"","("&amp;CSV!AF42&amp;")")</f>
        <v/>
      </c>
      <c r="AE49" s="8" t="str">
        <f>IF(CSV!AG42=0,"",使用数!AG42)&amp;IF(CSV!AG42=0,"","("&amp;CSV!AG42&amp;")")</f>
        <v/>
      </c>
      <c r="AF49" s="8" t="str">
        <f>IF(CSV!AH42=0,"",使用数!AH42)&amp;IF(CSV!AH42=0,"","("&amp;CSV!AH42&amp;")")</f>
        <v/>
      </c>
      <c r="AG49" s="8" t="str">
        <f>IF(CSV!AI42=0,"",使用数!AI42)&amp;IF(CSV!AI42=0,"","("&amp;CSV!AI42&amp;")")</f>
        <v/>
      </c>
      <c r="AH49" s="8" t="str">
        <f>IF(CSV!AJ42=0,"",使用数!AJ42)&amp;IF(CSV!AJ42=0,"","("&amp;CSV!AJ42&amp;")")</f>
        <v/>
      </c>
      <c r="AI49" s="8" t="str">
        <f>IF(CSV!AK42=0,"",使用数!AK42)&amp;IF(CSV!AK42=0,"","("&amp;CSV!AK42&amp;")")</f>
        <v/>
      </c>
      <c r="AJ49" s="8" t="str">
        <f>IF(CSV!AL42=0,"",使用数!AL42)&amp;IF(CSV!AL42=0,"","("&amp;CSV!AL42&amp;")")</f>
        <v/>
      </c>
      <c r="AK49" s="8" t="str">
        <f>IF(CSV!AM42=0,"",使用数!AM42)&amp;IF(CSV!AM42=0,"","("&amp;CSV!AM42&amp;")")</f>
        <v/>
      </c>
    </row>
    <row r="50" spans="1:37" x14ac:dyDescent="0.55000000000000004">
      <c r="A50" s="6"/>
    </row>
  </sheetData>
  <mergeCells count="2">
    <mergeCell ref="A2:D3"/>
    <mergeCell ref="A26:D27"/>
  </mergeCells>
  <phoneticPr fontId="1"/>
  <printOptions horizontalCentered="1" verticalCentered="1"/>
  <pageMargins left="0.39370078740157483" right="0.39370078740157483" top="0.19685039370078741" bottom="0.23622047244094491" header="0.19685039370078741" footer="0.19685039370078741"/>
  <pageSetup paperSize="9" scale="57" fitToHeight="0" orientation="landscape" r:id="rId1"/>
  <headerFooter alignWithMargins="0"/>
  <rowBreaks count="1" manualBreakCount="1">
    <brk id="2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96F24-929D-48C9-A180-9C08FBBB060E}">
  <sheetPr codeName="Sheet_Tray1a">
    <tabColor indexed="17"/>
    <pageSetUpPr fitToPage="1"/>
  </sheetPr>
  <dimension ref="A1:AK26"/>
  <sheetViews>
    <sheetView view="pageBreakPreview" zoomScale="55" zoomScaleNormal="75" zoomScaleSheetLayoutView="55" workbookViewId="0">
      <selection activeCell="D15" sqref="D15"/>
    </sheetView>
  </sheetViews>
  <sheetFormatPr defaultColWidth="9" defaultRowHeight="18" x14ac:dyDescent="0.55000000000000004"/>
  <cols>
    <col min="1" max="1" width="9.58203125" style="3" customWidth="1"/>
    <col min="2" max="2" width="14" style="5" customWidth="1"/>
    <col min="3" max="3" width="17.83203125" style="3" bestFit="1" customWidth="1"/>
    <col min="4" max="4" width="60.58203125" style="3" customWidth="1"/>
    <col min="5" max="5" width="7.5" style="3" bestFit="1" customWidth="1"/>
    <col min="6" max="6" width="9.25" style="3" bestFit="1" customWidth="1"/>
    <col min="7" max="16" width="17.5" style="3" customWidth="1"/>
    <col min="17" max="37" width="17.5" style="4" customWidth="1"/>
    <col min="38" max="16384" width="9" style="3"/>
  </cols>
  <sheetData>
    <row r="1" spans="1:37" ht="27" customHeight="1" x14ac:dyDescent="0.55000000000000004">
      <c r="B1" s="4" t="s">
        <v>11</v>
      </c>
      <c r="D1" s="63" t="s">
        <v>49</v>
      </c>
      <c r="E1" s="20" t="s">
        <v>11</v>
      </c>
    </row>
    <row r="2" spans="1:37" ht="35.15" customHeight="1" x14ac:dyDescent="0.55000000000000004">
      <c r="A2" s="123"/>
      <c r="B2" s="124"/>
      <c r="C2" s="124"/>
      <c r="D2" s="125"/>
      <c r="E2" s="19" t="s">
        <v>10</v>
      </c>
      <c r="F2" s="12"/>
      <c r="G2" s="16">
        <f>台数入力!I$3</f>
        <v>24</v>
      </c>
      <c r="H2" s="16">
        <f>台数入力!J$3</f>
        <v>192</v>
      </c>
      <c r="I2" s="16">
        <f>台数入力!K$3</f>
        <v>48</v>
      </c>
      <c r="J2" s="16">
        <f>台数入力!L$3</f>
        <v>48</v>
      </c>
      <c r="K2" s="16">
        <f>台数入力!M$3</f>
        <v>144</v>
      </c>
      <c r="L2" s="16">
        <f>台数入力!N$3</f>
        <v>144</v>
      </c>
      <c r="M2" s="16">
        <f>台数入力!O$3</f>
        <v>168</v>
      </c>
      <c r="N2" s="16">
        <f>台数入力!P$3</f>
        <v>168</v>
      </c>
      <c r="O2" s="16">
        <f>台数入力!Q$3</f>
        <v>48</v>
      </c>
      <c r="P2" s="16">
        <f>台数入力!R$3</f>
        <v>24</v>
      </c>
      <c r="Q2" s="16">
        <f>台数入力!S$3</f>
        <v>1</v>
      </c>
      <c r="R2" s="16">
        <f>台数入力!T$3</f>
        <v>1</v>
      </c>
      <c r="S2" s="16">
        <f>台数入力!U$3</f>
        <v>1</v>
      </c>
      <c r="T2" s="16">
        <f>台数入力!V$3</f>
        <v>1</v>
      </c>
      <c r="U2" s="16">
        <f>台数入力!W$3</f>
        <v>1</v>
      </c>
      <c r="V2" s="16">
        <f>台数入力!X$3</f>
        <v>96</v>
      </c>
      <c r="W2" s="16">
        <f>台数入力!Y$3</f>
        <v>96</v>
      </c>
      <c r="X2" s="16">
        <f>台数入力!Z$3</f>
        <v>96</v>
      </c>
      <c r="Y2" s="16">
        <f>台数入力!AA$3</f>
        <v>96</v>
      </c>
      <c r="Z2" s="16">
        <f>台数入力!AB$3</f>
        <v>12</v>
      </c>
      <c r="AA2" s="16">
        <f>台数入力!AC$3</f>
        <v>96</v>
      </c>
      <c r="AB2" s="16">
        <f>台数入力!AD$3</f>
        <v>96</v>
      </c>
      <c r="AC2" s="16">
        <f>台数入力!AE$3</f>
        <v>1</v>
      </c>
      <c r="AD2" s="16">
        <f>台数入力!AF$3</f>
        <v>1</v>
      </c>
      <c r="AE2" s="16">
        <f>台数入力!AG$3</f>
        <v>1</v>
      </c>
      <c r="AF2" s="16">
        <f>台数入力!AH$3</f>
        <v>1</v>
      </c>
      <c r="AG2" s="16">
        <f>台数入力!AI$3</f>
        <v>1</v>
      </c>
      <c r="AH2" s="16">
        <f>台数入力!AJ$3</f>
        <v>1</v>
      </c>
      <c r="AI2" s="16">
        <f>台数入力!AK$3</f>
        <v>1</v>
      </c>
      <c r="AJ2" s="16">
        <f>台数入力!AL$3</f>
        <v>1</v>
      </c>
      <c r="AK2" s="16">
        <f>台数入力!AM$3</f>
        <v>1</v>
      </c>
    </row>
    <row r="3" spans="1:37" ht="35.15" customHeight="1" x14ac:dyDescent="0.55000000000000004">
      <c r="A3" s="126"/>
      <c r="B3" s="127"/>
      <c r="C3" s="127"/>
      <c r="D3" s="128"/>
      <c r="E3" s="19" t="s">
        <v>9</v>
      </c>
      <c r="F3" s="12"/>
      <c r="G3" s="16">
        <f>台数入力!I$4</f>
        <v>1</v>
      </c>
      <c r="H3" s="16">
        <f>台数入力!J$4</f>
        <v>2</v>
      </c>
      <c r="I3" s="16">
        <f>台数入力!K$4</f>
        <v>2</v>
      </c>
      <c r="J3" s="16">
        <f>台数入力!L$4</f>
        <v>2</v>
      </c>
      <c r="K3" s="16">
        <f>台数入力!M$4</f>
        <v>2</v>
      </c>
      <c r="L3" s="16">
        <f>台数入力!N$4</f>
        <v>2</v>
      </c>
      <c r="M3" s="16">
        <f>台数入力!O$4</f>
        <v>2</v>
      </c>
      <c r="N3" s="16">
        <f>台数入力!P$4</f>
        <v>2</v>
      </c>
      <c r="O3" s="16">
        <f>台数入力!Q$4</f>
        <v>2</v>
      </c>
      <c r="P3" s="16">
        <f>台数入力!R$4</f>
        <v>1</v>
      </c>
      <c r="Q3" s="16">
        <f>台数入力!S$4</f>
        <v>1</v>
      </c>
      <c r="R3" s="16">
        <f>台数入力!T$4</f>
        <v>1</v>
      </c>
      <c r="S3" s="16">
        <f>台数入力!U$4</f>
        <v>1</v>
      </c>
      <c r="T3" s="16">
        <f>台数入力!V$4</f>
        <v>1</v>
      </c>
      <c r="U3" s="16">
        <f>台数入力!W$4</f>
        <v>1</v>
      </c>
      <c r="V3" s="16">
        <f>台数入力!X$4</f>
        <v>2</v>
      </c>
      <c r="W3" s="16">
        <f>台数入力!Y$4</f>
        <v>2</v>
      </c>
      <c r="X3" s="16">
        <f>台数入力!Z$4</f>
        <v>2</v>
      </c>
      <c r="Y3" s="16">
        <f>台数入力!AA$4</f>
        <v>2</v>
      </c>
      <c r="Z3" s="16">
        <f>台数入力!AB$4</f>
        <v>1</v>
      </c>
      <c r="AA3" s="16">
        <f>台数入力!AC$4</f>
        <v>2</v>
      </c>
      <c r="AB3" s="16">
        <f>台数入力!AD$4</f>
        <v>2</v>
      </c>
      <c r="AC3" s="16">
        <f>台数入力!AE$4</f>
        <v>1</v>
      </c>
      <c r="AD3" s="16">
        <f>台数入力!AF$4</f>
        <v>1</v>
      </c>
      <c r="AE3" s="16">
        <f>台数入力!AG$4</f>
        <v>1</v>
      </c>
      <c r="AF3" s="16">
        <f>台数入力!AH$4</f>
        <v>1</v>
      </c>
      <c r="AG3" s="16">
        <f>台数入力!AI$4</f>
        <v>1</v>
      </c>
      <c r="AH3" s="16">
        <f>台数入力!AJ$4</f>
        <v>1</v>
      </c>
      <c r="AI3" s="16">
        <f>台数入力!AK$4</f>
        <v>1</v>
      </c>
      <c r="AJ3" s="16">
        <f>台数入力!AL$4</f>
        <v>1</v>
      </c>
      <c r="AK3" s="16">
        <f>台数入力!AM$4</f>
        <v>1</v>
      </c>
    </row>
    <row r="4" spans="1:37" ht="35.15" customHeight="1" x14ac:dyDescent="0.55000000000000004">
      <c r="A4" s="17" t="s">
        <v>13</v>
      </c>
      <c r="B4" s="11" t="s">
        <v>8</v>
      </c>
      <c r="C4" s="16" t="s">
        <v>12</v>
      </c>
      <c r="D4" s="120" t="str">
        <f>CSV!A1</f>
        <v>生産データ: 260723-011</v>
      </c>
      <c r="E4" s="17" t="s">
        <v>6</v>
      </c>
      <c r="F4" s="17"/>
      <c r="G4" s="16">
        <f>台数入力!I$5</f>
        <v>24</v>
      </c>
      <c r="H4" s="16">
        <f>台数入力!J$5</f>
        <v>96</v>
      </c>
      <c r="I4" s="16">
        <f>台数入力!K$5</f>
        <v>24</v>
      </c>
      <c r="J4" s="16">
        <f>台数入力!L$5</f>
        <v>24</v>
      </c>
      <c r="K4" s="16">
        <f>台数入力!M$5</f>
        <v>72</v>
      </c>
      <c r="L4" s="16">
        <f>台数入力!N$5</f>
        <v>72</v>
      </c>
      <c r="M4" s="16">
        <f>台数入力!O$5</f>
        <v>84</v>
      </c>
      <c r="N4" s="16">
        <f>台数入力!P$5</f>
        <v>84</v>
      </c>
      <c r="O4" s="16">
        <f>台数入力!Q$5</f>
        <v>24</v>
      </c>
      <c r="P4" s="16">
        <f>台数入力!R$5</f>
        <v>24</v>
      </c>
      <c r="Q4" s="16">
        <f>台数入力!S$5</f>
        <v>1</v>
      </c>
      <c r="R4" s="16">
        <f>台数入力!T$5</f>
        <v>1</v>
      </c>
      <c r="S4" s="16">
        <f>台数入力!U$5</f>
        <v>1</v>
      </c>
      <c r="T4" s="16">
        <f>台数入力!V$5</f>
        <v>1</v>
      </c>
      <c r="U4" s="16">
        <f>台数入力!W$5</f>
        <v>1</v>
      </c>
      <c r="V4" s="16">
        <f>台数入力!X$5</f>
        <v>48</v>
      </c>
      <c r="W4" s="16">
        <f>台数入力!Y$5</f>
        <v>48</v>
      </c>
      <c r="X4" s="16">
        <f>台数入力!Z$5</f>
        <v>48</v>
      </c>
      <c r="Y4" s="16">
        <f>台数入力!AA$5</f>
        <v>48</v>
      </c>
      <c r="Z4" s="16">
        <f>台数入力!AB$5</f>
        <v>12</v>
      </c>
      <c r="AA4" s="16">
        <f>台数入力!AC$5</f>
        <v>48</v>
      </c>
      <c r="AB4" s="16">
        <f>台数入力!AD$5</f>
        <v>48</v>
      </c>
      <c r="AC4" s="16">
        <f>台数入力!AE$5</f>
        <v>1</v>
      </c>
      <c r="AD4" s="16">
        <f>台数入力!AF$5</f>
        <v>1</v>
      </c>
      <c r="AE4" s="16">
        <f>台数入力!AG$5</f>
        <v>1</v>
      </c>
      <c r="AF4" s="16">
        <f>台数入力!AH$5</f>
        <v>1</v>
      </c>
      <c r="AG4" s="16">
        <f>台数入力!AI$5</f>
        <v>1</v>
      </c>
      <c r="AH4" s="16">
        <f>台数入力!AJ$5</f>
        <v>1</v>
      </c>
      <c r="AI4" s="16">
        <f>台数入力!AK$5</f>
        <v>1</v>
      </c>
      <c r="AJ4" s="16">
        <f>台数入力!AL$5</f>
        <v>1</v>
      </c>
      <c r="AK4" s="16">
        <f>台数入力!AM$5</f>
        <v>1</v>
      </c>
    </row>
    <row r="5" spans="1:37" ht="56.25" customHeight="1" x14ac:dyDescent="0.55000000000000004">
      <c r="A5" s="12"/>
      <c r="B5" s="11" t="s">
        <v>5</v>
      </c>
      <c r="C5" s="9" t="s">
        <v>4</v>
      </c>
      <c r="D5" s="11" t="s">
        <v>3</v>
      </c>
      <c r="E5" s="11" t="s">
        <v>2</v>
      </c>
      <c r="F5" s="11" t="s">
        <v>1</v>
      </c>
      <c r="G5" s="13" t="str">
        <f>CSV!I2</f>
        <v>000212220414_URS-43351-02_P6</v>
      </c>
      <c r="H5" s="13" t="str">
        <f>CSV!J2</f>
        <v>部品説明</v>
      </c>
      <c r="I5" s="13" t="str">
        <f>CSV!K2</f>
        <v>薄型シングル</v>
      </c>
      <c r="J5" s="13">
        <f>CSV!L2</f>
        <v>0</v>
      </c>
      <c r="K5" s="13">
        <f>CSV!M2</f>
        <v>0</v>
      </c>
      <c r="L5" s="13">
        <f>CSV!N2</f>
        <v>0</v>
      </c>
      <c r="M5" s="13">
        <f>CSV!O2</f>
        <v>0</v>
      </c>
      <c r="N5" s="13">
        <f>CSV!P2</f>
        <v>0</v>
      </c>
      <c r="O5" s="13">
        <f>CSV!Q2</f>
        <v>0</v>
      </c>
      <c r="P5" s="13">
        <f>CSV!R2</f>
        <v>0</v>
      </c>
      <c r="Q5" s="13">
        <f>CSV!S2</f>
        <v>0</v>
      </c>
      <c r="R5" s="13">
        <f>CSV!T2</f>
        <v>0</v>
      </c>
      <c r="S5" s="13">
        <f>CSV!U2</f>
        <v>0</v>
      </c>
      <c r="T5" s="13">
        <f>CSV!V2</f>
        <v>0</v>
      </c>
      <c r="U5" s="13">
        <f>CSV!W2</f>
        <v>0</v>
      </c>
      <c r="V5" s="13">
        <f>CSV!X2</f>
        <v>0</v>
      </c>
      <c r="W5" s="13">
        <f>CSV!Y2</f>
        <v>0</v>
      </c>
      <c r="X5" s="13">
        <f>CSV!Z2</f>
        <v>0</v>
      </c>
      <c r="Y5" s="13">
        <f>CSV!AA2</f>
        <v>0</v>
      </c>
      <c r="Z5" s="13">
        <f>CSV!AB2</f>
        <v>0</v>
      </c>
      <c r="AA5" s="13">
        <f>CSV!AC2</f>
        <v>0</v>
      </c>
      <c r="AB5" s="13">
        <f>CSV!AD2</f>
        <v>0</v>
      </c>
      <c r="AC5" s="13">
        <f>CSV!AE2</f>
        <v>0</v>
      </c>
      <c r="AD5" s="13">
        <f>CSV!AF2</f>
        <v>0</v>
      </c>
      <c r="AE5" s="13">
        <f>CSV!AG2</f>
        <v>0</v>
      </c>
      <c r="AF5" s="13">
        <f>CSV!AH2</f>
        <v>0</v>
      </c>
      <c r="AG5" s="13">
        <f>CSV!AI2</f>
        <v>0</v>
      </c>
      <c r="AH5" s="13">
        <f>CSV!AJ2</f>
        <v>0</v>
      </c>
      <c r="AI5" s="13">
        <f>CSV!AK2</f>
        <v>0</v>
      </c>
      <c r="AJ5" s="13">
        <f>CSV!AL2</f>
        <v>0</v>
      </c>
      <c r="AK5" s="13">
        <f>CSV!AM2</f>
        <v>0</v>
      </c>
    </row>
    <row r="6" spans="1:37" s="7" customFormat="1" ht="27" customHeight="1" x14ac:dyDescent="0.55000000000000004">
      <c r="A6" s="121"/>
      <c r="B6" s="122">
        <v>141001</v>
      </c>
      <c r="C6" s="9">
        <f>IF(CSV!F3&lt;&gt;0,CSV!F3,"")</f>
        <v>9000034945</v>
      </c>
      <c r="D6" s="122" t="str">
        <f>HLOOKUP("部品説明",CSV!$B$2:$CC$42,B6-140999,FALSE)</f>
        <v>LY62L1024GL-55LLI</v>
      </c>
      <c r="E6" s="122" t="str">
        <f>IF(CSV!G3=0,"",CSV!G3)</f>
        <v>トレイ</v>
      </c>
      <c r="F6" s="122">
        <f>CSV!$H3</f>
        <v>1</v>
      </c>
      <c r="G6" s="122" t="str">
        <f>IF(CSV!I3=0,"",使用数!I3)&amp;IF(CSV!I3=0,"","("&amp;CSV!I3&amp;")")</f>
        <v>24(1)</v>
      </c>
      <c r="H6" s="122" t="e">
        <f>IF(CSV!J3=0,"",使用数!J3)&amp;IF(CSV!J3=0,"","("&amp;CSV!J3&amp;")")</f>
        <v>#VALUE!</v>
      </c>
      <c r="I6" s="122" t="str">
        <f>IF(CSV!K3=0,"",使用数!K3)&amp;IF(CSV!K3=0,"","("&amp;CSV!K3&amp;")")</f>
        <v/>
      </c>
      <c r="J6" s="122" t="str">
        <f>IF(CSV!L3=0,"",使用数!L3)&amp;IF(CSV!L3=0,"","("&amp;CSV!L3&amp;")")</f>
        <v/>
      </c>
      <c r="K6" s="122" t="str">
        <f>IF(CSV!M3=0,"",使用数!M3)&amp;IF(CSV!M3=0,"","("&amp;CSV!M3&amp;")")</f>
        <v/>
      </c>
      <c r="L6" s="122" t="str">
        <f>IF(CSV!N3=0,"",使用数!N3)&amp;IF(CSV!N3=0,"","("&amp;CSV!N3&amp;")")</f>
        <v/>
      </c>
      <c r="M6" s="8" t="str">
        <f>IF(CSV!O3=0,"",使用数!O3)&amp;IF(CSV!O3=0,"","("&amp;CSV!O3&amp;")")</f>
        <v/>
      </c>
      <c r="N6" s="8" t="str">
        <f>IF(CSV!P3=0,"",使用数!P3)&amp;IF(CSV!P3=0,"","("&amp;CSV!P3&amp;")")</f>
        <v/>
      </c>
      <c r="O6" s="8" t="str">
        <f>IF(CSV!Q3=0,"",使用数!Q3)&amp;IF(CSV!Q3=0,"","("&amp;CSV!Q3&amp;")")</f>
        <v/>
      </c>
      <c r="P6" s="8" t="str">
        <f>IF(CSV!R3=0,"",使用数!R3)&amp;IF(CSV!R3=0,"","("&amp;CSV!R3&amp;")")</f>
        <v/>
      </c>
      <c r="Q6" s="8" t="str">
        <f>IF(CSV!S3=0,"",使用数!S3)&amp;IF(CSV!S3=0,"","("&amp;CSV!S3&amp;")")</f>
        <v/>
      </c>
      <c r="R6" s="8" t="str">
        <f>IF(CSV!T3=0,"",使用数!T3)&amp;IF(CSV!T3=0,"","("&amp;CSV!T3&amp;")")</f>
        <v/>
      </c>
      <c r="S6" s="8" t="str">
        <f>IF(CSV!U3=0,"",使用数!U3)&amp;IF(CSV!U3=0,"","("&amp;CSV!U3&amp;")")</f>
        <v/>
      </c>
      <c r="T6" s="8" t="str">
        <f>IF(CSV!V3=0,"",使用数!V3)&amp;IF(CSV!V3=0,"","("&amp;CSV!V3&amp;")")</f>
        <v/>
      </c>
      <c r="U6" s="8" t="str">
        <f>IF(CSV!W3=0,"",使用数!W3)&amp;IF(CSV!W3=0,"","("&amp;CSV!W3&amp;")")</f>
        <v/>
      </c>
      <c r="V6" s="8" t="str">
        <f>IF(CSV!X3=0,"",使用数!X3)&amp;IF(CSV!X3=0,"","("&amp;CSV!X3&amp;")")</f>
        <v/>
      </c>
      <c r="W6" s="8" t="str">
        <f>IF(CSV!Y3=0,"",使用数!Y3)&amp;IF(CSV!Y3=0,"","("&amp;CSV!Y3&amp;")")</f>
        <v/>
      </c>
      <c r="X6" s="8" t="str">
        <f>IF(CSV!Z3=0,"",使用数!Z3)&amp;IF(CSV!Z3=0,"","("&amp;CSV!Z3&amp;")")</f>
        <v/>
      </c>
      <c r="Y6" s="8" t="str">
        <f>IF(CSV!AA3=0,"",使用数!AA3)&amp;IF(CSV!AA3=0,"","("&amp;CSV!AA3&amp;")")</f>
        <v/>
      </c>
      <c r="Z6" s="8" t="str">
        <f>IF(CSV!AB3=0,"",使用数!AB3)&amp;IF(CSV!AB3=0,"","("&amp;CSV!AB3&amp;")")</f>
        <v/>
      </c>
      <c r="AA6" s="8" t="str">
        <f>IF(CSV!AC3=0,"",使用数!AC3)&amp;IF(CSV!AC3=0,"","("&amp;CSV!AC3&amp;")")</f>
        <v/>
      </c>
      <c r="AB6" s="8" t="str">
        <f>IF(CSV!AD3=0,"",使用数!AD3)&amp;IF(CSV!AD3=0,"","("&amp;CSV!AD3&amp;")")</f>
        <v/>
      </c>
      <c r="AC6" s="8" t="str">
        <f>IF(CSV!AE3=0,"",使用数!AE3)&amp;IF(CSV!AE3=0,"","("&amp;CSV!AE3&amp;")")</f>
        <v/>
      </c>
      <c r="AD6" s="8" t="str">
        <f>IF(CSV!AF3=0,"",使用数!AF3)&amp;IF(CSV!AF3=0,"","("&amp;CSV!AF3&amp;")")</f>
        <v/>
      </c>
      <c r="AE6" s="8" t="str">
        <f>IF(CSV!AG3=0,"",使用数!AG3)&amp;IF(CSV!AG3=0,"","("&amp;CSV!AG3&amp;")")</f>
        <v/>
      </c>
      <c r="AF6" s="8" t="str">
        <f>IF(CSV!AH3=0,"",使用数!AH3)&amp;IF(CSV!AH3=0,"","("&amp;CSV!AH3&amp;")")</f>
        <v/>
      </c>
      <c r="AG6" s="8" t="str">
        <f>IF(CSV!AI3=0,"",使用数!AI3)&amp;IF(CSV!AI3=0,"","("&amp;CSV!AI3&amp;")")</f>
        <v/>
      </c>
      <c r="AH6" s="8" t="str">
        <f>IF(CSV!AJ3=0,"",使用数!AJ3)&amp;IF(CSV!AJ3=0,"","("&amp;CSV!AJ3&amp;")")</f>
        <v/>
      </c>
      <c r="AI6" s="8" t="str">
        <f>IF(CSV!AK3=0,"",使用数!AK3)&amp;IF(CSV!AK3=0,"","("&amp;CSV!AK3&amp;")")</f>
        <v/>
      </c>
      <c r="AJ6" s="8" t="str">
        <f>IF(CSV!AL3=0,"",使用数!AL3)&amp;IF(CSV!AL3=0,"","("&amp;CSV!AL3&amp;")")</f>
        <v/>
      </c>
      <c r="AK6" s="8" t="str">
        <f>IF(CSV!AM3=0,"",使用数!AM3)&amp;IF(CSV!AM3=0,"","("&amp;CSV!AM3&amp;")")</f>
        <v/>
      </c>
    </row>
    <row r="7" spans="1:37" ht="27" customHeight="1" x14ac:dyDescent="0.55000000000000004">
      <c r="A7" s="12"/>
      <c r="B7" s="11">
        <v>141002</v>
      </c>
      <c r="C7" s="9">
        <f>IF(CSV!F4&lt;&gt;0,CSV!F4,"")</f>
        <v>9000061644</v>
      </c>
      <c r="D7" s="11" t="str">
        <f>HLOOKUP("部品説明",CSV!$B$2:$CC$42,B7-140999,FALSE)</f>
        <v>R5F56216BDLE#U0 DPU_TPM</v>
      </c>
      <c r="E7" s="11" t="str">
        <f>IF(CSV!G4=0,"",CSV!G4)</f>
        <v>トレイ</v>
      </c>
      <c r="F7" s="11">
        <f>CSV!$H4</f>
        <v>1</v>
      </c>
      <c r="G7" s="11" t="str">
        <f>IF(CSV!I4=0,"",使用数!I4)&amp;IF(CSV!I4=0,"","("&amp;CSV!I4&amp;")")</f>
        <v>24(1)</v>
      </c>
      <c r="H7" s="11" t="e">
        <f>IF(CSV!J4=0,"",使用数!J4)&amp;IF(CSV!J4=0,"","("&amp;CSV!J4&amp;")")</f>
        <v>#VALUE!</v>
      </c>
      <c r="I7" s="11" t="str">
        <f>IF(CSV!K4=0,"",使用数!K4)&amp;IF(CSV!K4=0,"","("&amp;CSV!K4&amp;")")</f>
        <v/>
      </c>
      <c r="J7" s="11" t="str">
        <f>IF(CSV!L4=0,"",使用数!L4)&amp;IF(CSV!L4=0,"","("&amp;CSV!L4&amp;")")</f>
        <v/>
      </c>
      <c r="K7" s="11" t="str">
        <f>IF(CSV!M4=0,"",使用数!M4)&amp;IF(CSV!M4=0,"","("&amp;CSV!M4&amp;")")</f>
        <v/>
      </c>
      <c r="L7" s="11" t="str">
        <f>IF(CSV!N4=0,"",使用数!N4)&amp;IF(CSV!N4=0,"","("&amp;CSV!N4&amp;")")</f>
        <v/>
      </c>
      <c r="M7" s="11" t="str">
        <f>IF(CSV!O4=0,"",使用数!O4)&amp;IF(CSV!O4=0,"","("&amp;CSV!O4&amp;")")</f>
        <v/>
      </c>
      <c r="N7" s="11" t="str">
        <f>IF(CSV!P4=0,"",使用数!P4)&amp;IF(CSV!P4=0,"","("&amp;CSV!P4&amp;")")</f>
        <v/>
      </c>
      <c r="O7" s="11" t="str">
        <f>IF(CSV!Q4=0,"",使用数!Q4)&amp;IF(CSV!Q4=0,"","("&amp;CSV!Q4&amp;")")</f>
        <v/>
      </c>
      <c r="P7" s="11" t="str">
        <f>IF(CSV!R4=0,"",使用数!R4)&amp;IF(CSV!R4=0,"","("&amp;CSV!R4&amp;")")</f>
        <v/>
      </c>
      <c r="Q7" s="11" t="str">
        <f>IF(CSV!S4=0,"",使用数!S4)&amp;IF(CSV!S4=0,"","("&amp;CSV!S4&amp;")")</f>
        <v/>
      </c>
      <c r="R7" s="11" t="str">
        <f>IF(CSV!T4=0,"",使用数!T4)&amp;IF(CSV!T4=0,"","("&amp;CSV!T4&amp;")")</f>
        <v/>
      </c>
      <c r="S7" s="11" t="str">
        <f>IF(CSV!U4=0,"",使用数!U4)&amp;IF(CSV!U4=0,"","("&amp;CSV!U4&amp;")")</f>
        <v/>
      </c>
      <c r="T7" s="11" t="str">
        <f>IF(CSV!V4=0,"",使用数!V4)&amp;IF(CSV!V4=0,"","("&amp;CSV!V4&amp;")")</f>
        <v/>
      </c>
      <c r="U7" s="11" t="str">
        <f>IF(CSV!W4=0,"",使用数!W4)&amp;IF(CSV!W4=0,"","("&amp;CSV!W4&amp;")")</f>
        <v/>
      </c>
      <c r="V7" s="11" t="str">
        <f>IF(CSV!X4=0,"",使用数!X4)&amp;IF(CSV!X4=0,"","("&amp;CSV!X4&amp;")")</f>
        <v/>
      </c>
      <c r="W7" s="11" t="str">
        <f>IF(CSV!Y4=0,"",使用数!Y4)&amp;IF(CSV!Y4=0,"","("&amp;CSV!Y4&amp;")")</f>
        <v/>
      </c>
      <c r="X7" s="11" t="str">
        <f>IF(CSV!Z4=0,"",使用数!Z4)&amp;IF(CSV!Z4=0,"","("&amp;CSV!Z4&amp;")")</f>
        <v/>
      </c>
      <c r="Y7" s="11" t="str">
        <f>IF(CSV!AA4=0,"",使用数!AA4)&amp;IF(CSV!AA4=0,"","("&amp;CSV!AA4&amp;")")</f>
        <v/>
      </c>
      <c r="Z7" s="11" t="str">
        <f>IF(CSV!AB4=0,"",使用数!AB4)&amp;IF(CSV!AB4=0,"","("&amp;CSV!AB4&amp;")")</f>
        <v/>
      </c>
      <c r="AA7" s="11" t="str">
        <f>IF(CSV!AC4=0,"",使用数!AC4)&amp;IF(CSV!AC4=0,"","("&amp;CSV!AC4&amp;")")</f>
        <v/>
      </c>
      <c r="AB7" s="11" t="str">
        <f>IF(CSV!AD4=0,"",使用数!AD4)&amp;IF(CSV!AD4=0,"","("&amp;CSV!AD4&amp;")")</f>
        <v/>
      </c>
      <c r="AC7" s="11" t="str">
        <f>IF(CSV!AE4=0,"",使用数!AE4)&amp;IF(CSV!AE4=0,"","("&amp;CSV!AE4&amp;")")</f>
        <v/>
      </c>
      <c r="AD7" s="11" t="str">
        <f>IF(CSV!AF4=0,"",使用数!AF4)&amp;IF(CSV!AF4=0,"","("&amp;CSV!AF4&amp;")")</f>
        <v/>
      </c>
      <c r="AE7" s="11" t="str">
        <f>IF(CSV!AG4=0,"",使用数!AG4)&amp;IF(CSV!AG4=0,"","("&amp;CSV!AG4&amp;")")</f>
        <v/>
      </c>
      <c r="AF7" s="11" t="str">
        <f>IF(CSV!AH4=0,"",使用数!AH4)&amp;IF(CSV!AH4=0,"","("&amp;CSV!AH4&amp;")")</f>
        <v/>
      </c>
      <c r="AG7" s="11" t="str">
        <f>IF(CSV!AI4=0,"",使用数!AI4)&amp;IF(CSV!AI4=0,"","("&amp;CSV!AI4&amp;")")</f>
        <v/>
      </c>
      <c r="AH7" s="11" t="str">
        <f>IF(CSV!AJ4=0,"",使用数!AJ4)&amp;IF(CSV!AJ4=0,"","("&amp;CSV!AJ4&amp;")")</f>
        <v/>
      </c>
      <c r="AI7" s="11" t="str">
        <f>IF(CSV!AK4=0,"",使用数!AK4)&amp;IF(CSV!AK4=0,"","("&amp;CSV!AK4&amp;")")</f>
        <v/>
      </c>
      <c r="AJ7" s="11" t="str">
        <f>IF(CSV!AL4=0,"",使用数!AL4)&amp;IF(CSV!AL4=0,"","("&amp;CSV!AL4&amp;")")</f>
        <v/>
      </c>
      <c r="AK7" s="11" t="str">
        <f>IF(CSV!AM4=0,"",使用数!AM4)&amp;IF(CSV!AM4=0,"","("&amp;CSV!AM4&amp;")")</f>
        <v/>
      </c>
    </row>
    <row r="8" spans="1:37" s="7" customFormat="1" ht="27" customHeight="1" x14ac:dyDescent="0.55000000000000004">
      <c r="A8" s="121"/>
      <c r="B8" s="122">
        <v>141003</v>
      </c>
      <c r="C8" s="9">
        <f>IF(CSV!F5&lt;&gt;0,CSV!F5,"")</f>
        <v>9000061645</v>
      </c>
      <c r="D8" s="122" t="str">
        <f>HLOOKUP("部品説明",CSV!$B$2:$CC$42,B8-140999,FALSE)</f>
        <v>MK10DN512VMD10 OLV-4000_SPU</v>
      </c>
      <c r="E8" s="122" t="str">
        <f>IF(CSV!G5=0,"",CSV!G5)</f>
        <v>トレイ</v>
      </c>
      <c r="F8" s="122">
        <f>CSV!$H5</f>
        <v>1</v>
      </c>
      <c r="G8" s="122" t="str">
        <f>IF(CSV!I5=0,"",使用数!I5)&amp;IF(CSV!I5=0,"","("&amp;CSV!I5&amp;")")</f>
        <v>24(1)</v>
      </c>
      <c r="H8" s="122" t="e">
        <f>IF(CSV!J5=0,"",使用数!J5)&amp;IF(CSV!J5=0,"","("&amp;CSV!J5&amp;")")</f>
        <v>#VALUE!</v>
      </c>
      <c r="I8" s="122" t="str">
        <f>IF(CSV!K5=0,"",使用数!K5)&amp;IF(CSV!K5=0,"","("&amp;CSV!K5&amp;")")</f>
        <v/>
      </c>
      <c r="J8" s="122" t="str">
        <f>IF(CSV!L5=0,"",使用数!L5)&amp;IF(CSV!L5=0,"","("&amp;CSV!L5&amp;")")</f>
        <v/>
      </c>
      <c r="K8" s="122" t="str">
        <f>IF(CSV!M5=0,"",使用数!M5)&amp;IF(CSV!M5=0,"","("&amp;CSV!M5&amp;")")</f>
        <v/>
      </c>
      <c r="L8" s="122" t="str">
        <f>IF(CSV!N5=0,"",使用数!N5)&amp;IF(CSV!N5=0,"","("&amp;CSV!N5&amp;")")</f>
        <v/>
      </c>
      <c r="M8" s="8" t="str">
        <f>IF(CSV!O5=0,"",使用数!O5)&amp;IF(CSV!O5=0,"","("&amp;CSV!O5&amp;")")</f>
        <v/>
      </c>
      <c r="N8" s="8" t="str">
        <f>IF(CSV!P5=0,"",使用数!P5)&amp;IF(CSV!P5=0,"","("&amp;CSV!P5&amp;")")</f>
        <v/>
      </c>
      <c r="O8" s="8" t="str">
        <f>IF(CSV!Q5=0,"",使用数!Q5)&amp;IF(CSV!Q5=0,"","("&amp;CSV!Q5&amp;")")</f>
        <v/>
      </c>
      <c r="P8" s="8" t="str">
        <f>IF(CSV!R5=0,"",使用数!R5)&amp;IF(CSV!R5=0,"","("&amp;CSV!R5&amp;")")</f>
        <v/>
      </c>
      <c r="Q8" s="8" t="str">
        <f>IF(CSV!S5=0,"",使用数!S5)&amp;IF(CSV!S5=0,"","("&amp;CSV!S5&amp;")")</f>
        <v/>
      </c>
      <c r="R8" s="8" t="str">
        <f>IF(CSV!T5=0,"",使用数!T5)&amp;IF(CSV!T5=0,"","("&amp;CSV!T5&amp;")")</f>
        <v/>
      </c>
      <c r="S8" s="8" t="str">
        <f>IF(CSV!U5=0,"",使用数!U5)&amp;IF(CSV!U5=0,"","("&amp;CSV!U5&amp;")")</f>
        <v/>
      </c>
      <c r="T8" s="8" t="str">
        <f>IF(CSV!V5=0,"",使用数!V5)&amp;IF(CSV!V5=0,"","("&amp;CSV!V5&amp;")")</f>
        <v/>
      </c>
      <c r="U8" s="8" t="str">
        <f>IF(CSV!W5=0,"",使用数!W5)&amp;IF(CSV!W5=0,"","("&amp;CSV!W5&amp;")")</f>
        <v/>
      </c>
      <c r="V8" s="8" t="str">
        <f>IF(CSV!X5=0,"",使用数!X5)&amp;IF(CSV!X5=0,"","("&amp;CSV!X5&amp;")")</f>
        <v/>
      </c>
      <c r="W8" s="8" t="str">
        <f>IF(CSV!Y5=0,"",使用数!Y5)&amp;IF(CSV!Y5=0,"","("&amp;CSV!Y5&amp;")")</f>
        <v/>
      </c>
      <c r="X8" s="8" t="str">
        <f>IF(CSV!Z5=0,"",使用数!Z5)&amp;IF(CSV!Z5=0,"","("&amp;CSV!Z5&amp;")")</f>
        <v/>
      </c>
      <c r="Y8" s="8" t="str">
        <f>IF(CSV!AA5=0,"",使用数!AA5)&amp;IF(CSV!AA5=0,"","("&amp;CSV!AA5&amp;")")</f>
        <v/>
      </c>
      <c r="Z8" s="8" t="str">
        <f>IF(CSV!AB5=0,"",使用数!AB5)&amp;IF(CSV!AB5=0,"","("&amp;CSV!AB5&amp;")")</f>
        <v/>
      </c>
      <c r="AA8" s="8" t="str">
        <f>IF(CSV!AC5=0,"",使用数!AC5)&amp;IF(CSV!AC5=0,"","("&amp;CSV!AC5&amp;")")</f>
        <v/>
      </c>
      <c r="AB8" s="8" t="str">
        <f>IF(CSV!AD5=0,"",使用数!AD5)&amp;IF(CSV!AD5=0,"","("&amp;CSV!AD5&amp;")")</f>
        <v/>
      </c>
      <c r="AC8" s="8" t="str">
        <f>IF(CSV!AE5=0,"",使用数!AE5)&amp;IF(CSV!AE5=0,"","("&amp;CSV!AE5&amp;")")</f>
        <v/>
      </c>
      <c r="AD8" s="8" t="str">
        <f>IF(CSV!AF5=0,"",使用数!AF5)&amp;IF(CSV!AF5=0,"","("&amp;CSV!AF5&amp;")")</f>
        <v/>
      </c>
      <c r="AE8" s="8" t="str">
        <f>IF(CSV!AG5=0,"",使用数!AG5)&amp;IF(CSV!AG5=0,"","("&amp;CSV!AG5&amp;")")</f>
        <v/>
      </c>
      <c r="AF8" s="8" t="str">
        <f>IF(CSV!AH5=0,"",使用数!AH5)&amp;IF(CSV!AH5=0,"","("&amp;CSV!AH5&amp;")")</f>
        <v/>
      </c>
      <c r="AG8" s="8" t="str">
        <f>IF(CSV!AI5=0,"",使用数!AI5)&amp;IF(CSV!AI5=0,"","("&amp;CSV!AI5&amp;")")</f>
        <v/>
      </c>
      <c r="AH8" s="8" t="str">
        <f>IF(CSV!AJ5=0,"",使用数!AJ5)&amp;IF(CSV!AJ5=0,"","("&amp;CSV!AJ5&amp;")")</f>
        <v/>
      </c>
      <c r="AI8" s="8" t="str">
        <f>IF(CSV!AK5=0,"",使用数!AK5)&amp;IF(CSV!AK5=0,"","("&amp;CSV!AK5&amp;")")</f>
        <v/>
      </c>
      <c r="AJ8" s="8" t="str">
        <f>IF(CSV!AL5=0,"",使用数!AL5)&amp;IF(CSV!AL5=0,"","("&amp;CSV!AL5&amp;")")</f>
        <v/>
      </c>
      <c r="AK8" s="8" t="str">
        <f>IF(CSV!AM5=0,"",使用数!AM5)&amp;IF(CSV!AM5=0,"","("&amp;CSV!AM5&amp;")")</f>
        <v/>
      </c>
    </row>
    <row r="9" spans="1:37" ht="27" customHeight="1" x14ac:dyDescent="0.55000000000000004">
      <c r="A9" s="12"/>
      <c r="B9" s="11">
        <v>141004</v>
      </c>
      <c r="C9" s="9" t="str">
        <f>IF(CSV!F6&lt;&gt;0,CSV!F6,"")</f>
        <v/>
      </c>
      <c r="D9" s="11">
        <f>HLOOKUP("部品説明",CSV!$B$2:$CC$42,B9-140999,FALSE)</f>
        <v>0</v>
      </c>
      <c r="E9" s="11" t="str">
        <f>IF(CSV!G6=0,"",CSV!G6)</f>
        <v/>
      </c>
      <c r="F9" s="11">
        <f>CSV!$H6</f>
        <v>0</v>
      </c>
      <c r="G9" s="11" t="str">
        <f>IF(CSV!I6=0,"",使用数!I6)&amp;IF(CSV!I6=0,"","("&amp;CSV!I6&amp;")")</f>
        <v/>
      </c>
      <c r="H9" s="11" t="str">
        <f>IF(CSV!J6=0,"",使用数!J6)&amp;IF(CSV!J6=0,"","("&amp;CSV!J6&amp;")")</f>
        <v/>
      </c>
      <c r="I9" s="11" t="str">
        <f>IF(CSV!K6=0,"",使用数!K6)&amp;IF(CSV!K6=0,"","("&amp;CSV!K6&amp;")")</f>
        <v/>
      </c>
      <c r="J9" s="11" t="str">
        <f>IF(CSV!L6=0,"",使用数!L6)&amp;IF(CSV!L6=0,"","("&amp;CSV!L6&amp;")")</f>
        <v/>
      </c>
      <c r="K9" s="11" t="str">
        <f>IF(CSV!M6=0,"",使用数!M6)&amp;IF(CSV!M6=0,"","("&amp;CSV!M6&amp;")")</f>
        <v/>
      </c>
      <c r="L9" s="11" t="str">
        <f>IF(CSV!N6=0,"",使用数!N6)&amp;IF(CSV!N6=0,"","("&amp;CSV!N6&amp;")")</f>
        <v/>
      </c>
      <c r="M9" s="11" t="str">
        <f>IF(CSV!O6=0,"",使用数!O6)&amp;IF(CSV!O6=0,"","("&amp;CSV!O6&amp;")")</f>
        <v/>
      </c>
      <c r="N9" s="11" t="str">
        <f>IF(CSV!P6=0,"",使用数!P6)&amp;IF(CSV!P6=0,"","("&amp;CSV!P6&amp;")")</f>
        <v/>
      </c>
      <c r="O9" s="11" t="str">
        <f>IF(CSV!Q6=0,"",使用数!Q6)&amp;IF(CSV!Q6=0,"","("&amp;CSV!Q6&amp;")")</f>
        <v/>
      </c>
      <c r="P9" s="11" t="str">
        <f>IF(CSV!R6=0,"",使用数!R6)&amp;IF(CSV!R6=0,"","("&amp;CSV!R6&amp;")")</f>
        <v/>
      </c>
      <c r="Q9" s="11" t="str">
        <f>IF(CSV!S6=0,"",使用数!S6)&amp;IF(CSV!S6=0,"","("&amp;CSV!S6&amp;")")</f>
        <v/>
      </c>
      <c r="R9" s="11" t="str">
        <f>IF(CSV!T6=0,"",使用数!T6)&amp;IF(CSV!T6=0,"","("&amp;CSV!T6&amp;")")</f>
        <v/>
      </c>
      <c r="S9" s="11" t="str">
        <f>IF(CSV!U6=0,"",使用数!U6)&amp;IF(CSV!U6=0,"","("&amp;CSV!U6&amp;")")</f>
        <v/>
      </c>
      <c r="T9" s="11" t="str">
        <f>IF(CSV!V6=0,"",使用数!V6)&amp;IF(CSV!V6=0,"","("&amp;CSV!V6&amp;")")</f>
        <v/>
      </c>
      <c r="U9" s="11" t="str">
        <f>IF(CSV!W6=0,"",使用数!W6)&amp;IF(CSV!W6=0,"","("&amp;CSV!W6&amp;")")</f>
        <v/>
      </c>
      <c r="V9" s="11" t="str">
        <f>IF(CSV!X6=0,"",使用数!X6)&amp;IF(CSV!X6=0,"","("&amp;CSV!X6&amp;")")</f>
        <v/>
      </c>
      <c r="W9" s="11" t="str">
        <f>IF(CSV!Y6=0,"",使用数!Y6)&amp;IF(CSV!Y6=0,"","("&amp;CSV!Y6&amp;")")</f>
        <v/>
      </c>
      <c r="X9" s="11" t="str">
        <f>IF(CSV!Z6=0,"",使用数!Z6)&amp;IF(CSV!Z6=0,"","("&amp;CSV!Z6&amp;")")</f>
        <v/>
      </c>
      <c r="Y9" s="11" t="str">
        <f>IF(CSV!AA6=0,"",使用数!AA6)&amp;IF(CSV!AA6=0,"","("&amp;CSV!AA6&amp;")")</f>
        <v/>
      </c>
      <c r="Z9" s="11" t="str">
        <f>IF(CSV!AB6=0,"",使用数!AB6)&amp;IF(CSV!AB6=0,"","("&amp;CSV!AB6&amp;")")</f>
        <v/>
      </c>
      <c r="AA9" s="11" t="str">
        <f>IF(CSV!AC6=0,"",使用数!AC6)&amp;IF(CSV!AC6=0,"","("&amp;CSV!AC6&amp;")")</f>
        <v/>
      </c>
      <c r="AB9" s="11" t="str">
        <f>IF(CSV!AD6=0,"",使用数!AD6)&amp;IF(CSV!AD6=0,"","("&amp;CSV!AD6&amp;")")</f>
        <v/>
      </c>
      <c r="AC9" s="11" t="str">
        <f>IF(CSV!AE6=0,"",使用数!AE6)&amp;IF(CSV!AE6=0,"","("&amp;CSV!AE6&amp;")")</f>
        <v/>
      </c>
      <c r="AD9" s="11" t="str">
        <f>IF(CSV!AF6=0,"",使用数!AF6)&amp;IF(CSV!AF6=0,"","("&amp;CSV!AF6&amp;")")</f>
        <v/>
      </c>
      <c r="AE9" s="11" t="str">
        <f>IF(CSV!AG6=0,"",使用数!AG6)&amp;IF(CSV!AG6=0,"","("&amp;CSV!AG6&amp;")")</f>
        <v/>
      </c>
      <c r="AF9" s="11" t="str">
        <f>IF(CSV!AH6=0,"",使用数!AH6)&amp;IF(CSV!AH6=0,"","("&amp;CSV!AH6&amp;")")</f>
        <v/>
      </c>
      <c r="AG9" s="11" t="str">
        <f>IF(CSV!AI6=0,"",使用数!AI6)&amp;IF(CSV!AI6=0,"","("&amp;CSV!AI6&amp;")")</f>
        <v/>
      </c>
      <c r="AH9" s="11" t="str">
        <f>IF(CSV!AJ6=0,"",使用数!AJ6)&amp;IF(CSV!AJ6=0,"","("&amp;CSV!AJ6&amp;")")</f>
        <v/>
      </c>
      <c r="AI9" s="11" t="str">
        <f>IF(CSV!AK6=0,"",使用数!AK6)&amp;IF(CSV!AK6=0,"","("&amp;CSV!AK6&amp;")")</f>
        <v/>
      </c>
      <c r="AJ9" s="11" t="str">
        <f>IF(CSV!AL6=0,"",使用数!AL6)&amp;IF(CSV!AL6=0,"","("&amp;CSV!AL6&amp;")")</f>
        <v/>
      </c>
      <c r="AK9" s="11" t="str">
        <f>IF(CSV!AM6=0,"",使用数!AM6)&amp;IF(CSV!AM6=0,"","("&amp;CSV!AM6&amp;")")</f>
        <v/>
      </c>
    </row>
    <row r="10" spans="1:37" s="7" customFormat="1" ht="27" customHeight="1" x14ac:dyDescent="0.55000000000000004">
      <c r="A10" s="121"/>
      <c r="B10" s="122">
        <v>141005</v>
      </c>
      <c r="C10" s="9">
        <f>IF(CSV!F7&lt;&gt;0,CSV!F7,"")</f>
        <v>9000043828</v>
      </c>
      <c r="D10" s="122" t="str">
        <f>HLOOKUP("部品説明",CSV!$B$2:$CC$42,B10-140999,FALSE)</f>
        <v>FX20-60P-0.5SV20</v>
      </c>
      <c r="E10" s="122" t="str">
        <f>IF(CSV!G7=0,"",CSV!G7)</f>
        <v>トレイ</v>
      </c>
      <c r="F10" s="122">
        <f>CSV!$H7</f>
        <v>1</v>
      </c>
      <c r="G10" s="122" t="str">
        <f>IF(CSV!I7=0,"",使用数!I7)&amp;IF(CSV!I7=0,"","("&amp;CSV!I7&amp;")")</f>
        <v>24(1)</v>
      </c>
      <c r="H10" s="122" t="e">
        <f>IF(CSV!J7=0,"",使用数!J7)&amp;IF(CSV!J7=0,"","("&amp;CSV!J7&amp;")")</f>
        <v>#VALUE!</v>
      </c>
      <c r="I10" s="122" t="str">
        <f>IF(CSV!K7=0,"",使用数!K7)&amp;IF(CSV!K7=0,"","("&amp;CSV!K7&amp;")")</f>
        <v/>
      </c>
      <c r="J10" s="122" t="str">
        <f>IF(CSV!L7=0,"",使用数!L7)&amp;IF(CSV!L7=0,"","("&amp;CSV!L7&amp;")")</f>
        <v/>
      </c>
      <c r="K10" s="122" t="str">
        <f>IF(CSV!M7=0,"",使用数!M7)&amp;IF(CSV!M7=0,"","("&amp;CSV!M7&amp;")")</f>
        <v/>
      </c>
      <c r="L10" s="122" t="str">
        <f>IF(CSV!N7=0,"",使用数!N7)&amp;IF(CSV!N7=0,"","("&amp;CSV!N7&amp;")")</f>
        <v/>
      </c>
      <c r="M10" s="8" t="str">
        <f>IF(CSV!O7=0,"",使用数!O7)&amp;IF(CSV!O7=0,"","("&amp;CSV!O7&amp;")")</f>
        <v/>
      </c>
      <c r="N10" s="8" t="str">
        <f>IF(CSV!P7=0,"",使用数!P7)&amp;IF(CSV!P7=0,"","("&amp;CSV!P7&amp;")")</f>
        <v/>
      </c>
      <c r="O10" s="8" t="str">
        <f>IF(CSV!Q7=0,"",使用数!Q7)&amp;IF(CSV!Q7=0,"","("&amp;CSV!Q7&amp;")")</f>
        <v/>
      </c>
      <c r="P10" s="8" t="str">
        <f>IF(CSV!R7=0,"",使用数!R7)&amp;IF(CSV!R7=0,"","("&amp;CSV!R7&amp;")")</f>
        <v/>
      </c>
      <c r="Q10" s="8" t="str">
        <f>IF(CSV!S7=0,"",使用数!S7)&amp;IF(CSV!S7=0,"","("&amp;CSV!S7&amp;")")</f>
        <v/>
      </c>
      <c r="R10" s="8" t="str">
        <f>IF(CSV!T7=0,"",使用数!T7)&amp;IF(CSV!T7=0,"","("&amp;CSV!T7&amp;")")</f>
        <v/>
      </c>
      <c r="S10" s="8" t="str">
        <f>IF(CSV!U7=0,"",使用数!U7)&amp;IF(CSV!U7=0,"","("&amp;CSV!U7&amp;")")</f>
        <v/>
      </c>
      <c r="T10" s="8" t="str">
        <f>IF(CSV!V7=0,"",使用数!V7)&amp;IF(CSV!V7=0,"","("&amp;CSV!V7&amp;")")</f>
        <v/>
      </c>
      <c r="U10" s="8" t="str">
        <f>IF(CSV!W7=0,"",使用数!W7)&amp;IF(CSV!W7=0,"","("&amp;CSV!W7&amp;")")</f>
        <v/>
      </c>
      <c r="V10" s="8" t="str">
        <f>IF(CSV!X7=0,"",使用数!X7)&amp;IF(CSV!X7=0,"","("&amp;CSV!X7&amp;")")</f>
        <v/>
      </c>
      <c r="W10" s="8" t="str">
        <f>IF(CSV!Y7=0,"",使用数!Y7)&amp;IF(CSV!Y7=0,"","("&amp;CSV!Y7&amp;")")</f>
        <v/>
      </c>
      <c r="X10" s="8" t="str">
        <f>IF(CSV!Z7=0,"",使用数!Z7)&amp;IF(CSV!Z7=0,"","("&amp;CSV!Z7&amp;")")</f>
        <v/>
      </c>
      <c r="Y10" s="8" t="str">
        <f>IF(CSV!AA7=0,"",使用数!AA7)&amp;IF(CSV!AA7=0,"","("&amp;CSV!AA7&amp;")")</f>
        <v/>
      </c>
      <c r="Z10" s="8" t="str">
        <f>IF(CSV!AB7=0,"",使用数!AB7)&amp;IF(CSV!AB7=0,"","("&amp;CSV!AB7&amp;")")</f>
        <v/>
      </c>
      <c r="AA10" s="8" t="str">
        <f>IF(CSV!AC7=0,"",使用数!AC7)&amp;IF(CSV!AC7=0,"","("&amp;CSV!AC7&amp;")")</f>
        <v/>
      </c>
      <c r="AB10" s="8" t="str">
        <f>IF(CSV!AD7=0,"",使用数!AD7)&amp;IF(CSV!AD7=0,"","("&amp;CSV!AD7&amp;")")</f>
        <v/>
      </c>
      <c r="AC10" s="8" t="str">
        <f>IF(CSV!AE7=0,"",使用数!AE7)&amp;IF(CSV!AE7=0,"","("&amp;CSV!AE7&amp;")")</f>
        <v/>
      </c>
      <c r="AD10" s="8" t="str">
        <f>IF(CSV!AF7=0,"",使用数!AF7)&amp;IF(CSV!AF7=0,"","("&amp;CSV!AF7&amp;")")</f>
        <v/>
      </c>
      <c r="AE10" s="8" t="str">
        <f>IF(CSV!AG7=0,"",使用数!AG7)&amp;IF(CSV!AG7=0,"","("&amp;CSV!AG7&amp;")")</f>
        <v/>
      </c>
      <c r="AF10" s="8" t="str">
        <f>IF(CSV!AH7=0,"",使用数!AH7)&amp;IF(CSV!AH7=0,"","("&amp;CSV!AH7&amp;")")</f>
        <v/>
      </c>
      <c r="AG10" s="8" t="str">
        <f>IF(CSV!AI7=0,"",使用数!AI7)&amp;IF(CSV!AI7=0,"","("&amp;CSV!AI7&amp;")")</f>
        <v/>
      </c>
      <c r="AH10" s="8" t="str">
        <f>IF(CSV!AJ7=0,"",使用数!AJ7)&amp;IF(CSV!AJ7=0,"","("&amp;CSV!AJ7&amp;")")</f>
        <v/>
      </c>
      <c r="AI10" s="8" t="str">
        <f>IF(CSV!AK7=0,"",使用数!AK7)&amp;IF(CSV!AK7=0,"","("&amp;CSV!AK7&amp;")")</f>
        <v/>
      </c>
      <c r="AJ10" s="8" t="str">
        <f>IF(CSV!AL7=0,"",使用数!AL7)&amp;IF(CSV!AL7=0,"","("&amp;CSV!AL7&amp;")")</f>
        <v/>
      </c>
      <c r="AK10" s="8" t="str">
        <f>IF(CSV!AM7=0,"",使用数!AM7)&amp;IF(CSV!AM7=0,"","("&amp;CSV!AM7&amp;")")</f>
        <v/>
      </c>
    </row>
    <row r="11" spans="1:37" ht="27" customHeight="1" x14ac:dyDescent="0.55000000000000004">
      <c r="A11" s="12"/>
      <c r="B11" s="11">
        <v>141006</v>
      </c>
      <c r="C11" s="9" t="str">
        <f>IF(CSV!F8&lt;&gt;0,CSV!F8,"")</f>
        <v/>
      </c>
      <c r="D11" s="11">
        <f>HLOOKUP("部品説明",CSV!$B$2:$CC$42,B11-140999,FALSE)</f>
        <v>0</v>
      </c>
      <c r="E11" s="11" t="str">
        <f>IF(CSV!G8=0,"",CSV!G8)</f>
        <v/>
      </c>
      <c r="F11" s="11">
        <f>CSV!$H8</f>
        <v>0</v>
      </c>
      <c r="G11" s="11" t="str">
        <f>IF(CSV!I8=0,"",使用数!I8)&amp;IF(CSV!I8=0,"","("&amp;CSV!I8&amp;")")</f>
        <v/>
      </c>
      <c r="H11" s="11" t="str">
        <f>IF(CSV!J8=0,"",使用数!J8)&amp;IF(CSV!J8=0,"","("&amp;CSV!J8&amp;")")</f>
        <v/>
      </c>
      <c r="I11" s="11" t="str">
        <f>IF(CSV!K8=0,"",使用数!K8)&amp;IF(CSV!K8=0,"","("&amp;CSV!K8&amp;")")</f>
        <v/>
      </c>
      <c r="J11" s="11" t="str">
        <f>IF(CSV!L8=0,"",使用数!L8)&amp;IF(CSV!L8=0,"","("&amp;CSV!L8&amp;")")</f>
        <v/>
      </c>
      <c r="K11" s="11" t="str">
        <f>IF(CSV!M8=0,"",使用数!M8)&amp;IF(CSV!M8=0,"","("&amp;CSV!M8&amp;")")</f>
        <v/>
      </c>
      <c r="L11" s="11" t="str">
        <f>IF(CSV!N8=0,"",使用数!N8)&amp;IF(CSV!N8=0,"","("&amp;CSV!N8&amp;")")</f>
        <v/>
      </c>
      <c r="M11" s="11" t="str">
        <f>IF(CSV!O8=0,"",使用数!O8)&amp;IF(CSV!O8=0,"","("&amp;CSV!O8&amp;")")</f>
        <v/>
      </c>
      <c r="N11" s="11" t="str">
        <f>IF(CSV!P8=0,"",使用数!P8)&amp;IF(CSV!P8=0,"","("&amp;CSV!P8&amp;")")</f>
        <v/>
      </c>
      <c r="O11" s="11" t="str">
        <f>IF(CSV!Q8=0,"",使用数!Q8)&amp;IF(CSV!Q8=0,"","("&amp;CSV!Q8&amp;")")</f>
        <v/>
      </c>
      <c r="P11" s="11" t="str">
        <f>IF(CSV!R8=0,"",使用数!R8)&amp;IF(CSV!R8=0,"","("&amp;CSV!R8&amp;")")</f>
        <v/>
      </c>
      <c r="Q11" s="11" t="str">
        <f>IF(CSV!S8=0,"",使用数!S8)&amp;IF(CSV!S8=0,"","("&amp;CSV!S8&amp;")")</f>
        <v/>
      </c>
      <c r="R11" s="11" t="str">
        <f>IF(CSV!T8=0,"",使用数!T8)&amp;IF(CSV!T8=0,"","("&amp;CSV!T8&amp;")")</f>
        <v/>
      </c>
      <c r="S11" s="11" t="str">
        <f>IF(CSV!U8=0,"",使用数!U8)&amp;IF(CSV!U8=0,"","("&amp;CSV!U8&amp;")")</f>
        <v/>
      </c>
      <c r="T11" s="11" t="str">
        <f>IF(CSV!V8=0,"",使用数!V8)&amp;IF(CSV!V8=0,"","("&amp;CSV!V8&amp;")")</f>
        <v/>
      </c>
      <c r="U11" s="11" t="str">
        <f>IF(CSV!W8=0,"",使用数!W8)&amp;IF(CSV!W8=0,"","("&amp;CSV!W8&amp;")")</f>
        <v/>
      </c>
      <c r="V11" s="11" t="str">
        <f>IF(CSV!X8=0,"",使用数!X8)&amp;IF(CSV!X8=0,"","("&amp;CSV!X8&amp;")")</f>
        <v/>
      </c>
      <c r="W11" s="11" t="str">
        <f>IF(CSV!Y8=0,"",使用数!Y8)&amp;IF(CSV!Y8=0,"","("&amp;CSV!Y8&amp;")")</f>
        <v/>
      </c>
      <c r="X11" s="11" t="str">
        <f>IF(CSV!Z8=0,"",使用数!Z8)&amp;IF(CSV!Z8=0,"","("&amp;CSV!Z8&amp;")")</f>
        <v/>
      </c>
      <c r="Y11" s="11" t="str">
        <f>IF(CSV!AA8=0,"",使用数!AA8)&amp;IF(CSV!AA8=0,"","("&amp;CSV!AA8&amp;")")</f>
        <v/>
      </c>
      <c r="Z11" s="11" t="str">
        <f>IF(CSV!AB8=0,"",使用数!AB8)&amp;IF(CSV!AB8=0,"","("&amp;CSV!AB8&amp;")")</f>
        <v/>
      </c>
      <c r="AA11" s="11" t="str">
        <f>IF(CSV!AC8=0,"",使用数!AC8)&amp;IF(CSV!AC8=0,"","("&amp;CSV!AC8&amp;")")</f>
        <v/>
      </c>
      <c r="AB11" s="11" t="str">
        <f>IF(CSV!AD8=0,"",使用数!AD8)&amp;IF(CSV!AD8=0,"","("&amp;CSV!AD8&amp;")")</f>
        <v/>
      </c>
      <c r="AC11" s="11" t="str">
        <f>IF(CSV!AE8=0,"",使用数!AE8)&amp;IF(CSV!AE8=0,"","("&amp;CSV!AE8&amp;")")</f>
        <v/>
      </c>
      <c r="AD11" s="11" t="str">
        <f>IF(CSV!AF8=0,"",使用数!AF8)&amp;IF(CSV!AF8=0,"","("&amp;CSV!AF8&amp;")")</f>
        <v/>
      </c>
      <c r="AE11" s="11" t="str">
        <f>IF(CSV!AG8=0,"",使用数!AG8)&amp;IF(CSV!AG8=0,"","("&amp;CSV!AG8&amp;")")</f>
        <v/>
      </c>
      <c r="AF11" s="11" t="str">
        <f>IF(CSV!AH8=0,"",使用数!AH8)&amp;IF(CSV!AH8=0,"","("&amp;CSV!AH8&amp;")")</f>
        <v/>
      </c>
      <c r="AG11" s="11" t="str">
        <f>IF(CSV!AI8=0,"",使用数!AI8)&amp;IF(CSV!AI8=0,"","("&amp;CSV!AI8&amp;")")</f>
        <v/>
      </c>
      <c r="AH11" s="11" t="str">
        <f>IF(CSV!AJ8=0,"",使用数!AJ8)&amp;IF(CSV!AJ8=0,"","("&amp;CSV!AJ8&amp;")")</f>
        <v/>
      </c>
      <c r="AI11" s="11" t="str">
        <f>IF(CSV!AK8=0,"",使用数!AK8)&amp;IF(CSV!AK8=0,"","("&amp;CSV!AK8&amp;")")</f>
        <v/>
      </c>
      <c r="AJ11" s="11" t="str">
        <f>IF(CSV!AL8=0,"",使用数!AL8)&amp;IF(CSV!AL8=0,"","("&amp;CSV!AL8&amp;")")</f>
        <v/>
      </c>
      <c r="AK11" s="11" t="str">
        <f>IF(CSV!AM8=0,"",使用数!AM8)&amp;IF(CSV!AM8=0,"","("&amp;CSV!AM8&amp;")")</f>
        <v/>
      </c>
    </row>
    <row r="12" spans="1:37" s="7" customFormat="1" ht="27" customHeight="1" x14ac:dyDescent="0.55000000000000004">
      <c r="A12" s="121"/>
      <c r="B12" s="122">
        <v>141007</v>
      </c>
      <c r="C12" s="9" t="str">
        <f>IF(CSV!F9&lt;&gt;0,CSV!F9,"")</f>
        <v/>
      </c>
      <c r="D12" s="122">
        <f>HLOOKUP("部品説明",CSV!$B$2:$CC$42,B12-140999,FALSE)</f>
        <v>0</v>
      </c>
      <c r="E12" s="122" t="str">
        <f>IF(CSV!G9=0,"",CSV!G9)</f>
        <v/>
      </c>
      <c r="F12" s="122">
        <f>CSV!$H9</f>
        <v>0</v>
      </c>
      <c r="G12" s="122" t="str">
        <f>IF(CSV!I9=0,"",使用数!I9)&amp;IF(CSV!I9=0,"","("&amp;CSV!I9&amp;")")</f>
        <v/>
      </c>
      <c r="H12" s="122" t="str">
        <f>IF(CSV!J9=0,"",使用数!J9)&amp;IF(CSV!J9=0,"","("&amp;CSV!J9&amp;")")</f>
        <v/>
      </c>
      <c r="I12" s="122" t="str">
        <f>IF(CSV!K9=0,"",使用数!K9)&amp;IF(CSV!K9=0,"","("&amp;CSV!K9&amp;")")</f>
        <v/>
      </c>
      <c r="J12" s="122" t="str">
        <f>IF(CSV!L9=0,"",使用数!L9)&amp;IF(CSV!L9=0,"","("&amp;CSV!L9&amp;")")</f>
        <v/>
      </c>
      <c r="K12" s="122" t="str">
        <f>IF(CSV!M9=0,"",使用数!M9)&amp;IF(CSV!M9=0,"","("&amp;CSV!M9&amp;")")</f>
        <v/>
      </c>
      <c r="L12" s="122" t="str">
        <f>IF(CSV!N9=0,"",使用数!N9)&amp;IF(CSV!N9=0,"","("&amp;CSV!N9&amp;")")</f>
        <v/>
      </c>
      <c r="M12" s="8" t="str">
        <f>IF(CSV!O9=0,"",使用数!O9)&amp;IF(CSV!O9=0,"","("&amp;CSV!O9&amp;")")</f>
        <v/>
      </c>
      <c r="N12" s="8" t="str">
        <f>IF(CSV!P9=0,"",使用数!P9)&amp;IF(CSV!P9=0,"","("&amp;CSV!P9&amp;")")</f>
        <v/>
      </c>
      <c r="O12" s="8" t="str">
        <f>IF(CSV!Q9=0,"",使用数!Q9)&amp;IF(CSV!Q9=0,"","("&amp;CSV!Q9&amp;")")</f>
        <v/>
      </c>
      <c r="P12" s="8" t="str">
        <f>IF(CSV!R9=0,"",使用数!R9)&amp;IF(CSV!R9=0,"","("&amp;CSV!R9&amp;")")</f>
        <v/>
      </c>
      <c r="Q12" s="8" t="str">
        <f>IF(CSV!S9=0,"",使用数!S9)&amp;IF(CSV!S9=0,"","("&amp;CSV!S9&amp;")")</f>
        <v/>
      </c>
      <c r="R12" s="8" t="str">
        <f>IF(CSV!T9=0,"",使用数!T9)&amp;IF(CSV!T9=0,"","("&amp;CSV!T9&amp;")")</f>
        <v/>
      </c>
      <c r="S12" s="8" t="str">
        <f>IF(CSV!U9=0,"",使用数!U9)&amp;IF(CSV!U9=0,"","("&amp;CSV!U9&amp;")")</f>
        <v/>
      </c>
      <c r="T12" s="8" t="str">
        <f>IF(CSV!V9=0,"",使用数!V9)&amp;IF(CSV!V9=0,"","("&amp;CSV!V9&amp;")")</f>
        <v/>
      </c>
      <c r="U12" s="8" t="str">
        <f>IF(CSV!W9=0,"",使用数!W9)&amp;IF(CSV!W9=0,"","("&amp;CSV!W9&amp;")")</f>
        <v/>
      </c>
      <c r="V12" s="8" t="str">
        <f>IF(CSV!X9=0,"",使用数!X9)&amp;IF(CSV!X9=0,"","("&amp;CSV!X9&amp;")")</f>
        <v/>
      </c>
      <c r="W12" s="8" t="str">
        <f>IF(CSV!Y9=0,"",使用数!Y9)&amp;IF(CSV!Y9=0,"","("&amp;CSV!Y9&amp;")")</f>
        <v/>
      </c>
      <c r="X12" s="8" t="str">
        <f>IF(CSV!Z9=0,"",使用数!Z9)&amp;IF(CSV!Z9=0,"","("&amp;CSV!Z9&amp;")")</f>
        <v/>
      </c>
      <c r="Y12" s="8" t="str">
        <f>IF(CSV!AA9=0,"",使用数!AA9)&amp;IF(CSV!AA9=0,"","("&amp;CSV!AA9&amp;")")</f>
        <v/>
      </c>
      <c r="Z12" s="8" t="str">
        <f>IF(CSV!AB9=0,"",使用数!AB9)&amp;IF(CSV!AB9=0,"","("&amp;CSV!AB9&amp;")")</f>
        <v/>
      </c>
      <c r="AA12" s="8" t="str">
        <f>IF(CSV!AC9=0,"",使用数!AC9)&amp;IF(CSV!AC9=0,"","("&amp;CSV!AC9&amp;")")</f>
        <v/>
      </c>
      <c r="AB12" s="8" t="str">
        <f>IF(CSV!AD9=0,"",使用数!AD9)&amp;IF(CSV!AD9=0,"","("&amp;CSV!AD9&amp;")")</f>
        <v/>
      </c>
      <c r="AC12" s="8" t="str">
        <f>IF(CSV!AE9=0,"",使用数!AE9)&amp;IF(CSV!AE9=0,"","("&amp;CSV!AE9&amp;")")</f>
        <v/>
      </c>
      <c r="AD12" s="8" t="str">
        <f>IF(CSV!AF9=0,"",使用数!AF9)&amp;IF(CSV!AF9=0,"","("&amp;CSV!AF9&amp;")")</f>
        <v/>
      </c>
      <c r="AE12" s="8" t="str">
        <f>IF(CSV!AG9=0,"",使用数!AG9)&amp;IF(CSV!AG9=0,"","("&amp;CSV!AG9&amp;")")</f>
        <v/>
      </c>
      <c r="AF12" s="8" t="str">
        <f>IF(CSV!AH9=0,"",使用数!AH9)&amp;IF(CSV!AH9=0,"","("&amp;CSV!AH9&amp;")")</f>
        <v/>
      </c>
      <c r="AG12" s="8" t="str">
        <f>IF(CSV!AI9=0,"",使用数!AI9)&amp;IF(CSV!AI9=0,"","("&amp;CSV!AI9&amp;")")</f>
        <v/>
      </c>
      <c r="AH12" s="8" t="str">
        <f>IF(CSV!AJ9=0,"",使用数!AJ9)&amp;IF(CSV!AJ9=0,"","("&amp;CSV!AJ9&amp;")")</f>
        <v/>
      </c>
      <c r="AI12" s="8" t="str">
        <f>IF(CSV!AK9=0,"",使用数!AK9)&amp;IF(CSV!AK9=0,"","("&amp;CSV!AK9&amp;")")</f>
        <v/>
      </c>
      <c r="AJ12" s="8" t="str">
        <f>IF(CSV!AL9=0,"",使用数!AL9)&amp;IF(CSV!AL9=0,"","("&amp;CSV!AL9&amp;")")</f>
        <v/>
      </c>
      <c r="AK12" s="8" t="str">
        <f>IF(CSV!AM9=0,"",使用数!AM9)&amp;IF(CSV!AM9=0,"","("&amp;CSV!AM9&amp;")")</f>
        <v/>
      </c>
    </row>
    <row r="13" spans="1:37" ht="27" customHeight="1" x14ac:dyDescent="0.55000000000000004">
      <c r="A13" s="12"/>
      <c r="B13" s="11">
        <v>141008</v>
      </c>
      <c r="C13" s="9" t="str">
        <f>IF(CSV!F10&lt;&gt;0,CSV!F10,"")</f>
        <v/>
      </c>
      <c r="D13" s="11">
        <f>HLOOKUP("部品説明",CSV!$B$2:$CC$42,B13-140999,FALSE)</f>
        <v>0</v>
      </c>
      <c r="E13" s="11" t="str">
        <f>IF(CSV!G10=0,"",CSV!G10)</f>
        <v/>
      </c>
      <c r="F13" s="11">
        <f>CSV!$H10</f>
        <v>0</v>
      </c>
      <c r="G13" s="11" t="str">
        <f>IF(CSV!I10=0,"",使用数!I10)&amp;IF(CSV!I10=0,"","("&amp;CSV!I10&amp;")")</f>
        <v/>
      </c>
      <c r="H13" s="11" t="str">
        <f>IF(CSV!J10=0,"",使用数!J10)&amp;IF(CSV!J10=0,"","("&amp;CSV!J10&amp;")")</f>
        <v/>
      </c>
      <c r="I13" s="11" t="str">
        <f>IF(CSV!K10=0,"",使用数!K10)&amp;IF(CSV!K10=0,"","("&amp;CSV!K10&amp;")")</f>
        <v/>
      </c>
      <c r="J13" s="11" t="str">
        <f>IF(CSV!L10=0,"",使用数!L10)&amp;IF(CSV!L10=0,"","("&amp;CSV!L10&amp;")")</f>
        <v/>
      </c>
      <c r="K13" s="11" t="str">
        <f>IF(CSV!M10=0,"",使用数!M10)&amp;IF(CSV!M10=0,"","("&amp;CSV!M10&amp;")")</f>
        <v/>
      </c>
      <c r="L13" s="11" t="str">
        <f>IF(CSV!N10=0,"",使用数!N10)&amp;IF(CSV!N10=0,"","("&amp;CSV!N10&amp;")")</f>
        <v/>
      </c>
      <c r="M13" s="11" t="str">
        <f>IF(CSV!O10=0,"",使用数!O10)&amp;IF(CSV!O10=0,"","("&amp;CSV!O10&amp;")")</f>
        <v/>
      </c>
      <c r="N13" s="11" t="str">
        <f>IF(CSV!P10=0,"",使用数!P10)&amp;IF(CSV!P10=0,"","("&amp;CSV!P10&amp;")")</f>
        <v/>
      </c>
      <c r="O13" s="11" t="str">
        <f>IF(CSV!Q10=0,"",使用数!Q10)&amp;IF(CSV!Q10=0,"","("&amp;CSV!Q10&amp;")")</f>
        <v/>
      </c>
      <c r="P13" s="11" t="str">
        <f>IF(CSV!R10=0,"",使用数!R10)&amp;IF(CSV!R10=0,"","("&amp;CSV!R10&amp;")")</f>
        <v/>
      </c>
      <c r="Q13" s="11" t="str">
        <f>IF(CSV!S10=0,"",使用数!S10)&amp;IF(CSV!S10=0,"","("&amp;CSV!S10&amp;")")</f>
        <v/>
      </c>
      <c r="R13" s="11" t="str">
        <f>IF(CSV!T10=0,"",使用数!T10)&amp;IF(CSV!T10=0,"","("&amp;CSV!T10&amp;")")</f>
        <v/>
      </c>
      <c r="S13" s="11" t="str">
        <f>IF(CSV!U10=0,"",使用数!U10)&amp;IF(CSV!U10=0,"","("&amp;CSV!U10&amp;")")</f>
        <v/>
      </c>
      <c r="T13" s="11" t="str">
        <f>IF(CSV!V10=0,"",使用数!V10)&amp;IF(CSV!V10=0,"","("&amp;CSV!V10&amp;")")</f>
        <v/>
      </c>
      <c r="U13" s="11" t="str">
        <f>IF(CSV!W10=0,"",使用数!W10)&amp;IF(CSV!W10=0,"","("&amp;CSV!W10&amp;")")</f>
        <v/>
      </c>
      <c r="V13" s="11" t="str">
        <f>IF(CSV!X10=0,"",使用数!X10)&amp;IF(CSV!X10=0,"","("&amp;CSV!X10&amp;")")</f>
        <v/>
      </c>
      <c r="W13" s="11" t="str">
        <f>IF(CSV!Y10=0,"",使用数!Y10)&amp;IF(CSV!Y10=0,"","("&amp;CSV!Y10&amp;")")</f>
        <v/>
      </c>
      <c r="X13" s="11" t="str">
        <f>IF(CSV!Z10=0,"",使用数!Z10)&amp;IF(CSV!Z10=0,"","("&amp;CSV!Z10&amp;")")</f>
        <v/>
      </c>
      <c r="Y13" s="11" t="str">
        <f>IF(CSV!AA10=0,"",使用数!AA10)&amp;IF(CSV!AA10=0,"","("&amp;CSV!AA10&amp;")")</f>
        <v/>
      </c>
      <c r="Z13" s="11" t="str">
        <f>IF(CSV!AB10=0,"",使用数!AB10)&amp;IF(CSV!AB10=0,"","("&amp;CSV!AB10&amp;")")</f>
        <v/>
      </c>
      <c r="AA13" s="11" t="str">
        <f>IF(CSV!AC10=0,"",使用数!AC10)&amp;IF(CSV!AC10=0,"","("&amp;CSV!AC10&amp;")")</f>
        <v/>
      </c>
      <c r="AB13" s="11" t="str">
        <f>IF(CSV!AD10=0,"",使用数!AD10)&amp;IF(CSV!AD10=0,"","("&amp;CSV!AD10&amp;")")</f>
        <v/>
      </c>
      <c r="AC13" s="11" t="str">
        <f>IF(CSV!AE10=0,"",使用数!AE10)&amp;IF(CSV!AE10=0,"","("&amp;CSV!AE10&amp;")")</f>
        <v/>
      </c>
      <c r="AD13" s="11" t="str">
        <f>IF(CSV!AF10=0,"",使用数!AF10)&amp;IF(CSV!AF10=0,"","("&amp;CSV!AF10&amp;")")</f>
        <v/>
      </c>
      <c r="AE13" s="11" t="str">
        <f>IF(CSV!AG10=0,"",使用数!AG10)&amp;IF(CSV!AG10=0,"","("&amp;CSV!AG10&amp;")")</f>
        <v/>
      </c>
      <c r="AF13" s="11" t="str">
        <f>IF(CSV!AH10=0,"",使用数!AH10)&amp;IF(CSV!AH10=0,"","("&amp;CSV!AH10&amp;")")</f>
        <v/>
      </c>
      <c r="AG13" s="11" t="str">
        <f>IF(CSV!AI10=0,"",使用数!AI10)&amp;IF(CSV!AI10=0,"","("&amp;CSV!AI10&amp;")")</f>
        <v/>
      </c>
      <c r="AH13" s="11" t="str">
        <f>IF(CSV!AJ10=0,"",使用数!AJ10)&amp;IF(CSV!AJ10=0,"","("&amp;CSV!AJ10&amp;")")</f>
        <v/>
      </c>
      <c r="AI13" s="11" t="str">
        <f>IF(CSV!AK10=0,"",使用数!AK10)&amp;IF(CSV!AK10=0,"","("&amp;CSV!AK10&amp;")")</f>
        <v/>
      </c>
      <c r="AJ13" s="11" t="str">
        <f>IF(CSV!AL10=0,"",使用数!AL10)&amp;IF(CSV!AL10=0,"","("&amp;CSV!AL10&amp;")")</f>
        <v/>
      </c>
      <c r="AK13" s="11" t="str">
        <f>IF(CSV!AM10=0,"",使用数!AM10)&amp;IF(CSV!AM10=0,"","("&amp;CSV!AM10&amp;")")</f>
        <v/>
      </c>
    </row>
    <row r="14" spans="1:37" s="7" customFormat="1" ht="27" customHeight="1" x14ac:dyDescent="0.55000000000000004">
      <c r="A14" s="121"/>
      <c r="B14" s="122">
        <v>141009</v>
      </c>
      <c r="C14" s="9" t="str">
        <f>IF(CSV!F11&lt;&gt;0,CSV!F11,"")</f>
        <v/>
      </c>
      <c r="D14" s="122">
        <f>HLOOKUP("部品説明",CSV!$B$2:$CC$42,B14-140999,FALSE)</f>
        <v>0</v>
      </c>
      <c r="E14" s="122" t="str">
        <f>IF(CSV!G11=0,"",CSV!G11)</f>
        <v/>
      </c>
      <c r="F14" s="122">
        <f>CSV!$H11</f>
        <v>0</v>
      </c>
      <c r="G14" s="122" t="str">
        <f>IF(CSV!I11=0,"",使用数!I11)&amp;IF(CSV!I11=0,"","("&amp;CSV!I11&amp;")")</f>
        <v/>
      </c>
      <c r="H14" s="122" t="str">
        <f>IF(CSV!J11=0,"",使用数!J11)&amp;IF(CSV!J11=0,"","("&amp;CSV!J11&amp;")")</f>
        <v/>
      </c>
      <c r="I14" s="122" t="str">
        <f>IF(CSV!K11=0,"",使用数!K11)&amp;IF(CSV!K11=0,"","("&amp;CSV!K11&amp;")")</f>
        <v/>
      </c>
      <c r="J14" s="122" t="str">
        <f>IF(CSV!L11=0,"",使用数!L11)&amp;IF(CSV!L11=0,"","("&amp;CSV!L11&amp;")")</f>
        <v/>
      </c>
      <c r="K14" s="122" t="str">
        <f>IF(CSV!M11=0,"",使用数!M11)&amp;IF(CSV!M11=0,"","("&amp;CSV!M11&amp;")")</f>
        <v/>
      </c>
      <c r="L14" s="122" t="str">
        <f>IF(CSV!N11=0,"",使用数!N11)&amp;IF(CSV!N11=0,"","("&amp;CSV!N11&amp;")")</f>
        <v/>
      </c>
      <c r="M14" s="8" t="str">
        <f>IF(CSV!O11=0,"",使用数!O11)&amp;IF(CSV!O11=0,"","("&amp;CSV!O11&amp;")")</f>
        <v/>
      </c>
      <c r="N14" s="8" t="str">
        <f>IF(CSV!P11=0,"",使用数!P11)&amp;IF(CSV!P11=0,"","("&amp;CSV!P11&amp;")")</f>
        <v/>
      </c>
      <c r="O14" s="8" t="str">
        <f>IF(CSV!Q11=0,"",使用数!Q11)&amp;IF(CSV!Q11=0,"","("&amp;CSV!Q11&amp;")")</f>
        <v/>
      </c>
      <c r="P14" s="8" t="str">
        <f>IF(CSV!R11=0,"",使用数!R11)&amp;IF(CSV!R11=0,"","("&amp;CSV!R11&amp;")")</f>
        <v/>
      </c>
      <c r="Q14" s="8" t="str">
        <f>IF(CSV!S11=0,"",使用数!S11)&amp;IF(CSV!S11=0,"","("&amp;CSV!S11&amp;")")</f>
        <v/>
      </c>
      <c r="R14" s="8" t="str">
        <f>IF(CSV!T11=0,"",使用数!T11)&amp;IF(CSV!T11=0,"","("&amp;CSV!T11&amp;")")</f>
        <v/>
      </c>
      <c r="S14" s="8" t="str">
        <f>IF(CSV!U11=0,"",使用数!U11)&amp;IF(CSV!U11=0,"","("&amp;CSV!U11&amp;")")</f>
        <v/>
      </c>
      <c r="T14" s="8" t="str">
        <f>IF(CSV!V11=0,"",使用数!V11)&amp;IF(CSV!V11=0,"","("&amp;CSV!V11&amp;")")</f>
        <v/>
      </c>
      <c r="U14" s="8" t="str">
        <f>IF(CSV!W11=0,"",使用数!W11)&amp;IF(CSV!W11=0,"","("&amp;CSV!W11&amp;")")</f>
        <v/>
      </c>
      <c r="V14" s="8" t="str">
        <f>IF(CSV!X11=0,"",使用数!X11)&amp;IF(CSV!X11=0,"","("&amp;CSV!X11&amp;")")</f>
        <v/>
      </c>
      <c r="W14" s="8" t="str">
        <f>IF(CSV!Y11=0,"",使用数!Y11)&amp;IF(CSV!Y11=0,"","("&amp;CSV!Y11&amp;")")</f>
        <v/>
      </c>
      <c r="X14" s="8" t="str">
        <f>IF(CSV!Z11=0,"",使用数!Z11)&amp;IF(CSV!Z11=0,"","("&amp;CSV!Z11&amp;")")</f>
        <v/>
      </c>
      <c r="Y14" s="8" t="str">
        <f>IF(CSV!AA11=0,"",使用数!AA11)&amp;IF(CSV!AA11=0,"","("&amp;CSV!AA11&amp;")")</f>
        <v/>
      </c>
      <c r="Z14" s="8" t="str">
        <f>IF(CSV!AB11=0,"",使用数!AB11)&amp;IF(CSV!AB11=0,"","("&amp;CSV!AB11&amp;")")</f>
        <v/>
      </c>
      <c r="AA14" s="8" t="str">
        <f>IF(CSV!AC11=0,"",使用数!AC11)&amp;IF(CSV!AC11=0,"","("&amp;CSV!AC11&amp;")")</f>
        <v/>
      </c>
      <c r="AB14" s="8" t="str">
        <f>IF(CSV!AD11=0,"",使用数!AD11)&amp;IF(CSV!AD11=0,"","("&amp;CSV!AD11&amp;")")</f>
        <v/>
      </c>
      <c r="AC14" s="8" t="str">
        <f>IF(CSV!AE11=0,"",使用数!AE11)&amp;IF(CSV!AE11=0,"","("&amp;CSV!AE11&amp;")")</f>
        <v/>
      </c>
      <c r="AD14" s="8" t="str">
        <f>IF(CSV!AF11=0,"",使用数!AF11)&amp;IF(CSV!AF11=0,"","("&amp;CSV!AF11&amp;")")</f>
        <v/>
      </c>
      <c r="AE14" s="8" t="str">
        <f>IF(CSV!AG11=0,"",使用数!AG11)&amp;IF(CSV!AG11=0,"","("&amp;CSV!AG11&amp;")")</f>
        <v/>
      </c>
      <c r="AF14" s="8" t="str">
        <f>IF(CSV!AH11=0,"",使用数!AH11)&amp;IF(CSV!AH11=0,"","("&amp;CSV!AH11&amp;")")</f>
        <v/>
      </c>
      <c r="AG14" s="8" t="str">
        <f>IF(CSV!AI11=0,"",使用数!AI11)&amp;IF(CSV!AI11=0,"","("&amp;CSV!AI11&amp;")")</f>
        <v/>
      </c>
      <c r="AH14" s="8" t="str">
        <f>IF(CSV!AJ11=0,"",使用数!AJ11)&amp;IF(CSV!AJ11=0,"","("&amp;CSV!AJ11&amp;")")</f>
        <v/>
      </c>
      <c r="AI14" s="8" t="str">
        <f>IF(CSV!AK11=0,"",使用数!AK11)&amp;IF(CSV!AK11=0,"","("&amp;CSV!AK11&amp;")")</f>
        <v/>
      </c>
      <c r="AJ14" s="8" t="str">
        <f>IF(CSV!AL11=0,"",使用数!AL11)&amp;IF(CSV!AL11=0,"","("&amp;CSV!AL11&amp;")")</f>
        <v/>
      </c>
      <c r="AK14" s="8" t="str">
        <f>IF(CSV!AM11=0,"",使用数!AM11)&amp;IF(CSV!AM11=0,"","("&amp;CSV!AM11&amp;")")</f>
        <v/>
      </c>
    </row>
    <row r="15" spans="1:37" ht="27" customHeight="1" x14ac:dyDescent="0.55000000000000004">
      <c r="A15" s="12"/>
      <c r="B15" s="11">
        <v>141010</v>
      </c>
      <c r="C15" s="9" t="str">
        <f>IF(CSV!F12&lt;&gt;0,CSV!F12,"")</f>
        <v/>
      </c>
      <c r="D15" s="11">
        <f>HLOOKUP("部品説明",CSV!$B$2:$CC$42,B15-140999,FALSE)</f>
        <v>0</v>
      </c>
      <c r="E15" s="11" t="str">
        <f>IF(CSV!G12=0,"",CSV!G12)</f>
        <v/>
      </c>
      <c r="F15" s="11">
        <f>CSV!$H12</f>
        <v>0</v>
      </c>
      <c r="G15" s="11" t="str">
        <f>IF(CSV!I12=0,"",使用数!I12)&amp;IF(CSV!I12=0,"","("&amp;CSV!I12&amp;")")</f>
        <v/>
      </c>
      <c r="H15" s="11" t="str">
        <f>IF(CSV!J12=0,"",使用数!J12)&amp;IF(CSV!J12=0,"","("&amp;CSV!J12&amp;")")</f>
        <v/>
      </c>
      <c r="I15" s="11" t="str">
        <f>IF(CSV!K12=0,"",使用数!K12)&amp;IF(CSV!K12=0,"","("&amp;CSV!K12&amp;")")</f>
        <v/>
      </c>
      <c r="J15" s="11" t="str">
        <f>IF(CSV!L12=0,"",使用数!L12)&amp;IF(CSV!L12=0,"","("&amp;CSV!L12&amp;")")</f>
        <v/>
      </c>
      <c r="K15" s="11" t="str">
        <f>IF(CSV!M12=0,"",使用数!M12)&amp;IF(CSV!M12=0,"","("&amp;CSV!M12&amp;")")</f>
        <v/>
      </c>
      <c r="L15" s="11" t="str">
        <f>IF(CSV!N12=0,"",使用数!N12)&amp;IF(CSV!N12=0,"","("&amp;CSV!N12&amp;")")</f>
        <v/>
      </c>
      <c r="M15" s="11" t="str">
        <f>IF(CSV!O12=0,"",使用数!O12)&amp;IF(CSV!O12=0,"","("&amp;CSV!O12&amp;")")</f>
        <v/>
      </c>
      <c r="N15" s="11" t="str">
        <f>IF(CSV!P12=0,"",使用数!P12)&amp;IF(CSV!P12=0,"","("&amp;CSV!P12&amp;")")</f>
        <v/>
      </c>
      <c r="O15" s="11" t="str">
        <f>IF(CSV!Q12=0,"",使用数!Q12)&amp;IF(CSV!Q12=0,"","("&amp;CSV!Q12&amp;")")</f>
        <v/>
      </c>
      <c r="P15" s="11" t="str">
        <f>IF(CSV!R12=0,"",使用数!R12)&amp;IF(CSV!R12=0,"","("&amp;CSV!R12&amp;")")</f>
        <v/>
      </c>
      <c r="Q15" s="11" t="str">
        <f>IF(CSV!S12=0,"",使用数!S12)&amp;IF(CSV!S12=0,"","("&amp;CSV!S12&amp;")")</f>
        <v/>
      </c>
      <c r="R15" s="11" t="str">
        <f>IF(CSV!T12=0,"",使用数!T12)&amp;IF(CSV!T12=0,"","("&amp;CSV!T12&amp;")")</f>
        <v/>
      </c>
      <c r="S15" s="11" t="str">
        <f>IF(CSV!U12=0,"",使用数!U12)&amp;IF(CSV!U12=0,"","("&amp;CSV!U12&amp;")")</f>
        <v/>
      </c>
      <c r="T15" s="11" t="str">
        <f>IF(CSV!V12=0,"",使用数!V12)&amp;IF(CSV!V12=0,"","("&amp;CSV!V12&amp;")")</f>
        <v/>
      </c>
      <c r="U15" s="11" t="str">
        <f>IF(CSV!W12=0,"",使用数!W12)&amp;IF(CSV!W12=0,"","("&amp;CSV!W12&amp;")")</f>
        <v/>
      </c>
      <c r="V15" s="11" t="str">
        <f>IF(CSV!X12=0,"",使用数!X12)&amp;IF(CSV!X12=0,"","("&amp;CSV!X12&amp;")")</f>
        <v/>
      </c>
      <c r="W15" s="11" t="str">
        <f>IF(CSV!Y12=0,"",使用数!Y12)&amp;IF(CSV!Y12=0,"","("&amp;CSV!Y12&amp;")")</f>
        <v/>
      </c>
      <c r="X15" s="11" t="str">
        <f>IF(CSV!Z12=0,"",使用数!Z12)&amp;IF(CSV!Z12=0,"","("&amp;CSV!Z12&amp;")")</f>
        <v/>
      </c>
      <c r="Y15" s="11" t="str">
        <f>IF(CSV!AA12=0,"",使用数!AA12)&amp;IF(CSV!AA12=0,"","("&amp;CSV!AA12&amp;")")</f>
        <v/>
      </c>
      <c r="Z15" s="11" t="str">
        <f>IF(CSV!AB12=0,"",使用数!AB12)&amp;IF(CSV!AB12=0,"","("&amp;CSV!AB12&amp;")")</f>
        <v/>
      </c>
      <c r="AA15" s="11" t="str">
        <f>IF(CSV!AC12=0,"",使用数!AC12)&amp;IF(CSV!AC12=0,"","("&amp;CSV!AC12&amp;")")</f>
        <v/>
      </c>
      <c r="AB15" s="11" t="str">
        <f>IF(CSV!AD12=0,"",使用数!AD12)&amp;IF(CSV!AD12=0,"","("&amp;CSV!AD12&amp;")")</f>
        <v/>
      </c>
      <c r="AC15" s="11" t="str">
        <f>IF(CSV!AE12=0,"",使用数!AE12)&amp;IF(CSV!AE12=0,"","("&amp;CSV!AE12&amp;")")</f>
        <v/>
      </c>
      <c r="AD15" s="11" t="str">
        <f>IF(CSV!AF12=0,"",使用数!AF12)&amp;IF(CSV!AF12=0,"","("&amp;CSV!AF12&amp;")")</f>
        <v/>
      </c>
      <c r="AE15" s="11" t="str">
        <f>IF(CSV!AG12=0,"",使用数!AG12)&amp;IF(CSV!AG12=0,"","("&amp;CSV!AG12&amp;")")</f>
        <v/>
      </c>
      <c r="AF15" s="11" t="str">
        <f>IF(CSV!AH12=0,"",使用数!AH12)&amp;IF(CSV!AH12=0,"","("&amp;CSV!AH12&amp;")")</f>
        <v/>
      </c>
      <c r="AG15" s="11" t="str">
        <f>IF(CSV!AI12=0,"",使用数!AI12)&amp;IF(CSV!AI12=0,"","("&amp;CSV!AI12&amp;")")</f>
        <v/>
      </c>
      <c r="AH15" s="11" t="str">
        <f>IF(CSV!AJ12=0,"",使用数!AJ12)&amp;IF(CSV!AJ12=0,"","("&amp;CSV!AJ12&amp;")")</f>
        <v/>
      </c>
      <c r="AI15" s="11" t="str">
        <f>IF(CSV!AK12=0,"",使用数!AK12)&amp;IF(CSV!AK12=0,"","("&amp;CSV!AK12&amp;")")</f>
        <v/>
      </c>
      <c r="AJ15" s="11" t="str">
        <f>IF(CSV!AL12=0,"",使用数!AL12)&amp;IF(CSV!AL12=0,"","("&amp;CSV!AL12&amp;")")</f>
        <v/>
      </c>
      <c r="AK15" s="11" t="str">
        <f>IF(CSV!AM12=0,"",使用数!AM12)&amp;IF(CSV!AM12=0,"","("&amp;CSV!AM12&amp;")")</f>
        <v/>
      </c>
    </row>
    <row r="16" spans="1:37" s="7" customFormat="1" ht="27" customHeight="1" x14ac:dyDescent="0.55000000000000004">
      <c r="A16" s="121"/>
      <c r="B16" s="122">
        <v>141011</v>
      </c>
      <c r="C16" s="9" t="str">
        <f>IF(CSV!F13&lt;&gt;0,CSV!F13,"")</f>
        <v/>
      </c>
      <c r="D16" s="122">
        <f>HLOOKUP("部品説明",CSV!$B$2:$CC$42,B16-140999,FALSE)</f>
        <v>0</v>
      </c>
      <c r="E16" s="122" t="str">
        <f>IF(CSV!G13=0,"",CSV!G13)</f>
        <v/>
      </c>
      <c r="F16" s="122">
        <f>CSV!$H13</f>
        <v>0</v>
      </c>
      <c r="G16" s="122" t="str">
        <f>IF(CSV!I13=0,"",使用数!I13)&amp;IF(CSV!I13=0,"","("&amp;CSV!I13&amp;")")</f>
        <v/>
      </c>
      <c r="H16" s="122" t="str">
        <f>IF(CSV!J13=0,"",使用数!J13)&amp;IF(CSV!J13=0,"","("&amp;CSV!J13&amp;")")</f>
        <v/>
      </c>
      <c r="I16" s="122" t="str">
        <f>IF(CSV!K13=0,"",使用数!K13)&amp;IF(CSV!K13=0,"","("&amp;CSV!K13&amp;")")</f>
        <v/>
      </c>
      <c r="J16" s="122" t="str">
        <f>IF(CSV!L13=0,"",使用数!L13)&amp;IF(CSV!L13=0,"","("&amp;CSV!L13&amp;")")</f>
        <v/>
      </c>
      <c r="K16" s="122" t="str">
        <f>IF(CSV!M13=0,"",使用数!M13)&amp;IF(CSV!M13=0,"","("&amp;CSV!M13&amp;")")</f>
        <v/>
      </c>
      <c r="L16" s="122" t="str">
        <f>IF(CSV!N13=0,"",使用数!N13)&amp;IF(CSV!N13=0,"","("&amp;CSV!N13&amp;")")</f>
        <v/>
      </c>
      <c r="M16" s="8" t="str">
        <f>IF(CSV!O13=0,"",使用数!O13)&amp;IF(CSV!O13=0,"","("&amp;CSV!O13&amp;")")</f>
        <v/>
      </c>
      <c r="N16" s="8" t="str">
        <f>IF(CSV!P13=0,"",使用数!P13)&amp;IF(CSV!P13=0,"","("&amp;CSV!P13&amp;")")</f>
        <v/>
      </c>
      <c r="O16" s="8" t="str">
        <f>IF(CSV!Q13=0,"",使用数!Q13)&amp;IF(CSV!Q13=0,"","("&amp;CSV!Q13&amp;")")</f>
        <v/>
      </c>
      <c r="P16" s="8" t="str">
        <f>IF(CSV!R13=0,"",使用数!R13)&amp;IF(CSV!R13=0,"","("&amp;CSV!R13&amp;")")</f>
        <v/>
      </c>
      <c r="Q16" s="8" t="str">
        <f>IF(CSV!S13=0,"",使用数!S13)&amp;IF(CSV!S13=0,"","("&amp;CSV!S13&amp;")")</f>
        <v/>
      </c>
      <c r="R16" s="8" t="str">
        <f>IF(CSV!T13=0,"",使用数!T13)&amp;IF(CSV!T13=0,"","("&amp;CSV!T13&amp;")")</f>
        <v/>
      </c>
      <c r="S16" s="8" t="str">
        <f>IF(CSV!U13=0,"",使用数!U13)&amp;IF(CSV!U13=0,"","("&amp;CSV!U13&amp;")")</f>
        <v/>
      </c>
      <c r="T16" s="8" t="str">
        <f>IF(CSV!V13=0,"",使用数!V13)&amp;IF(CSV!V13=0,"","("&amp;CSV!V13&amp;")")</f>
        <v/>
      </c>
      <c r="U16" s="8" t="str">
        <f>IF(CSV!W13=0,"",使用数!W13)&amp;IF(CSV!W13=0,"","("&amp;CSV!W13&amp;")")</f>
        <v/>
      </c>
      <c r="V16" s="8" t="str">
        <f>IF(CSV!X13=0,"",使用数!X13)&amp;IF(CSV!X13=0,"","("&amp;CSV!X13&amp;")")</f>
        <v/>
      </c>
      <c r="W16" s="8" t="str">
        <f>IF(CSV!Y13=0,"",使用数!Y13)&amp;IF(CSV!Y13=0,"","("&amp;CSV!Y13&amp;")")</f>
        <v/>
      </c>
      <c r="X16" s="8" t="str">
        <f>IF(CSV!Z13=0,"",使用数!Z13)&amp;IF(CSV!Z13=0,"","("&amp;CSV!Z13&amp;")")</f>
        <v/>
      </c>
      <c r="Y16" s="8" t="str">
        <f>IF(CSV!AA13=0,"",使用数!AA13)&amp;IF(CSV!AA13=0,"","("&amp;CSV!AA13&amp;")")</f>
        <v/>
      </c>
      <c r="Z16" s="8" t="str">
        <f>IF(CSV!AB13=0,"",使用数!AB13)&amp;IF(CSV!AB13=0,"","("&amp;CSV!AB13&amp;")")</f>
        <v/>
      </c>
      <c r="AA16" s="8" t="str">
        <f>IF(CSV!AC13=0,"",使用数!AC13)&amp;IF(CSV!AC13=0,"","("&amp;CSV!AC13&amp;")")</f>
        <v/>
      </c>
      <c r="AB16" s="8" t="str">
        <f>IF(CSV!AD13=0,"",使用数!AD13)&amp;IF(CSV!AD13=0,"","("&amp;CSV!AD13&amp;")")</f>
        <v/>
      </c>
      <c r="AC16" s="8" t="str">
        <f>IF(CSV!AE13=0,"",使用数!AE13)&amp;IF(CSV!AE13=0,"","("&amp;CSV!AE13&amp;")")</f>
        <v/>
      </c>
      <c r="AD16" s="8" t="str">
        <f>IF(CSV!AF13=0,"",使用数!AF13)&amp;IF(CSV!AF13=0,"","("&amp;CSV!AF13&amp;")")</f>
        <v/>
      </c>
      <c r="AE16" s="8" t="str">
        <f>IF(CSV!AG13=0,"",使用数!AG13)&amp;IF(CSV!AG13=0,"","("&amp;CSV!AG13&amp;")")</f>
        <v/>
      </c>
      <c r="AF16" s="8" t="str">
        <f>IF(CSV!AH13=0,"",使用数!AH13)&amp;IF(CSV!AH13=0,"","("&amp;CSV!AH13&amp;")")</f>
        <v/>
      </c>
      <c r="AG16" s="8" t="str">
        <f>IF(CSV!AI13=0,"",使用数!AI13)&amp;IF(CSV!AI13=0,"","("&amp;CSV!AI13&amp;")")</f>
        <v/>
      </c>
      <c r="AH16" s="8" t="str">
        <f>IF(CSV!AJ13=0,"",使用数!AJ13)&amp;IF(CSV!AJ13=0,"","("&amp;CSV!AJ13&amp;")")</f>
        <v/>
      </c>
      <c r="AI16" s="8" t="str">
        <f>IF(CSV!AK13=0,"",使用数!AK13)&amp;IF(CSV!AK13=0,"","("&amp;CSV!AK13&amp;")")</f>
        <v/>
      </c>
      <c r="AJ16" s="8" t="str">
        <f>IF(CSV!AL13=0,"",使用数!AL13)&amp;IF(CSV!AL13=0,"","("&amp;CSV!AL13&amp;")")</f>
        <v/>
      </c>
      <c r="AK16" s="8" t="str">
        <f>IF(CSV!AM13=0,"",使用数!AM13)&amp;IF(CSV!AM13=0,"","("&amp;CSV!AM13&amp;")")</f>
        <v/>
      </c>
    </row>
    <row r="17" spans="1:37" ht="27" customHeight="1" x14ac:dyDescent="0.55000000000000004">
      <c r="A17" s="12"/>
      <c r="B17" s="11">
        <v>141012</v>
      </c>
      <c r="C17" s="9" t="str">
        <f>IF(CSV!F14&lt;&gt;0,CSV!F14,"")</f>
        <v/>
      </c>
      <c r="D17" s="11">
        <f>HLOOKUP("部品説明",CSV!$B$2:$CC$42,B17-140999,FALSE)</f>
        <v>0</v>
      </c>
      <c r="E17" s="11" t="str">
        <f>IF(CSV!G14=0,"",CSV!G14)</f>
        <v/>
      </c>
      <c r="F17" s="11">
        <f>CSV!$H14</f>
        <v>0</v>
      </c>
      <c r="G17" s="11" t="str">
        <f>IF(CSV!I14=0,"",使用数!I14)&amp;IF(CSV!I14=0,"","("&amp;CSV!I14&amp;")")</f>
        <v/>
      </c>
      <c r="H17" s="11" t="str">
        <f>IF(CSV!J14=0,"",使用数!J14)&amp;IF(CSV!J14=0,"","("&amp;CSV!J14&amp;")")</f>
        <v/>
      </c>
      <c r="I17" s="11" t="str">
        <f>IF(CSV!K14=0,"",使用数!K14)&amp;IF(CSV!K14=0,"","("&amp;CSV!K14&amp;")")</f>
        <v/>
      </c>
      <c r="J17" s="11" t="str">
        <f>IF(CSV!L14=0,"",使用数!L14)&amp;IF(CSV!L14=0,"","("&amp;CSV!L14&amp;")")</f>
        <v/>
      </c>
      <c r="K17" s="11" t="str">
        <f>IF(CSV!M14=0,"",使用数!M14)&amp;IF(CSV!M14=0,"","("&amp;CSV!M14&amp;")")</f>
        <v/>
      </c>
      <c r="L17" s="11" t="str">
        <f>IF(CSV!N14=0,"",使用数!N14)&amp;IF(CSV!N14=0,"","("&amp;CSV!N14&amp;")")</f>
        <v/>
      </c>
      <c r="M17" s="11" t="str">
        <f>IF(CSV!O14=0,"",使用数!O14)&amp;IF(CSV!O14=0,"","("&amp;CSV!O14&amp;")")</f>
        <v/>
      </c>
      <c r="N17" s="11" t="str">
        <f>IF(CSV!P14=0,"",使用数!P14)&amp;IF(CSV!P14=0,"","("&amp;CSV!P14&amp;")")</f>
        <v/>
      </c>
      <c r="O17" s="11" t="str">
        <f>IF(CSV!Q14=0,"",使用数!Q14)&amp;IF(CSV!Q14=0,"","("&amp;CSV!Q14&amp;")")</f>
        <v/>
      </c>
      <c r="P17" s="11" t="str">
        <f>IF(CSV!R14=0,"",使用数!R14)&amp;IF(CSV!R14=0,"","("&amp;CSV!R14&amp;")")</f>
        <v/>
      </c>
      <c r="Q17" s="11" t="str">
        <f>IF(CSV!S14=0,"",使用数!S14)&amp;IF(CSV!S14=0,"","("&amp;CSV!S14&amp;")")</f>
        <v/>
      </c>
      <c r="R17" s="11" t="str">
        <f>IF(CSV!T14=0,"",使用数!T14)&amp;IF(CSV!T14=0,"","("&amp;CSV!T14&amp;")")</f>
        <v/>
      </c>
      <c r="S17" s="11" t="str">
        <f>IF(CSV!U14=0,"",使用数!U14)&amp;IF(CSV!U14=0,"","("&amp;CSV!U14&amp;")")</f>
        <v/>
      </c>
      <c r="T17" s="11" t="str">
        <f>IF(CSV!V14=0,"",使用数!V14)&amp;IF(CSV!V14=0,"","("&amp;CSV!V14&amp;")")</f>
        <v/>
      </c>
      <c r="U17" s="11" t="str">
        <f>IF(CSV!W14=0,"",使用数!W14)&amp;IF(CSV!W14=0,"","("&amp;CSV!W14&amp;")")</f>
        <v/>
      </c>
      <c r="V17" s="11" t="str">
        <f>IF(CSV!X14=0,"",使用数!X14)&amp;IF(CSV!X14=0,"","("&amp;CSV!X14&amp;")")</f>
        <v/>
      </c>
      <c r="W17" s="11" t="str">
        <f>IF(CSV!Y14=0,"",使用数!Y14)&amp;IF(CSV!Y14=0,"","("&amp;CSV!Y14&amp;")")</f>
        <v/>
      </c>
      <c r="X17" s="11" t="str">
        <f>IF(CSV!Z14=0,"",使用数!Z14)&amp;IF(CSV!Z14=0,"","("&amp;CSV!Z14&amp;")")</f>
        <v/>
      </c>
      <c r="Y17" s="11" t="str">
        <f>IF(CSV!AA14=0,"",使用数!AA14)&amp;IF(CSV!AA14=0,"","("&amp;CSV!AA14&amp;")")</f>
        <v/>
      </c>
      <c r="Z17" s="11" t="str">
        <f>IF(CSV!AB14=0,"",使用数!AB14)&amp;IF(CSV!AB14=0,"","("&amp;CSV!AB14&amp;")")</f>
        <v/>
      </c>
      <c r="AA17" s="11" t="str">
        <f>IF(CSV!AC14=0,"",使用数!AC14)&amp;IF(CSV!AC14=0,"","("&amp;CSV!AC14&amp;")")</f>
        <v/>
      </c>
      <c r="AB17" s="11" t="str">
        <f>IF(CSV!AD14=0,"",使用数!AD14)&amp;IF(CSV!AD14=0,"","("&amp;CSV!AD14&amp;")")</f>
        <v/>
      </c>
      <c r="AC17" s="11" t="str">
        <f>IF(CSV!AE14=0,"",使用数!AE14)&amp;IF(CSV!AE14=0,"","("&amp;CSV!AE14&amp;")")</f>
        <v/>
      </c>
      <c r="AD17" s="11" t="str">
        <f>IF(CSV!AF14=0,"",使用数!AF14)&amp;IF(CSV!AF14=0,"","("&amp;CSV!AF14&amp;")")</f>
        <v/>
      </c>
      <c r="AE17" s="11" t="str">
        <f>IF(CSV!AG14=0,"",使用数!AG14)&amp;IF(CSV!AG14=0,"","("&amp;CSV!AG14&amp;")")</f>
        <v/>
      </c>
      <c r="AF17" s="11" t="str">
        <f>IF(CSV!AH14=0,"",使用数!AH14)&amp;IF(CSV!AH14=0,"","("&amp;CSV!AH14&amp;")")</f>
        <v/>
      </c>
      <c r="AG17" s="11" t="str">
        <f>IF(CSV!AI14=0,"",使用数!AI14)&amp;IF(CSV!AI14=0,"","("&amp;CSV!AI14&amp;")")</f>
        <v/>
      </c>
      <c r="AH17" s="11" t="str">
        <f>IF(CSV!AJ14=0,"",使用数!AJ14)&amp;IF(CSV!AJ14=0,"","("&amp;CSV!AJ14&amp;")")</f>
        <v/>
      </c>
      <c r="AI17" s="11" t="str">
        <f>IF(CSV!AK14=0,"",使用数!AK14)&amp;IF(CSV!AK14=0,"","("&amp;CSV!AK14&amp;")")</f>
        <v/>
      </c>
      <c r="AJ17" s="11" t="str">
        <f>IF(CSV!AL14=0,"",使用数!AL14)&amp;IF(CSV!AL14=0,"","("&amp;CSV!AL14&amp;")")</f>
        <v/>
      </c>
      <c r="AK17" s="11" t="str">
        <f>IF(CSV!AM14=0,"",使用数!AM14)&amp;IF(CSV!AM14=0,"","("&amp;CSV!AM14&amp;")")</f>
        <v/>
      </c>
    </row>
    <row r="18" spans="1:37" s="7" customFormat="1" ht="27" customHeight="1" x14ac:dyDescent="0.55000000000000004">
      <c r="A18" s="121"/>
      <c r="B18" s="122">
        <v>141013</v>
      </c>
      <c r="C18" s="9" t="str">
        <f>IF(CSV!F15&lt;&gt;0,CSV!F15,"")</f>
        <v/>
      </c>
      <c r="D18" s="122">
        <f>HLOOKUP("部品説明",CSV!$B$2:$CC$42,B18-140999,FALSE)</f>
        <v>0</v>
      </c>
      <c r="E18" s="122" t="str">
        <f>IF(CSV!G15=0,"",CSV!G15)</f>
        <v/>
      </c>
      <c r="F18" s="122">
        <f>CSV!$H15</f>
        <v>0</v>
      </c>
      <c r="G18" s="122" t="str">
        <f>IF(CSV!I15=0,"",使用数!I15)&amp;IF(CSV!I15=0,"","("&amp;CSV!I15&amp;")")</f>
        <v/>
      </c>
      <c r="H18" s="122" t="str">
        <f>IF(CSV!J15=0,"",使用数!J15)&amp;IF(CSV!J15=0,"","("&amp;CSV!J15&amp;")")</f>
        <v/>
      </c>
      <c r="I18" s="122" t="str">
        <f>IF(CSV!K15=0,"",使用数!K15)&amp;IF(CSV!K15=0,"","("&amp;CSV!K15&amp;")")</f>
        <v/>
      </c>
      <c r="J18" s="122" t="str">
        <f>IF(CSV!L15=0,"",使用数!L15)&amp;IF(CSV!L15=0,"","("&amp;CSV!L15&amp;")")</f>
        <v/>
      </c>
      <c r="K18" s="122" t="str">
        <f>IF(CSV!M15=0,"",使用数!M15)&amp;IF(CSV!M15=0,"","("&amp;CSV!M15&amp;")")</f>
        <v/>
      </c>
      <c r="L18" s="122" t="str">
        <f>IF(CSV!N15=0,"",使用数!N15)&amp;IF(CSV!N15=0,"","("&amp;CSV!N15&amp;")")</f>
        <v/>
      </c>
      <c r="M18" s="8" t="str">
        <f>IF(CSV!O15=0,"",使用数!O15)&amp;IF(CSV!O15=0,"","("&amp;CSV!O15&amp;")")</f>
        <v/>
      </c>
      <c r="N18" s="8" t="str">
        <f>IF(CSV!P15=0,"",使用数!P15)&amp;IF(CSV!P15=0,"","("&amp;CSV!P15&amp;")")</f>
        <v/>
      </c>
      <c r="O18" s="8" t="str">
        <f>IF(CSV!Q15=0,"",使用数!Q15)&amp;IF(CSV!Q15=0,"","("&amp;CSV!Q15&amp;")")</f>
        <v/>
      </c>
      <c r="P18" s="8" t="str">
        <f>IF(CSV!R15=0,"",使用数!R15)&amp;IF(CSV!R15=0,"","("&amp;CSV!R15&amp;")")</f>
        <v/>
      </c>
      <c r="Q18" s="8" t="str">
        <f>IF(CSV!S15=0,"",使用数!S15)&amp;IF(CSV!S15=0,"","("&amp;CSV!S15&amp;")")</f>
        <v/>
      </c>
      <c r="R18" s="8" t="str">
        <f>IF(CSV!T15=0,"",使用数!T15)&amp;IF(CSV!T15=0,"","("&amp;CSV!T15&amp;")")</f>
        <v/>
      </c>
      <c r="S18" s="8" t="str">
        <f>IF(CSV!U15=0,"",使用数!U15)&amp;IF(CSV!U15=0,"","("&amp;CSV!U15&amp;")")</f>
        <v/>
      </c>
      <c r="T18" s="8" t="str">
        <f>IF(CSV!V15=0,"",使用数!V15)&amp;IF(CSV!V15=0,"","("&amp;CSV!V15&amp;")")</f>
        <v/>
      </c>
      <c r="U18" s="8" t="str">
        <f>IF(CSV!W15=0,"",使用数!W15)&amp;IF(CSV!W15=0,"","("&amp;CSV!W15&amp;")")</f>
        <v/>
      </c>
      <c r="V18" s="8" t="str">
        <f>IF(CSV!X15=0,"",使用数!X15)&amp;IF(CSV!X15=0,"","("&amp;CSV!X15&amp;")")</f>
        <v/>
      </c>
      <c r="W18" s="8" t="str">
        <f>IF(CSV!Y15=0,"",使用数!Y15)&amp;IF(CSV!Y15=0,"","("&amp;CSV!Y15&amp;")")</f>
        <v/>
      </c>
      <c r="X18" s="8" t="str">
        <f>IF(CSV!Z15=0,"",使用数!Z15)&amp;IF(CSV!Z15=0,"","("&amp;CSV!Z15&amp;")")</f>
        <v/>
      </c>
      <c r="Y18" s="8" t="str">
        <f>IF(CSV!AA15=0,"",使用数!AA15)&amp;IF(CSV!AA15=0,"","("&amp;CSV!AA15&amp;")")</f>
        <v/>
      </c>
      <c r="Z18" s="8" t="str">
        <f>IF(CSV!AB15=0,"",使用数!AB15)&amp;IF(CSV!AB15=0,"","("&amp;CSV!AB15&amp;")")</f>
        <v/>
      </c>
      <c r="AA18" s="8" t="str">
        <f>IF(CSV!AC15=0,"",使用数!AC15)&amp;IF(CSV!AC15=0,"","("&amp;CSV!AC15&amp;")")</f>
        <v/>
      </c>
      <c r="AB18" s="8" t="str">
        <f>IF(CSV!AD15=0,"",使用数!AD15)&amp;IF(CSV!AD15=0,"","("&amp;CSV!AD15&amp;")")</f>
        <v/>
      </c>
      <c r="AC18" s="8" t="str">
        <f>IF(CSV!AE15=0,"",使用数!AE15)&amp;IF(CSV!AE15=0,"","("&amp;CSV!AE15&amp;")")</f>
        <v/>
      </c>
      <c r="AD18" s="8" t="str">
        <f>IF(CSV!AF15=0,"",使用数!AF15)&amp;IF(CSV!AF15=0,"","("&amp;CSV!AF15&amp;")")</f>
        <v/>
      </c>
      <c r="AE18" s="8" t="str">
        <f>IF(CSV!AG15=0,"",使用数!AG15)&amp;IF(CSV!AG15=0,"","("&amp;CSV!AG15&amp;")")</f>
        <v/>
      </c>
      <c r="AF18" s="8" t="str">
        <f>IF(CSV!AH15=0,"",使用数!AH15)&amp;IF(CSV!AH15=0,"","("&amp;CSV!AH15&amp;")")</f>
        <v/>
      </c>
      <c r="AG18" s="8" t="str">
        <f>IF(CSV!AI15=0,"",使用数!AI15)&amp;IF(CSV!AI15=0,"","("&amp;CSV!AI15&amp;")")</f>
        <v/>
      </c>
      <c r="AH18" s="8" t="str">
        <f>IF(CSV!AJ15=0,"",使用数!AJ15)&amp;IF(CSV!AJ15=0,"","("&amp;CSV!AJ15&amp;")")</f>
        <v/>
      </c>
      <c r="AI18" s="8" t="str">
        <f>IF(CSV!AK15=0,"",使用数!AK15)&amp;IF(CSV!AK15=0,"","("&amp;CSV!AK15&amp;")")</f>
        <v/>
      </c>
      <c r="AJ18" s="8" t="str">
        <f>IF(CSV!AL15=0,"",使用数!AL15)&amp;IF(CSV!AL15=0,"","("&amp;CSV!AL15&amp;")")</f>
        <v/>
      </c>
      <c r="AK18" s="8" t="str">
        <f>IF(CSV!AM15=0,"",使用数!AM15)&amp;IF(CSV!AM15=0,"","("&amp;CSV!AM15&amp;")")</f>
        <v/>
      </c>
    </row>
    <row r="19" spans="1:37" ht="27" customHeight="1" x14ac:dyDescent="0.55000000000000004">
      <c r="A19" s="12"/>
      <c r="B19" s="11">
        <v>141014</v>
      </c>
      <c r="C19" s="9" t="str">
        <f>IF(CSV!F16&lt;&gt;0,CSV!F16,"")</f>
        <v/>
      </c>
      <c r="D19" s="11">
        <f>HLOOKUP("部品説明",CSV!$B$2:$CC$42,B19-140999,FALSE)</f>
        <v>0</v>
      </c>
      <c r="E19" s="11" t="str">
        <f>IF(CSV!G16=0,"",CSV!G16)</f>
        <v/>
      </c>
      <c r="F19" s="11">
        <f>CSV!$H16</f>
        <v>0</v>
      </c>
      <c r="G19" s="11" t="str">
        <f>IF(CSV!I16=0,"",使用数!I16)&amp;IF(CSV!I16=0,"","("&amp;CSV!I16&amp;")")</f>
        <v/>
      </c>
      <c r="H19" s="11" t="str">
        <f>IF(CSV!J16=0,"",使用数!J16)&amp;IF(CSV!J16=0,"","("&amp;CSV!J16&amp;")")</f>
        <v/>
      </c>
      <c r="I19" s="11" t="str">
        <f>IF(CSV!K16=0,"",使用数!K16)&amp;IF(CSV!K16=0,"","("&amp;CSV!K16&amp;")")</f>
        <v/>
      </c>
      <c r="J19" s="11" t="str">
        <f>IF(CSV!L16=0,"",使用数!L16)&amp;IF(CSV!L16=0,"","("&amp;CSV!L16&amp;")")</f>
        <v/>
      </c>
      <c r="K19" s="11" t="str">
        <f>IF(CSV!M16=0,"",使用数!M16)&amp;IF(CSV!M16=0,"","("&amp;CSV!M16&amp;")")</f>
        <v/>
      </c>
      <c r="L19" s="11" t="str">
        <f>IF(CSV!N16=0,"",使用数!N16)&amp;IF(CSV!N16=0,"","("&amp;CSV!N16&amp;")")</f>
        <v/>
      </c>
      <c r="M19" s="11" t="str">
        <f>IF(CSV!O16=0,"",使用数!O16)&amp;IF(CSV!O16=0,"","("&amp;CSV!O16&amp;")")</f>
        <v/>
      </c>
      <c r="N19" s="11" t="str">
        <f>IF(CSV!P16=0,"",使用数!P16)&amp;IF(CSV!P16=0,"","("&amp;CSV!P16&amp;")")</f>
        <v/>
      </c>
      <c r="O19" s="11" t="str">
        <f>IF(CSV!Q16=0,"",使用数!Q16)&amp;IF(CSV!Q16=0,"","("&amp;CSV!Q16&amp;")")</f>
        <v/>
      </c>
      <c r="P19" s="11" t="str">
        <f>IF(CSV!R16=0,"",使用数!R16)&amp;IF(CSV!R16=0,"","("&amp;CSV!R16&amp;")")</f>
        <v/>
      </c>
      <c r="Q19" s="11" t="str">
        <f>IF(CSV!S16=0,"",使用数!S16)&amp;IF(CSV!S16=0,"","("&amp;CSV!S16&amp;")")</f>
        <v/>
      </c>
      <c r="R19" s="11" t="str">
        <f>IF(CSV!T16=0,"",使用数!T16)&amp;IF(CSV!T16=0,"","("&amp;CSV!T16&amp;")")</f>
        <v/>
      </c>
      <c r="S19" s="11" t="str">
        <f>IF(CSV!U16=0,"",使用数!U16)&amp;IF(CSV!U16=0,"","("&amp;CSV!U16&amp;")")</f>
        <v/>
      </c>
      <c r="T19" s="11" t="str">
        <f>IF(CSV!V16=0,"",使用数!V16)&amp;IF(CSV!V16=0,"","("&amp;CSV!V16&amp;")")</f>
        <v/>
      </c>
      <c r="U19" s="11" t="str">
        <f>IF(CSV!W16=0,"",使用数!W16)&amp;IF(CSV!W16=0,"","("&amp;CSV!W16&amp;")")</f>
        <v/>
      </c>
      <c r="V19" s="11" t="str">
        <f>IF(CSV!X16=0,"",使用数!X16)&amp;IF(CSV!X16=0,"","("&amp;CSV!X16&amp;")")</f>
        <v/>
      </c>
      <c r="W19" s="11" t="str">
        <f>IF(CSV!Y16=0,"",使用数!Y16)&amp;IF(CSV!Y16=0,"","("&amp;CSV!Y16&amp;")")</f>
        <v/>
      </c>
      <c r="X19" s="11" t="str">
        <f>IF(CSV!Z16=0,"",使用数!Z16)&amp;IF(CSV!Z16=0,"","("&amp;CSV!Z16&amp;")")</f>
        <v/>
      </c>
      <c r="Y19" s="11" t="str">
        <f>IF(CSV!AA16=0,"",使用数!AA16)&amp;IF(CSV!AA16=0,"","("&amp;CSV!AA16&amp;")")</f>
        <v/>
      </c>
      <c r="Z19" s="11" t="str">
        <f>IF(CSV!AB16=0,"",使用数!AB16)&amp;IF(CSV!AB16=0,"","("&amp;CSV!AB16&amp;")")</f>
        <v/>
      </c>
      <c r="AA19" s="11" t="str">
        <f>IF(CSV!AC16=0,"",使用数!AC16)&amp;IF(CSV!AC16=0,"","("&amp;CSV!AC16&amp;")")</f>
        <v/>
      </c>
      <c r="AB19" s="11" t="str">
        <f>IF(CSV!AD16=0,"",使用数!AD16)&amp;IF(CSV!AD16=0,"","("&amp;CSV!AD16&amp;")")</f>
        <v/>
      </c>
      <c r="AC19" s="11" t="str">
        <f>IF(CSV!AE16=0,"",使用数!AE16)&amp;IF(CSV!AE16=0,"","("&amp;CSV!AE16&amp;")")</f>
        <v/>
      </c>
      <c r="AD19" s="11" t="str">
        <f>IF(CSV!AF16=0,"",使用数!AF16)&amp;IF(CSV!AF16=0,"","("&amp;CSV!AF16&amp;")")</f>
        <v/>
      </c>
      <c r="AE19" s="11" t="str">
        <f>IF(CSV!AG16=0,"",使用数!AG16)&amp;IF(CSV!AG16=0,"","("&amp;CSV!AG16&amp;")")</f>
        <v/>
      </c>
      <c r="AF19" s="11" t="str">
        <f>IF(CSV!AH16=0,"",使用数!AH16)&amp;IF(CSV!AH16=0,"","("&amp;CSV!AH16&amp;")")</f>
        <v/>
      </c>
      <c r="AG19" s="11" t="str">
        <f>IF(CSV!AI16=0,"",使用数!AI16)&amp;IF(CSV!AI16=0,"","("&amp;CSV!AI16&amp;")")</f>
        <v/>
      </c>
      <c r="AH19" s="11" t="str">
        <f>IF(CSV!AJ16=0,"",使用数!AJ16)&amp;IF(CSV!AJ16=0,"","("&amp;CSV!AJ16&amp;")")</f>
        <v/>
      </c>
      <c r="AI19" s="11" t="str">
        <f>IF(CSV!AK16=0,"",使用数!AK16)&amp;IF(CSV!AK16=0,"","("&amp;CSV!AK16&amp;")")</f>
        <v/>
      </c>
      <c r="AJ19" s="11" t="str">
        <f>IF(CSV!AL16=0,"",使用数!AL16)&amp;IF(CSV!AL16=0,"","("&amp;CSV!AL16&amp;")")</f>
        <v/>
      </c>
      <c r="AK19" s="11" t="str">
        <f>IF(CSV!AM16=0,"",使用数!AM16)&amp;IF(CSV!AM16=0,"","("&amp;CSV!AM16&amp;")")</f>
        <v/>
      </c>
    </row>
    <row r="20" spans="1:37" s="7" customFormat="1" ht="27" customHeight="1" x14ac:dyDescent="0.55000000000000004">
      <c r="A20" s="121"/>
      <c r="B20" s="122">
        <v>141015</v>
      </c>
      <c r="C20" s="9" t="str">
        <f>IF(CSV!F17&lt;&gt;0,CSV!F17,"")</f>
        <v/>
      </c>
      <c r="D20" s="122">
        <f>HLOOKUP("部品説明",CSV!$B$2:$CC$42,B20-140999,FALSE)</f>
        <v>0</v>
      </c>
      <c r="E20" s="122" t="str">
        <f>IF(CSV!G17=0,"",CSV!G17)</f>
        <v/>
      </c>
      <c r="F20" s="122">
        <f>CSV!$H17</f>
        <v>0</v>
      </c>
      <c r="G20" s="122" t="str">
        <f>IF(CSV!I17=0,"",使用数!I17)&amp;IF(CSV!I17=0,"","("&amp;CSV!I17&amp;")")</f>
        <v/>
      </c>
      <c r="H20" s="122" t="str">
        <f>IF(CSV!J17=0,"",使用数!J17)&amp;IF(CSV!J17=0,"","("&amp;CSV!J17&amp;")")</f>
        <v/>
      </c>
      <c r="I20" s="122" t="str">
        <f>IF(CSV!K17=0,"",使用数!K17)&amp;IF(CSV!K17=0,"","("&amp;CSV!K17&amp;")")</f>
        <v/>
      </c>
      <c r="J20" s="122" t="str">
        <f>IF(CSV!L17=0,"",使用数!L17)&amp;IF(CSV!L17=0,"","("&amp;CSV!L17&amp;")")</f>
        <v/>
      </c>
      <c r="K20" s="122" t="str">
        <f>IF(CSV!M17=0,"",使用数!M17)&amp;IF(CSV!M17=0,"","("&amp;CSV!M17&amp;")")</f>
        <v/>
      </c>
      <c r="L20" s="122" t="str">
        <f>IF(CSV!N17=0,"",使用数!N17)&amp;IF(CSV!N17=0,"","("&amp;CSV!N17&amp;")")</f>
        <v/>
      </c>
      <c r="M20" s="8" t="str">
        <f>IF(CSV!O17=0,"",使用数!O17)&amp;IF(CSV!O17=0,"","("&amp;CSV!O17&amp;")")</f>
        <v/>
      </c>
      <c r="N20" s="8" t="str">
        <f>IF(CSV!P17=0,"",使用数!P17)&amp;IF(CSV!P17=0,"","("&amp;CSV!P17&amp;")")</f>
        <v/>
      </c>
      <c r="O20" s="8" t="str">
        <f>IF(CSV!Q17=0,"",使用数!Q17)&amp;IF(CSV!Q17=0,"","("&amp;CSV!Q17&amp;")")</f>
        <v/>
      </c>
      <c r="P20" s="8" t="str">
        <f>IF(CSV!R17=0,"",使用数!R17)&amp;IF(CSV!R17=0,"","("&amp;CSV!R17&amp;")")</f>
        <v/>
      </c>
      <c r="Q20" s="8" t="str">
        <f>IF(CSV!S17=0,"",使用数!S17)&amp;IF(CSV!S17=0,"","("&amp;CSV!S17&amp;")")</f>
        <v/>
      </c>
      <c r="R20" s="8" t="str">
        <f>IF(CSV!T17=0,"",使用数!T17)&amp;IF(CSV!T17=0,"","("&amp;CSV!T17&amp;")")</f>
        <v/>
      </c>
      <c r="S20" s="8" t="str">
        <f>IF(CSV!U17=0,"",使用数!U17)&amp;IF(CSV!U17=0,"","("&amp;CSV!U17&amp;")")</f>
        <v/>
      </c>
      <c r="T20" s="8" t="str">
        <f>IF(CSV!V17=0,"",使用数!V17)&amp;IF(CSV!V17=0,"","("&amp;CSV!V17&amp;")")</f>
        <v/>
      </c>
      <c r="U20" s="8" t="str">
        <f>IF(CSV!W17=0,"",使用数!W17)&amp;IF(CSV!W17=0,"","("&amp;CSV!W17&amp;")")</f>
        <v/>
      </c>
      <c r="V20" s="8" t="str">
        <f>IF(CSV!X17=0,"",使用数!X17)&amp;IF(CSV!X17=0,"","("&amp;CSV!X17&amp;")")</f>
        <v/>
      </c>
      <c r="W20" s="8" t="str">
        <f>IF(CSV!Y17=0,"",使用数!Y17)&amp;IF(CSV!Y17=0,"","("&amp;CSV!Y17&amp;")")</f>
        <v/>
      </c>
      <c r="X20" s="8" t="str">
        <f>IF(CSV!Z17=0,"",使用数!Z17)&amp;IF(CSV!Z17=0,"","("&amp;CSV!Z17&amp;")")</f>
        <v/>
      </c>
      <c r="Y20" s="8" t="str">
        <f>IF(CSV!AA17=0,"",使用数!AA17)&amp;IF(CSV!AA17=0,"","("&amp;CSV!AA17&amp;")")</f>
        <v/>
      </c>
      <c r="Z20" s="8" t="str">
        <f>IF(CSV!AB17=0,"",使用数!AB17)&amp;IF(CSV!AB17=0,"","("&amp;CSV!AB17&amp;")")</f>
        <v/>
      </c>
      <c r="AA20" s="8" t="str">
        <f>IF(CSV!AC17=0,"",使用数!AC17)&amp;IF(CSV!AC17=0,"","("&amp;CSV!AC17&amp;")")</f>
        <v/>
      </c>
      <c r="AB20" s="8" t="str">
        <f>IF(CSV!AD17=0,"",使用数!AD17)&amp;IF(CSV!AD17=0,"","("&amp;CSV!AD17&amp;")")</f>
        <v/>
      </c>
      <c r="AC20" s="8" t="str">
        <f>IF(CSV!AE17=0,"",使用数!AE17)&amp;IF(CSV!AE17=0,"","("&amp;CSV!AE17&amp;")")</f>
        <v/>
      </c>
      <c r="AD20" s="8" t="str">
        <f>IF(CSV!AF17=0,"",使用数!AF17)&amp;IF(CSV!AF17=0,"","("&amp;CSV!AF17&amp;")")</f>
        <v/>
      </c>
      <c r="AE20" s="8" t="str">
        <f>IF(CSV!AG17=0,"",使用数!AG17)&amp;IF(CSV!AG17=0,"","("&amp;CSV!AG17&amp;")")</f>
        <v/>
      </c>
      <c r="AF20" s="8" t="str">
        <f>IF(CSV!AH17=0,"",使用数!AH17)&amp;IF(CSV!AH17=0,"","("&amp;CSV!AH17&amp;")")</f>
        <v/>
      </c>
      <c r="AG20" s="8" t="str">
        <f>IF(CSV!AI17=0,"",使用数!AI17)&amp;IF(CSV!AI17=0,"","("&amp;CSV!AI17&amp;")")</f>
        <v/>
      </c>
      <c r="AH20" s="8" t="str">
        <f>IF(CSV!AJ17=0,"",使用数!AJ17)&amp;IF(CSV!AJ17=0,"","("&amp;CSV!AJ17&amp;")")</f>
        <v/>
      </c>
      <c r="AI20" s="8" t="str">
        <f>IF(CSV!AK17=0,"",使用数!AK17)&amp;IF(CSV!AK17=0,"","("&amp;CSV!AK17&amp;")")</f>
        <v/>
      </c>
      <c r="AJ20" s="8" t="str">
        <f>IF(CSV!AL17=0,"",使用数!AL17)&amp;IF(CSV!AL17=0,"","("&amp;CSV!AL17&amp;")")</f>
        <v/>
      </c>
      <c r="AK20" s="8" t="str">
        <f>IF(CSV!AM17=0,"",使用数!AM17)&amp;IF(CSV!AM17=0,"","("&amp;CSV!AM17&amp;")")</f>
        <v/>
      </c>
    </row>
    <row r="21" spans="1:37" ht="27" customHeight="1" x14ac:dyDescent="0.55000000000000004">
      <c r="A21" s="12"/>
      <c r="B21" s="11">
        <v>141016</v>
      </c>
      <c r="C21" s="9" t="str">
        <f>IF(CSV!F18&lt;&gt;0,CSV!F18,"")</f>
        <v/>
      </c>
      <c r="D21" s="11">
        <f>HLOOKUP("部品説明",CSV!$B$2:$CC$42,B21-140999,FALSE)</f>
        <v>0</v>
      </c>
      <c r="E21" s="11" t="str">
        <f>IF(CSV!G18=0,"",CSV!G18)</f>
        <v/>
      </c>
      <c r="F21" s="11">
        <f>CSV!$H18</f>
        <v>0</v>
      </c>
      <c r="G21" s="11" t="str">
        <f>IF(CSV!I18=0,"",使用数!I18)&amp;IF(CSV!I18=0,"","("&amp;CSV!I18&amp;")")</f>
        <v/>
      </c>
      <c r="H21" s="11" t="str">
        <f>IF(CSV!J18=0,"",使用数!J18)&amp;IF(CSV!J18=0,"","("&amp;CSV!J18&amp;")")</f>
        <v/>
      </c>
      <c r="I21" s="11" t="str">
        <f>IF(CSV!K18=0,"",使用数!K18)&amp;IF(CSV!K18=0,"","("&amp;CSV!K18&amp;")")</f>
        <v/>
      </c>
      <c r="J21" s="11" t="str">
        <f>IF(CSV!L18=0,"",使用数!L18)&amp;IF(CSV!L18=0,"","("&amp;CSV!L18&amp;")")</f>
        <v/>
      </c>
      <c r="K21" s="11" t="str">
        <f>IF(CSV!M18=0,"",使用数!M18)&amp;IF(CSV!M18=0,"","("&amp;CSV!M18&amp;")")</f>
        <v/>
      </c>
      <c r="L21" s="11" t="str">
        <f>IF(CSV!N18=0,"",使用数!N18)&amp;IF(CSV!N18=0,"","("&amp;CSV!N18&amp;")")</f>
        <v/>
      </c>
      <c r="M21" s="11" t="str">
        <f>IF(CSV!O18=0,"",使用数!O18)&amp;IF(CSV!O18=0,"","("&amp;CSV!O18&amp;")")</f>
        <v/>
      </c>
      <c r="N21" s="11" t="str">
        <f>IF(CSV!P18=0,"",使用数!P18)&amp;IF(CSV!P18=0,"","("&amp;CSV!P18&amp;")")</f>
        <v/>
      </c>
      <c r="O21" s="11" t="str">
        <f>IF(CSV!Q18=0,"",使用数!Q18)&amp;IF(CSV!Q18=0,"","("&amp;CSV!Q18&amp;")")</f>
        <v/>
      </c>
      <c r="P21" s="11" t="str">
        <f>IF(CSV!R18=0,"",使用数!R18)&amp;IF(CSV!R18=0,"","("&amp;CSV!R18&amp;")")</f>
        <v/>
      </c>
      <c r="Q21" s="11" t="str">
        <f>IF(CSV!S18=0,"",使用数!S18)&amp;IF(CSV!S18=0,"","("&amp;CSV!S18&amp;")")</f>
        <v/>
      </c>
      <c r="R21" s="11" t="str">
        <f>IF(CSV!T18=0,"",使用数!T18)&amp;IF(CSV!T18=0,"","("&amp;CSV!T18&amp;")")</f>
        <v/>
      </c>
      <c r="S21" s="11" t="str">
        <f>IF(CSV!U18=0,"",使用数!U18)&amp;IF(CSV!U18=0,"","("&amp;CSV!U18&amp;")")</f>
        <v/>
      </c>
      <c r="T21" s="11" t="str">
        <f>IF(CSV!V18=0,"",使用数!V18)&amp;IF(CSV!V18=0,"","("&amp;CSV!V18&amp;")")</f>
        <v/>
      </c>
      <c r="U21" s="11" t="str">
        <f>IF(CSV!W18=0,"",使用数!W18)&amp;IF(CSV!W18=0,"","("&amp;CSV!W18&amp;")")</f>
        <v/>
      </c>
      <c r="V21" s="11" t="str">
        <f>IF(CSV!X18=0,"",使用数!X18)&amp;IF(CSV!X18=0,"","("&amp;CSV!X18&amp;")")</f>
        <v/>
      </c>
      <c r="W21" s="11" t="str">
        <f>IF(CSV!Y18=0,"",使用数!Y18)&amp;IF(CSV!Y18=0,"","("&amp;CSV!Y18&amp;")")</f>
        <v/>
      </c>
      <c r="X21" s="11" t="str">
        <f>IF(CSV!Z18=0,"",使用数!Z18)&amp;IF(CSV!Z18=0,"","("&amp;CSV!Z18&amp;")")</f>
        <v/>
      </c>
      <c r="Y21" s="11" t="str">
        <f>IF(CSV!AA18=0,"",使用数!AA18)&amp;IF(CSV!AA18=0,"","("&amp;CSV!AA18&amp;")")</f>
        <v/>
      </c>
      <c r="Z21" s="11" t="str">
        <f>IF(CSV!AB18=0,"",使用数!AB18)&amp;IF(CSV!AB18=0,"","("&amp;CSV!AB18&amp;")")</f>
        <v/>
      </c>
      <c r="AA21" s="11" t="str">
        <f>IF(CSV!AC18=0,"",使用数!AC18)&amp;IF(CSV!AC18=0,"","("&amp;CSV!AC18&amp;")")</f>
        <v/>
      </c>
      <c r="AB21" s="11" t="str">
        <f>IF(CSV!AD18=0,"",使用数!AD18)&amp;IF(CSV!AD18=0,"","("&amp;CSV!AD18&amp;")")</f>
        <v/>
      </c>
      <c r="AC21" s="11" t="str">
        <f>IF(CSV!AE18=0,"",使用数!AE18)&amp;IF(CSV!AE18=0,"","("&amp;CSV!AE18&amp;")")</f>
        <v/>
      </c>
      <c r="AD21" s="11" t="str">
        <f>IF(CSV!AF18=0,"",使用数!AF18)&amp;IF(CSV!AF18=0,"","("&amp;CSV!AF18&amp;")")</f>
        <v/>
      </c>
      <c r="AE21" s="11" t="str">
        <f>IF(CSV!AG18=0,"",使用数!AG18)&amp;IF(CSV!AG18=0,"","("&amp;CSV!AG18&amp;")")</f>
        <v/>
      </c>
      <c r="AF21" s="11" t="str">
        <f>IF(CSV!AH18=0,"",使用数!AH18)&amp;IF(CSV!AH18=0,"","("&amp;CSV!AH18&amp;")")</f>
        <v/>
      </c>
      <c r="AG21" s="11" t="str">
        <f>IF(CSV!AI18=0,"",使用数!AI18)&amp;IF(CSV!AI18=0,"","("&amp;CSV!AI18&amp;")")</f>
        <v/>
      </c>
      <c r="AH21" s="11" t="str">
        <f>IF(CSV!AJ18=0,"",使用数!AJ18)&amp;IF(CSV!AJ18=0,"","("&amp;CSV!AJ18&amp;")")</f>
        <v/>
      </c>
      <c r="AI21" s="11" t="str">
        <f>IF(CSV!AK18=0,"",使用数!AK18)&amp;IF(CSV!AK18=0,"","("&amp;CSV!AK18&amp;")")</f>
        <v/>
      </c>
      <c r="AJ21" s="11" t="str">
        <f>IF(CSV!AL18=0,"",使用数!AL18)&amp;IF(CSV!AL18=0,"","("&amp;CSV!AL18&amp;")")</f>
        <v/>
      </c>
      <c r="AK21" s="11" t="str">
        <f>IF(CSV!AM18=0,"",使用数!AM18)&amp;IF(CSV!AM18=0,"","("&amp;CSV!AM18&amp;")")</f>
        <v/>
      </c>
    </row>
    <row r="22" spans="1:37" s="7" customFormat="1" ht="27" customHeight="1" x14ac:dyDescent="0.55000000000000004">
      <c r="A22" s="121"/>
      <c r="B22" s="122">
        <v>141017</v>
      </c>
      <c r="C22" s="9" t="str">
        <f>IF(CSV!F19&lt;&gt;0,CSV!F19,"")</f>
        <v/>
      </c>
      <c r="D22" s="122">
        <f>HLOOKUP("部品説明",CSV!$B$2:$CC$42,B22-140999,FALSE)</f>
        <v>0</v>
      </c>
      <c r="E22" s="122" t="str">
        <f>IF(CSV!G19=0,"",CSV!G19)</f>
        <v/>
      </c>
      <c r="F22" s="122">
        <f>CSV!$H19</f>
        <v>0</v>
      </c>
      <c r="G22" s="122" t="str">
        <f>IF(CSV!I19=0,"",使用数!I19)&amp;IF(CSV!I19=0,"","("&amp;CSV!I19&amp;")")</f>
        <v/>
      </c>
      <c r="H22" s="122" t="str">
        <f>IF(CSV!J19=0,"",使用数!J19)&amp;IF(CSV!J19=0,"","("&amp;CSV!J19&amp;")")</f>
        <v/>
      </c>
      <c r="I22" s="122" t="str">
        <f>IF(CSV!K19=0,"",使用数!K19)&amp;IF(CSV!K19=0,"","("&amp;CSV!K19&amp;")")</f>
        <v/>
      </c>
      <c r="J22" s="122" t="str">
        <f>IF(CSV!L19=0,"",使用数!L19)&amp;IF(CSV!L19=0,"","("&amp;CSV!L19&amp;")")</f>
        <v/>
      </c>
      <c r="K22" s="122" t="str">
        <f>IF(CSV!M19=0,"",使用数!M19)&amp;IF(CSV!M19=0,"","("&amp;CSV!M19&amp;")")</f>
        <v/>
      </c>
      <c r="L22" s="122" t="str">
        <f>IF(CSV!N19=0,"",使用数!N19)&amp;IF(CSV!N19=0,"","("&amp;CSV!N19&amp;")")</f>
        <v/>
      </c>
      <c r="M22" s="8" t="str">
        <f>IF(CSV!O19=0,"",使用数!O19)&amp;IF(CSV!O19=0,"","("&amp;CSV!O19&amp;")")</f>
        <v/>
      </c>
      <c r="N22" s="8" t="str">
        <f>IF(CSV!P19=0,"",使用数!P19)&amp;IF(CSV!P19=0,"","("&amp;CSV!P19&amp;")")</f>
        <v/>
      </c>
      <c r="O22" s="8" t="str">
        <f>IF(CSV!Q19=0,"",使用数!Q19)&amp;IF(CSV!Q19=0,"","("&amp;CSV!Q19&amp;")")</f>
        <v/>
      </c>
      <c r="P22" s="8" t="str">
        <f>IF(CSV!R19=0,"",使用数!R19)&amp;IF(CSV!R19=0,"","("&amp;CSV!R19&amp;")")</f>
        <v/>
      </c>
      <c r="Q22" s="8" t="str">
        <f>IF(CSV!S19=0,"",使用数!S19)&amp;IF(CSV!S19=0,"","("&amp;CSV!S19&amp;")")</f>
        <v/>
      </c>
      <c r="R22" s="8" t="str">
        <f>IF(CSV!T19=0,"",使用数!T19)&amp;IF(CSV!T19=0,"","("&amp;CSV!T19&amp;")")</f>
        <v/>
      </c>
      <c r="S22" s="8" t="str">
        <f>IF(CSV!U19=0,"",使用数!U19)&amp;IF(CSV!U19=0,"","("&amp;CSV!U19&amp;")")</f>
        <v/>
      </c>
      <c r="T22" s="8" t="str">
        <f>IF(CSV!V19=0,"",使用数!V19)&amp;IF(CSV!V19=0,"","("&amp;CSV!V19&amp;")")</f>
        <v/>
      </c>
      <c r="U22" s="8" t="str">
        <f>IF(CSV!W19=0,"",使用数!W19)&amp;IF(CSV!W19=0,"","("&amp;CSV!W19&amp;")")</f>
        <v/>
      </c>
      <c r="V22" s="8" t="str">
        <f>IF(CSV!X19=0,"",使用数!X19)&amp;IF(CSV!X19=0,"","("&amp;CSV!X19&amp;")")</f>
        <v/>
      </c>
      <c r="W22" s="8" t="str">
        <f>IF(CSV!Y19=0,"",使用数!Y19)&amp;IF(CSV!Y19=0,"","("&amp;CSV!Y19&amp;")")</f>
        <v/>
      </c>
      <c r="X22" s="8" t="str">
        <f>IF(CSV!Z19=0,"",使用数!Z19)&amp;IF(CSV!Z19=0,"","("&amp;CSV!Z19&amp;")")</f>
        <v/>
      </c>
      <c r="Y22" s="8" t="str">
        <f>IF(CSV!AA19=0,"",使用数!AA19)&amp;IF(CSV!AA19=0,"","("&amp;CSV!AA19&amp;")")</f>
        <v/>
      </c>
      <c r="Z22" s="8" t="str">
        <f>IF(CSV!AB19=0,"",使用数!AB19)&amp;IF(CSV!AB19=0,"","("&amp;CSV!AB19&amp;")")</f>
        <v/>
      </c>
      <c r="AA22" s="8" t="str">
        <f>IF(CSV!AC19=0,"",使用数!AC19)&amp;IF(CSV!AC19=0,"","("&amp;CSV!AC19&amp;")")</f>
        <v/>
      </c>
      <c r="AB22" s="8" t="str">
        <f>IF(CSV!AD19=0,"",使用数!AD19)&amp;IF(CSV!AD19=0,"","("&amp;CSV!AD19&amp;")")</f>
        <v/>
      </c>
      <c r="AC22" s="8" t="str">
        <f>IF(CSV!AE19=0,"",使用数!AE19)&amp;IF(CSV!AE19=0,"","("&amp;CSV!AE19&amp;")")</f>
        <v/>
      </c>
      <c r="AD22" s="8" t="str">
        <f>IF(CSV!AF19=0,"",使用数!AF19)&amp;IF(CSV!AF19=0,"","("&amp;CSV!AF19&amp;")")</f>
        <v/>
      </c>
      <c r="AE22" s="8" t="str">
        <f>IF(CSV!AG19=0,"",使用数!AG19)&amp;IF(CSV!AG19=0,"","("&amp;CSV!AG19&amp;")")</f>
        <v/>
      </c>
      <c r="AF22" s="8" t="str">
        <f>IF(CSV!AH19=0,"",使用数!AH19)&amp;IF(CSV!AH19=0,"","("&amp;CSV!AH19&amp;")")</f>
        <v/>
      </c>
      <c r="AG22" s="8" t="str">
        <f>IF(CSV!AI19=0,"",使用数!AI19)&amp;IF(CSV!AI19=0,"","("&amp;CSV!AI19&amp;")")</f>
        <v/>
      </c>
      <c r="AH22" s="8" t="str">
        <f>IF(CSV!AJ19=0,"",使用数!AJ19)&amp;IF(CSV!AJ19=0,"","("&amp;CSV!AJ19&amp;")")</f>
        <v/>
      </c>
      <c r="AI22" s="8" t="str">
        <f>IF(CSV!AK19=0,"",使用数!AK19)&amp;IF(CSV!AK19=0,"","("&amp;CSV!AK19&amp;")")</f>
        <v/>
      </c>
      <c r="AJ22" s="8" t="str">
        <f>IF(CSV!AL19=0,"",使用数!AL19)&amp;IF(CSV!AL19=0,"","("&amp;CSV!AL19&amp;")")</f>
        <v/>
      </c>
      <c r="AK22" s="8" t="str">
        <f>IF(CSV!AM19=0,"",使用数!AM19)&amp;IF(CSV!AM19=0,"","("&amp;CSV!AM19&amp;")")</f>
        <v/>
      </c>
    </row>
    <row r="23" spans="1:37" ht="27" customHeight="1" x14ac:dyDescent="0.55000000000000004">
      <c r="A23" s="12"/>
      <c r="B23" s="11">
        <v>141018</v>
      </c>
      <c r="C23" s="9" t="str">
        <f>IF(CSV!F20&lt;&gt;0,CSV!F20,"")</f>
        <v/>
      </c>
      <c r="D23" s="11">
        <f>HLOOKUP("部品説明",CSV!$B$2:$CC$42,B23-140999,FALSE)</f>
        <v>0</v>
      </c>
      <c r="E23" s="11" t="str">
        <f>IF(CSV!G20=0,"",CSV!G20)</f>
        <v/>
      </c>
      <c r="F23" s="11">
        <f>CSV!$H20</f>
        <v>0</v>
      </c>
      <c r="G23" s="11" t="str">
        <f>IF(CSV!I20=0,"",使用数!I20)&amp;IF(CSV!I20=0,"","("&amp;CSV!I20&amp;")")</f>
        <v/>
      </c>
      <c r="H23" s="11" t="str">
        <f>IF(CSV!J20=0,"",使用数!J20)&amp;IF(CSV!J20=0,"","("&amp;CSV!J20&amp;")")</f>
        <v/>
      </c>
      <c r="I23" s="11" t="str">
        <f>IF(CSV!K20=0,"",使用数!K20)&amp;IF(CSV!K20=0,"","("&amp;CSV!K20&amp;")")</f>
        <v/>
      </c>
      <c r="J23" s="11" t="str">
        <f>IF(CSV!L20=0,"",使用数!L20)&amp;IF(CSV!L20=0,"","("&amp;CSV!L20&amp;")")</f>
        <v/>
      </c>
      <c r="K23" s="11" t="str">
        <f>IF(CSV!M20=0,"",使用数!M20)&amp;IF(CSV!M20=0,"","("&amp;CSV!M20&amp;")")</f>
        <v/>
      </c>
      <c r="L23" s="11" t="str">
        <f>IF(CSV!N20=0,"",使用数!N20)&amp;IF(CSV!N20=0,"","("&amp;CSV!N20&amp;")")</f>
        <v/>
      </c>
      <c r="M23" s="11" t="str">
        <f>IF(CSV!O20=0,"",使用数!O20)&amp;IF(CSV!O20=0,"","("&amp;CSV!O20&amp;")")</f>
        <v/>
      </c>
      <c r="N23" s="11" t="str">
        <f>IF(CSV!P20=0,"",使用数!P20)&amp;IF(CSV!P20=0,"","("&amp;CSV!P20&amp;")")</f>
        <v/>
      </c>
      <c r="O23" s="11" t="str">
        <f>IF(CSV!Q20=0,"",使用数!Q20)&amp;IF(CSV!Q20=0,"","("&amp;CSV!Q20&amp;")")</f>
        <v/>
      </c>
      <c r="P23" s="11" t="str">
        <f>IF(CSV!R20=0,"",使用数!R20)&amp;IF(CSV!R20=0,"","("&amp;CSV!R20&amp;")")</f>
        <v/>
      </c>
      <c r="Q23" s="11" t="str">
        <f>IF(CSV!S20=0,"",使用数!S20)&amp;IF(CSV!S20=0,"","("&amp;CSV!S20&amp;")")</f>
        <v/>
      </c>
      <c r="R23" s="11" t="str">
        <f>IF(CSV!T20=0,"",使用数!T20)&amp;IF(CSV!T20=0,"","("&amp;CSV!T20&amp;")")</f>
        <v/>
      </c>
      <c r="S23" s="11" t="str">
        <f>IF(CSV!U20=0,"",使用数!U20)&amp;IF(CSV!U20=0,"","("&amp;CSV!U20&amp;")")</f>
        <v/>
      </c>
      <c r="T23" s="11" t="str">
        <f>IF(CSV!V20=0,"",使用数!V20)&amp;IF(CSV!V20=0,"","("&amp;CSV!V20&amp;")")</f>
        <v/>
      </c>
      <c r="U23" s="11" t="str">
        <f>IF(CSV!W20=0,"",使用数!W20)&amp;IF(CSV!W20=0,"","("&amp;CSV!W20&amp;")")</f>
        <v/>
      </c>
      <c r="V23" s="11" t="str">
        <f>IF(CSV!X20=0,"",使用数!X20)&amp;IF(CSV!X20=0,"","("&amp;CSV!X20&amp;")")</f>
        <v/>
      </c>
      <c r="W23" s="11" t="str">
        <f>IF(CSV!Y20=0,"",使用数!Y20)&amp;IF(CSV!Y20=0,"","("&amp;CSV!Y20&amp;")")</f>
        <v/>
      </c>
      <c r="X23" s="11" t="str">
        <f>IF(CSV!Z20=0,"",使用数!Z20)&amp;IF(CSV!Z20=0,"","("&amp;CSV!Z20&amp;")")</f>
        <v/>
      </c>
      <c r="Y23" s="11" t="str">
        <f>IF(CSV!AA20=0,"",使用数!AA20)&amp;IF(CSV!AA20=0,"","("&amp;CSV!AA20&amp;")")</f>
        <v/>
      </c>
      <c r="Z23" s="11" t="str">
        <f>IF(CSV!AB20=0,"",使用数!AB20)&amp;IF(CSV!AB20=0,"","("&amp;CSV!AB20&amp;")")</f>
        <v/>
      </c>
      <c r="AA23" s="11" t="str">
        <f>IF(CSV!AC20=0,"",使用数!AC20)&amp;IF(CSV!AC20=0,"","("&amp;CSV!AC20&amp;")")</f>
        <v/>
      </c>
      <c r="AB23" s="11" t="str">
        <f>IF(CSV!AD20=0,"",使用数!AD20)&amp;IF(CSV!AD20=0,"","("&amp;CSV!AD20&amp;")")</f>
        <v/>
      </c>
      <c r="AC23" s="11" t="str">
        <f>IF(CSV!AE20=0,"",使用数!AE20)&amp;IF(CSV!AE20=0,"","("&amp;CSV!AE20&amp;")")</f>
        <v/>
      </c>
      <c r="AD23" s="11" t="str">
        <f>IF(CSV!AF20=0,"",使用数!AF20)&amp;IF(CSV!AF20=0,"","("&amp;CSV!AF20&amp;")")</f>
        <v/>
      </c>
      <c r="AE23" s="11" t="str">
        <f>IF(CSV!AG20=0,"",使用数!AG20)&amp;IF(CSV!AG20=0,"","("&amp;CSV!AG20&amp;")")</f>
        <v/>
      </c>
      <c r="AF23" s="11" t="str">
        <f>IF(CSV!AH20=0,"",使用数!AH20)&amp;IF(CSV!AH20=0,"","("&amp;CSV!AH20&amp;")")</f>
        <v/>
      </c>
      <c r="AG23" s="11" t="str">
        <f>IF(CSV!AI20=0,"",使用数!AI20)&amp;IF(CSV!AI20=0,"","("&amp;CSV!AI20&amp;")")</f>
        <v/>
      </c>
      <c r="AH23" s="11" t="str">
        <f>IF(CSV!AJ20=0,"",使用数!AJ20)&amp;IF(CSV!AJ20=0,"","("&amp;CSV!AJ20&amp;")")</f>
        <v/>
      </c>
      <c r="AI23" s="11" t="str">
        <f>IF(CSV!AK20=0,"",使用数!AK20)&amp;IF(CSV!AK20=0,"","("&amp;CSV!AK20&amp;")")</f>
        <v/>
      </c>
      <c r="AJ23" s="11" t="str">
        <f>IF(CSV!AL20=0,"",使用数!AL20)&amp;IF(CSV!AL20=0,"","("&amp;CSV!AL20&amp;")")</f>
        <v/>
      </c>
      <c r="AK23" s="11" t="str">
        <f>IF(CSV!AM20=0,"",使用数!AM20)&amp;IF(CSV!AM20=0,"","("&amp;CSV!AM20&amp;")")</f>
        <v/>
      </c>
    </row>
    <row r="24" spans="1:37" s="7" customFormat="1" ht="27" customHeight="1" x14ac:dyDescent="0.55000000000000004">
      <c r="A24" s="121"/>
      <c r="B24" s="122">
        <v>141019</v>
      </c>
      <c r="C24" s="9" t="str">
        <f>IF(CSV!F21&lt;&gt;0,CSV!F21,"")</f>
        <v/>
      </c>
      <c r="D24" s="122">
        <f>HLOOKUP("部品説明",CSV!$B$2:$CC$42,B24-140999,FALSE)</f>
        <v>0</v>
      </c>
      <c r="E24" s="122" t="str">
        <f>IF(CSV!G21=0,"",CSV!G21)</f>
        <v/>
      </c>
      <c r="F24" s="122">
        <f>CSV!$H21</f>
        <v>0</v>
      </c>
      <c r="G24" s="122" t="str">
        <f>IF(CSV!I21=0,"",使用数!I21)&amp;IF(CSV!I21=0,"","("&amp;CSV!I21&amp;")")</f>
        <v/>
      </c>
      <c r="H24" s="122" t="str">
        <f>IF(CSV!J21=0,"",使用数!J21)&amp;IF(CSV!J21=0,"","("&amp;CSV!J21&amp;")")</f>
        <v/>
      </c>
      <c r="I24" s="122" t="str">
        <f>IF(CSV!K21=0,"",使用数!K21)&amp;IF(CSV!K21=0,"","("&amp;CSV!K21&amp;")")</f>
        <v/>
      </c>
      <c r="J24" s="122" t="str">
        <f>IF(CSV!L21=0,"",使用数!L21)&amp;IF(CSV!L21=0,"","("&amp;CSV!L21&amp;")")</f>
        <v/>
      </c>
      <c r="K24" s="122" t="str">
        <f>IF(CSV!M21=0,"",使用数!M21)&amp;IF(CSV!M21=0,"","("&amp;CSV!M21&amp;")")</f>
        <v/>
      </c>
      <c r="L24" s="122" t="str">
        <f>IF(CSV!N21=0,"",使用数!N21)&amp;IF(CSV!N21=0,"","("&amp;CSV!N21&amp;")")</f>
        <v/>
      </c>
      <c r="M24" s="8" t="str">
        <f>IF(CSV!O21=0,"",使用数!O21)&amp;IF(CSV!O21=0,"","("&amp;CSV!O21&amp;")")</f>
        <v/>
      </c>
      <c r="N24" s="8" t="str">
        <f>IF(CSV!P21=0,"",使用数!P21)&amp;IF(CSV!P21=0,"","("&amp;CSV!P21&amp;")")</f>
        <v/>
      </c>
      <c r="O24" s="8" t="str">
        <f>IF(CSV!Q21=0,"",使用数!Q21)&amp;IF(CSV!Q21=0,"","("&amp;CSV!Q21&amp;")")</f>
        <v/>
      </c>
      <c r="P24" s="8" t="str">
        <f>IF(CSV!R21=0,"",使用数!R21)&amp;IF(CSV!R21=0,"","("&amp;CSV!R21&amp;")")</f>
        <v/>
      </c>
      <c r="Q24" s="8" t="str">
        <f>IF(CSV!S21=0,"",使用数!S21)&amp;IF(CSV!S21=0,"","("&amp;CSV!S21&amp;")")</f>
        <v/>
      </c>
      <c r="R24" s="8" t="str">
        <f>IF(CSV!T21=0,"",使用数!T21)&amp;IF(CSV!T21=0,"","("&amp;CSV!T21&amp;")")</f>
        <v/>
      </c>
      <c r="S24" s="8" t="str">
        <f>IF(CSV!U21=0,"",使用数!U21)&amp;IF(CSV!U21=0,"","("&amp;CSV!U21&amp;")")</f>
        <v/>
      </c>
      <c r="T24" s="8" t="str">
        <f>IF(CSV!V21=0,"",使用数!V21)&amp;IF(CSV!V21=0,"","("&amp;CSV!V21&amp;")")</f>
        <v/>
      </c>
      <c r="U24" s="8" t="str">
        <f>IF(CSV!W21=0,"",使用数!W21)&amp;IF(CSV!W21=0,"","("&amp;CSV!W21&amp;")")</f>
        <v/>
      </c>
      <c r="V24" s="8" t="str">
        <f>IF(CSV!X21=0,"",使用数!X21)&amp;IF(CSV!X21=0,"","("&amp;CSV!X21&amp;")")</f>
        <v/>
      </c>
      <c r="W24" s="8" t="str">
        <f>IF(CSV!Y21=0,"",使用数!Y21)&amp;IF(CSV!Y21=0,"","("&amp;CSV!Y21&amp;")")</f>
        <v/>
      </c>
      <c r="X24" s="8" t="str">
        <f>IF(CSV!Z21=0,"",使用数!Z21)&amp;IF(CSV!Z21=0,"","("&amp;CSV!Z21&amp;")")</f>
        <v/>
      </c>
      <c r="Y24" s="8" t="str">
        <f>IF(CSV!AA21=0,"",使用数!AA21)&amp;IF(CSV!AA21=0,"","("&amp;CSV!AA21&amp;")")</f>
        <v/>
      </c>
      <c r="Z24" s="8" t="str">
        <f>IF(CSV!AB21=0,"",使用数!AB21)&amp;IF(CSV!AB21=0,"","("&amp;CSV!AB21&amp;")")</f>
        <v/>
      </c>
      <c r="AA24" s="8" t="str">
        <f>IF(CSV!AC21=0,"",使用数!AC21)&amp;IF(CSV!AC21=0,"","("&amp;CSV!AC21&amp;")")</f>
        <v/>
      </c>
      <c r="AB24" s="8" t="str">
        <f>IF(CSV!AD21=0,"",使用数!AD21)&amp;IF(CSV!AD21=0,"","("&amp;CSV!AD21&amp;")")</f>
        <v/>
      </c>
      <c r="AC24" s="8" t="str">
        <f>IF(CSV!AE21=0,"",使用数!AE21)&amp;IF(CSV!AE21=0,"","("&amp;CSV!AE21&amp;")")</f>
        <v/>
      </c>
      <c r="AD24" s="8" t="str">
        <f>IF(CSV!AF21=0,"",使用数!AF21)&amp;IF(CSV!AF21=0,"","("&amp;CSV!AF21&amp;")")</f>
        <v/>
      </c>
      <c r="AE24" s="8" t="str">
        <f>IF(CSV!AG21=0,"",使用数!AG21)&amp;IF(CSV!AG21=0,"","("&amp;CSV!AG21&amp;")")</f>
        <v/>
      </c>
      <c r="AF24" s="8" t="str">
        <f>IF(CSV!AH21=0,"",使用数!AH21)&amp;IF(CSV!AH21=0,"","("&amp;CSV!AH21&amp;")")</f>
        <v/>
      </c>
      <c r="AG24" s="8" t="str">
        <f>IF(CSV!AI21=0,"",使用数!AI21)&amp;IF(CSV!AI21=0,"","("&amp;CSV!AI21&amp;")")</f>
        <v/>
      </c>
      <c r="AH24" s="8" t="str">
        <f>IF(CSV!AJ21=0,"",使用数!AJ21)&amp;IF(CSV!AJ21=0,"","("&amp;CSV!AJ21&amp;")")</f>
        <v/>
      </c>
      <c r="AI24" s="8" t="str">
        <f>IF(CSV!AK21=0,"",使用数!AK21)&amp;IF(CSV!AK21=0,"","("&amp;CSV!AK21&amp;")")</f>
        <v/>
      </c>
      <c r="AJ24" s="8" t="str">
        <f>IF(CSV!AL21=0,"",使用数!AL21)&amp;IF(CSV!AL21=0,"","("&amp;CSV!AL21&amp;")")</f>
        <v/>
      </c>
      <c r="AK24" s="8" t="str">
        <f>IF(CSV!AM21=0,"",使用数!AM21)&amp;IF(CSV!AM21=0,"","("&amp;CSV!AM21&amp;")")</f>
        <v/>
      </c>
    </row>
    <row r="25" spans="1:37" ht="27" customHeight="1" x14ac:dyDescent="0.55000000000000004">
      <c r="A25" s="12"/>
      <c r="B25" s="11">
        <v>141020</v>
      </c>
      <c r="C25" s="9" t="str">
        <f>IF(CSV!F22&lt;&gt;0,CSV!F22,"")</f>
        <v/>
      </c>
      <c r="D25" s="11">
        <f>HLOOKUP("部品説明",CSV!$B$2:$CC$42,B25-140999,FALSE)</f>
        <v>0</v>
      </c>
      <c r="E25" s="11" t="str">
        <f>IF(CSV!G22=0,"",CSV!G22)</f>
        <v/>
      </c>
      <c r="F25" s="11">
        <f>CSV!$H22</f>
        <v>0</v>
      </c>
      <c r="G25" s="11" t="str">
        <f>IF(CSV!I22=0,"",使用数!I22)&amp;IF(CSV!I22=0,"","("&amp;CSV!I22&amp;")")</f>
        <v/>
      </c>
      <c r="H25" s="11" t="str">
        <f>IF(CSV!J22=0,"",使用数!J22)&amp;IF(CSV!J22=0,"","("&amp;CSV!J22&amp;")")</f>
        <v/>
      </c>
      <c r="I25" s="11" t="str">
        <f>IF(CSV!K22=0,"",使用数!K22)&amp;IF(CSV!K22=0,"","("&amp;CSV!K22&amp;")")</f>
        <v/>
      </c>
      <c r="J25" s="11" t="str">
        <f>IF(CSV!L22=0,"",使用数!L22)&amp;IF(CSV!L22=0,"","("&amp;CSV!L22&amp;")")</f>
        <v/>
      </c>
      <c r="K25" s="11" t="str">
        <f>IF(CSV!M22=0,"",使用数!M22)&amp;IF(CSV!M22=0,"","("&amp;CSV!M22&amp;")")</f>
        <v/>
      </c>
      <c r="L25" s="11" t="str">
        <f>IF(CSV!N22=0,"",使用数!N22)&amp;IF(CSV!N22=0,"","("&amp;CSV!N22&amp;")")</f>
        <v/>
      </c>
      <c r="M25" s="11" t="str">
        <f>IF(CSV!O22=0,"",使用数!O22)&amp;IF(CSV!O22=0,"","("&amp;CSV!O22&amp;")")</f>
        <v/>
      </c>
      <c r="N25" s="11" t="str">
        <f>IF(CSV!P22=0,"",使用数!P22)&amp;IF(CSV!P22=0,"","("&amp;CSV!P22&amp;")")</f>
        <v/>
      </c>
      <c r="O25" s="11" t="str">
        <f>IF(CSV!Q22=0,"",使用数!Q22)&amp;IF(CSV!Q22=0,"","("&amp;CSV!Q22&amp;")")</f>
        <v/>
      </c>
      <c r="P25" s="11" t="str">
        <f>IF(CSV!R22=0,"",使用数!R22)&amp;IF(CSV!R22=0,"","("&amp;CSV!R22&amp;")")</f>
        <v/>
      </c>
      <c r="Q25" s="11" t="str">
        <f>IF(CSV!S22=0,"",使用数!S22)&amp;IF(CSV!S22=0,"","("&amp;CSV!S22&amp;")")</f>
        <v/>
      </c>
      <c r="R25" s="11" t="str">
        <f>IF(CSV!T22=0,"",使用数!T22)&amp;IF(CSV!T22=0,"","("&amp;CSV!T22&amp;")")</f>
        <v/>
      </c>
      <c r="S25" s="11" t="str">
        <f>IF(CSV!U22=0,"",使用数!U22)&amp;IF(CSV!U22=0,"","("&amp;CSV!U22&amp;")")</f>
        <v/>
      </c>
      <c r="T25" s="11" t="str">
        <f>IF(CSV!V22=0,"",使用数!V22)&amp;IF(CSV!V22=0,"","("&amp;CSV!V22&amp;")")</f>
        <v/>
      </c>
      <c r="U25" s="11" t="str">
        <f>IF(CSV!W22=0,"",使用数!W22)&amp;IF(CSV!W22=0,"","("&amp;CSV!W22&amp;")")</f>
        <v/>
      </c>
      <c r="V25" s="11" t="str">
        <f>IF(CSV!X22=0,"",使用数!X22)&amp;IF(CSV!X22=0,"","("&amp;CSV!X22&amp;")")</f>
        <v/>
      </c>
      <c r="W25" s="11" t="str">
        <f>IF(CSV!Y22=0,"",使用数!Y22)&amp;IF(CSV!Y22=0,"","("&amp;CSV!Y22&amp;")")</f>
        <v/>
      </c>
      <c r="X25" s="11" t="str">
        <f>IF(CSV!Z22=0,"",使用数!Z22)&amp;IF(CSV!Z22=0,"","("&amp;CSV!Z22&amp;")")</f>
        <v/>
      </c>
      <c r="Y25" s="11" t="str">
        <f>IF(CSV!AA22=0,"",使用数!AA22)&amp;IF(CSV!AA22=0,"","("&amp;CSV!AA22&amp;")")</f>
        <v/>
      </c>
      <c r="Z25" s="11" t="str">
        <f>IF(CSV!AB22=0,"",使用数!AB22)&amp;IF(CSV!AB22=0,"","("&amp;CSV!AB22&amp;")")</f>
        <v/>
      </c>
      <c r="AA25" s="11" t="str">
        <f>IF(CSV!AC22=0,"",使用数!AC22)&amp;IF(CSV!AC22=0,"","("&amp;CSV!AC22&amp;")")</f>
        <v/>
      </c>
      <c r="AB25" s="11" t="str">
        <f>IF(CSV!AD22=0,"",使用数!AD22)&amp;IF(CSV!AD22=0,"","("&amp;CSV!AD22&amp;")")</f>
        <v/>
      </c>
      <c r="AC25" s="11" t="str">
        <f>IF(CSV!AE22=0,"",使用数!AE22)&amp;IF(CSV!AE22=0,"","("&amp;CSV!AE22&amp;")")</f>
        <v/>
      </c>
      <c r="AD25" s="11" t="str">
        <f>IF(CSV!AF22=0,"",使用数!AF22)&amp;IF(CSV!AF22=0,"","("&amp;CSV!AF22&amp;")")</f>
        <v/>
      </c>
      <c r="AE25" s="11" t="str">
        <f>IF(CSV!AG22=0,"",使用数!AG22)&amp;IF(CSV!AG22=0,"","("&amp;CSV!AG22&amp;")")</f>
        <v/>
      </c>
      <c r="AF25" s="11" t="str">
        <f>IF(CSV!AH22=0,"",使用数!AH22)&amp;IF(CSV!AH22=0,"","("&amp;CSV!AH22&amp;")")</f>
        <v/>
      </c>
      <c r="AG25" s="11" t="str">
        <f>IF(CSV!AI22=0,"",使用数!AI22)&amp;IF(CSV!AI22=0,"","("&amp;CSV!AI22&amp;")")</f>
        <v/>
      </c>
      <c r="AH25" s="11" t="str">
        <f>IF(CSV!AJ22=0,"",使用数!AJ22)&amp;IF(CSV!AJ22=0,"","("&amp;CSV!AJ22&amp;")")</f>
        <v/>
      </c>
      <c r="AI25" s="11" t="str">
        <f>IF(CSV!AK22=0,"",使用数!AK22)&amp;IF(CSV!AK22=0,"","("&amp;CSV!AK22&amp;")")</f>
        <v/>
      </c>
      <c r="AJ25" s="11" t="str">
        <f>IF(CSV!AL22=0,"",使用数!AL22)&amp;IF(CSV!AL22=0,"","("&amp;CSV!AL22&amp;")")</f>
        <v/>
      </c>
      <c r="AK25" s="11" t="str">
        <f>IF(CSV!AM22=0,"",使用数!AM22)&amp;IF(CSV!AM22=0,"","("&amp;CSV!AM22&amp;")")</f>
        <v/>
      </c>
    </row>
    <row r="26" spans="1:37" x14ac:dyDescent="0.55000000000000004">
      <c r="A26" s="6"/>
    </row>
  </sheetData>
  <mergeCells count="1">
    <mergeCell ref="A2:D3"/>
  </mergeCells>
  <phoneticPr fontId="1"/>
  <printOptions horizontalCentered="1" verticalCentered="1"/>
  <pageMargins left="0.39370078740157483" right="0.39370078740157483" top="0.19685039370078741" bottom="0.23622047244094491" header="0.19685039370078741" footer="0.19685039370078741"/>
  <pageSetup paperSize="9" scale="57" fitToHeight="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A0C6-1DAB-475F-82A7-D6F812366841}">
  <sheetPr codeName="Sheet_Tray1b">
    <tabColor indexed="17"/>
    <pageSetUpPr fitToPage="1"/>
  </sheetPr>
  <dimension ref="A1:AK25"/>
  <sheetViews>
    <sheetView view="pageBreakPreview" zoomScale="55" zoomScaleNormal="75" zoomScaleSheetLayoutView="55" workbookViewId="0">
      <selection activeCell="L5" sqref="L5"/>
    </sheetView>
  </sheetViews>
  <sheetFormatPr defaultColWidth="9" defaultRowHeight="18" x14ac:dyDescent="0.55000000000000004"/>
  <cols>
    <col min="1" max="1" width="9.58203125" style="3" customWidth="1"/>
    <col min="2" max="2" width="14" style="5" customWidth="1"/>
    <col min="3" max="3" width="17.83203125" style="3" bestFit="1" customWidth="1"/>
    <col min="4" max="4" width="60.58203125" style="3" customWidth="1"/>
    <col min="5" max="5" width="7.5" style="3" bestFit="1" customWidth="1"/>
    <col min="6" max="6" width="9.25" style="3" bestFit="1" customWidth="1"/>
    <col min="7" max="16" width="17.5" style="3" customWidth="1"/>
    <col min="17" max="37" width="17.5" style="4" customWidth="1"/>
    <col min="38" max="16384" width="9" style="3"/>
  </cols>
  <sheetData>
    <row r="1" spans="1:37" ht="35.15" customHeight="1" x14ac:dyDescent="0.55000000000000004">
      <c r="A1" s="129" t="s">
        <v>62</v>
      </c>
      <c r="B1" s="124"/>
      <c r="C1" s="124"/>
      <c r="D1" s="125"/>
      <c r="E1" s="19" t="s">
        <v>10</v>
      </c>
      <c r="F1" s="12"/>
      <c r="G1" s="16">
        <f>台数入力!I$3</f>
        <v>24</v>
      </c>
      <c r="H1" s="16">
        <f>台数入力!J$3</f>
        <v>192</v>
      </c>
      <c r="I1" s="16">
        <f>台数入力!K$3</f>
        <v>48</v>
      </c>
      <c r="J1" s="16">
        <f>台数入力!L$3</f>
        <v>48</v>
      </c>
      <c r="K1" s="16">
        <f>台数入力!M$3</f>
        <v>144</v>
      </c>
      <c r="L1" s="16">
        <f>台数入力!N$3</f>
        <v>144</v>
      </c>
      <c r="M1" s="16">
        <f>台数入力!O$3</f>
        <v>168</v>
      </c>
      <c r="N1" s="16">
        <f>台数入力!P$3</f>
        <v>168</v>
      </c>
      <c r="O1" s="16">
        <f>台数入力!Q$3</f>
        <v>48</v>
      </c>
      <c r="P1" s="16">
        <f>台数入力!R$3</f>
        <v>24</v>
      </c>
      <c r="Q1" s="16">
        <f>台数入力!S$3</f>
        <v>1</v>
      </c>
      <c r="R1" s="16">
        <f>台数入力!T$3</f>
        <v>1</v>
      </c>
      <c r="S1" s="16">
        <f>台数入力!U$3</f>
        <v>1</v>
      </c>
      <c r="T1" s="16">
        <f>台数入力!V$3</f>
        <v>1</v>
      </c>
      <c r="U1" s="16">
        <f>台数入力!W$3</f>
        <v>1</v>
      </c>
      <c r="V1" s="16">
        <f>台数入力!X$3</f>
        <v>96</v>
      </c>
      <c r="W1" s="16">
        <f>台数入力!Y$3</f>
        <v>96</v>
      </c>
      <c r="X1" s="16">
        <f>台数入力!Z$3</f>
        <v>96</v>
      </c>
      <c r="Y1" s="16">
        <f>台数入力!AA$3</f>
        <v>96</v>
      </c>
      <c r="Z1" s="16">
        <f>台数入力!AB$3</f>
        <v>12</v>
      </c>
      <c r="AA1" s="16">
        <f>台数入力!AC$3</f>
        <v>96</v>
      </c>
      <c r="AB1" s="16">
        <f>台数入力!AD$3</f>
        <v>96</v>
      </c>
      <c r="AC1" s="16">
        <f>台数入力!AE$3</f>
        <v>1</v>
      </c>
      <c r="AD1" s="16">
        <f>台数入力!AF$3</f>
        <v>1</v>
      </c>
      <c r="AE1" s="16">
        <f>台数入力!AG$3</f>
        <v>1</v>
      </c>
      <c r="AF1" s="16">
        <f>台数入力!AH$3</f>
        <v>1</v>
      </c>
      <c r="AG1" s="16">
        <f>台数入力!AI$3</f>
        <v>1</v>
      </c>
      <c r="AH1" s="16">
        <f>台数入力!AJ$3</f>
        <v>1</v>
      </c>
      <c r="AI1" s="16">
        <f>台数入力!AK$3</f>
        <v>1</v>
      </c>
      <c r="AJ1" s="16">
        <f>台数入力!AL$3</f>
        <v>1</v>
      </c>
      <c r="AK1" s="16">
        <f>台数入力!AM$3</f>
        <v>1</v>
      </c>
    </row>
    <row r="2" spans="1:37" ht="35.15" customHeight="1" x14ac:dyDescent="0.55000000000000004">
      <c r="A2" s="126"/>
      <c r="B2" s="127"/>
      <c r="C2" s="127"/>
      <c r="D2" s="128"/>
      <c r="E2" s="19" t="s">
        <v>9</v>
      </c>
      <c r="F2" s="12"/>
      <c r="G2" s="16">
        <f>台数入力!I$4</f>
        <v>1</v>
      </c>
      <c r="H2" s="16">
        <f>台数入力!J$4</f>
        <v>2</v>
      </c>
      <c r="I2" s="16">
        <f>台数入力!K$4</f>
        <v>2</v>
      </c>
      <c r="J2" s="16">
        <f>台数入力!L$4</f>
        <v>2</v>
      </c>
      <c r="K2" s="16">
        <f>台数入力!M$4</f>
        <v>2</v>
      </c>
      <c r="L2" s="16">
        <f>台数入力!N$4</f>
        <v>2</v>
      </c>
      <c r="M2" s="16">
        <f>台数入力!O$4</f>
        <v>2</v>
      </c>
      <c r="N2" s="16">
        <f>台数入力!P$4</f>
        <v>2</v>
      </c>
      <c r="O2" s="16">
        <f>台数入力!Q$4</f>
        <v>2</v>
      </c>
      <c r="P2" s="16">
        <f>台数入力!R$4</f>
        <v>1</v>
      </c>
      <c r="Q2" s="16">
        <f>台数入力!S$4</f>
        <v>1</v>
      </c>
      <c r="R2" s="16">
        <f>台数入力!T$4</f>
        <v>1</v>
      </c>
      <c r="S2" s="16">
        <f>台数入力!U$4</f>
        <v>1</v>
      </c>
      <c r="T2" s="16">
        <f>台数入力!V$4</f>
        <v>1</v>
      </c>
      <c r="U2" s="16">
        <f>台数入力!W$4</f>
        <v>1</v>
      </c>
      <c r="V2" s="16">
        <f>台数入力!X$4</f>
        <v>2</v>
      </c>
      <c r="W2" s="16">
        <f>台数入力!Y$4</f>
        <v>2</v>
      </c>
      <c r="X2" s="16">
        <f>台数入力!Z$4</f>
        <v>2</v>
      </c>
      <c r="Y2" s="16">
        <f>台数入力!AA$4</f>
        <v>2</v>
      </c>
      <c r="Z2" s="16">
        <f>台数入力!AB$4</f>
        <v>1</v>
      </c>
      <c r="AA2" s="16">
        <f>台数入力!AC$4</f>
        <v>2</v>
      </c>
      <c r="AB2" s="16">
        <f>台数入力!AD$4</f>
        <v>2</v>
      </c>
      <c r="AC2" s="16">
        <f>台数入力!AE$4</f>
        <v>1</v>
      </c>
      <c r="AD2" s="16">
        <f>台数入力!AF$4</f>
        <v>1</v>
      </c>
      <c r="AE2" s="16">
        <f>台数入力!AG$4</f>
        <v>1</v>
      </c>
      <c r="AF2" s="16">
        <f>台数入力!AH$4</f>
        <v>1</v>
      </c>
      <c r="AG2" s="16">
        <f>台数入力!AI$4</f>
        <v>1</v>
      </c>
      <c r="AH2" s="16">
        <f>台数入力!AJ$4</f>
        <v>1</v>
      </c>
      <c r="AI2" s="16">
        <f>台数入力!AK$4</f>
        <v>1</v>
      </c>
      <c r="AJ2" s="16">
        <f>台数入力!AL$4</f>
        <v>1</v>
      </c>
      <c r="AK2" s="16">
        <f>台数入力!AM$4</f>
        <v>1</v>
      </c>
    </row>
    <row r="3" spans="1:37" ht="35.15" customHeight="1" x14ac:dyDescent="0.55000000000000004">
      <c r="A3" s="17" t="s">
        <v>13</v>
      </c>
      <c r="B3" s="11" t="s">
        <v>8</v>
      </c>
      <c r="C3" s="16" t="s">
        <v>7</v>
      </c>
      <c r="D3" s="120" t="str">
        <f>CSV!A1</f>
        <v>生産データ: 260723-011</v>
      </c>
      <c r="E3" s="17" t="s">
        <v>6</v>
      </c>
      <c r="F3" s="12"/>
      <c r="G3" s="16">
        <f>台数入力!I$5</f>
        <v>24</v>
      </c>
      <c r="H3" s="16">
        <f>台数入力!J$5</f>
        <v>96</v>
      </c>
      <c r="I3" s="16">
        <f>台数入力!K$5</f>
        <v>24</v>
      </c>
      <c r="J3" s="16">
        <f>台数入力!L$5</f>
        <v>24</v>
      </c>
      <c r="K3" s="16">
        <f>台数入力!M$5</f>
        <v>72</v>
      </c>
      <c r="L3" s="16">
        <f>台数入力!N$5</f>
        <v>72</v>
      </c>
      <c r="M3" s="16">
        <f>台数入力!O$5</f>
        <v>84</v>
      </c>
      <c r="N3" s="16">
        <f>台数入力!P$5</f>
        <v>84</v>
      </c>
      <c r="O3" s="16">
        <f>台数入力!Q$5</f>
        <v>24</v>
      </c>
      <c r="P3" s="16">
        <f>台数入力!R$5</f>
        <v>24</v>
      </c>
      <c r="Q3" s="16">
        <f>台数入力!S$5</f>
        <v>1</v>
      </c>
      <c r="R3" s="16">
        <f>台数入力!T$5</f>
        <v>1</v>
      </c>
      <c r="S3" s="16">
        <f>台数入力!U$5</f>
        <v>1</v>
      </c>
      <c r="T3" s="16">
        <f>台数入力!V$5</f>
        <v>1</v>
      </c>
      <c r="U3" s="16">
        <f>台数入力!W$5</f>
        <v>1</v>
      </c>
      <c r="V3" s="16">
        <f>台数入力!X$5</f>
        <v>48</v>
      </c>
      <c r="W3" s="16">
        <f>台数入力!Y$5</f>
        <v>48</v>
      </c>
      <c r="X3" s="16">
        <f>台数入力!Z$5</f>
        <v>48</v>
      </c>
      <c r="Y3" s="16">
        <f>台数入力!AA$5</f>
        <v>48</v>
      </c>
      <c r="Z3" s="16">
        <f>台数入力!AB$5</f>
        <v>12</v>
      </c>
      <c r="AA3" s="16">
        <f>台数入力!AC$5</f>
        <v>48</v>
      </c>
      <c r="AB3" s="16">
        <f>台数入力!AD$5</f>
        <v>48</v>
      </c>
      <c r="AC3" s="16">
        <f>台数入力!AE$5</f>
        <v>1</v>
      </c>
      <c r="AD3" s="16">
        <f>台数入力!AF$5</f>
        <v>1</v>
      </c>
      <c r="AE3" s="16">
        <f>台数入力!AG$5</f>
        <v>1</v>
      </c>
      <c r="AF3" s="16">
        <f>台数入力!AH$5</f>
        <v>1</v>
      </c>
      <c r="AG3" s="16">
        <f>台数入力!AI$5</f>
        <v>1</v>
      </c>
      <c r="AH3" s="16">
        <f>台数入力!AJ$5</f>
        <v>1</v>
      </c>
      <c r="AI3" s="16">
        <f>台数入力!AK$5</f>
        <v>1</v>
      </c>
      <c r="AJ3" s="16">
        <f>台数入力!AL$5</f>
        <v>1</v>
      </c>
      <c r="AK3" s="16">
        <f>台数入力!AM$5</f>
        <v>1</v>
      </c>
    </row>
    <row r="4" spans="1:37" s="5" customFormat="1" ht="56.25" customHeight="1" x14ac:dyDescent="0.55000000000000004">
      <c r="A4" s="15"/>
      <c r="B4" s="11" t="s">
        <v>5</v>
      </c>
      <c r="C4" s="14" t="s">
        <v>4</v>
      </c>
      <c r="D4" s="11" t="s">
        <v>3</v>
      </c>
      <c r="E4" s="13" t="s">
        <v>2</v>
      </c>
      <c r="F4" s="13" t="s">
        <v>1</v>
      </c>
      <c r="G4" s="13" t="str">
        <f>CSV!I$2</f>
        <v>000212220414_URS-43351-02_P6</v>
      </c>
      <c r="H4" s="13" t="str">
        <f>CSV!J$2</f>
        <v>部品説明</v>
      </c>
      <c r="I4" s="13" t="str">
        <f>CSV!K$2</f>
        <v>薄型シングル</v>
      </c>
      <c r="J4" s="13">
        <f>CSV!L$2</f>
        <v>0</v>
      </c>
      <c r="K4" s="13">
        <f>CSV!M$2</f>
        <v>0</v>
      </c>
      <c r="L4" s="13">
        <f>CSV!N$2</f>
        <v>0</v>
      </c>
      <c r="M4" s="13">
        <f>CSV!O$2</f>
        <v>0</v>
      </c>
      <c r="N4" s="13">
        <f>CSV!P$2</f>
        <v>0</v>
      </c>
      <c r="O4" s="13">
        <f>CSV!Q$2</f>
        <v>0</v>
      </c>
      <c r="P4" s="13">
        <f>CSV!R$2</f>
        <v>0</v>
      </c>
      <c r="Q4" s="13">
        <f>CSV!S$2</f>
        <v>0</v>
      </c>
      <c r="R4" s="13">
        <f>CSV!T$2</f>
        <v>0</v>
      </c>
      <c r="S4" s="13">
        <f>CSV!U$2</f>
        <v>0</v>
      </c>
      <c r="T4" s="13">
        <f>CSV!V$2</f>
        <v>0</v>
      </c>
      <c r="U4" s="13">
        <f>CSV!W$2</f>
        <v>0</v>
      </c>
      <c r="V4" s="13">
        <f>CSV!X$2</f>
        <v>0</v>
      </c>
      <c r="W4" s="13">
        <f>CSV!Y$2</f>
        <v>0</v>
      </c>
      <c r="X4" s="13">
        <f>CSV!Z$2</f>
        <v>0</v>
      </c>
      <c r="Y4" s="13">
        <f>CSV!AA$2</f>
        <v>0</v>
      </c>
      <c r="Z4" s="13">
        <f>CSV!AB$2</f>
        <v>0</v>
      </c>
      <c r="AA4" s="13">
        <f>CSV!AC$2</f>
        <v>0</v>
      </c>
      <c r="AB4" s="13">
        <f>CSV!AD$2</f>
        <v>0</v>
      </c>
      <c r="AC4" s="13">
        <f>CSV!AE$2</f>
        <v>0</v>
      </c>
      <c r="AD4" s="13">
        <f>CSV!AF$2</f>
        <v>0</v>
      </c>
      <c r="AE4" s="13">
        <f>CSV!AG$2</f>
        <v>0</v>
      </c>
      <c r="AF4" s="13">
        <f>CSV!AH$2</f>
        <v>0</v>
      </c>
      <c r="AG4" s="13">
        <f>CSV!AI$2</f>
        <v>0</v>
      </c>
      <c r="AH4" s="13">
        <f>CSV!AJ$2</f>
        <v>0</v>
      </c>
      <c r="AI4" s="13">
        <f>CSV!AK$2</f>
        <v>0</v>
      </c>
      <c r="AJ4" s="13">
        <f>CSV!AL$2</f>
        <v>0</v>
      </c>
      <c r="AK4" s="13">
        <f>CSV!AM$2</f>
        <v>0</v>
      </c>
    </row>
    <row r="5" spans="1:37" ht="27" customHeight="1" x14ac:dyDescent="0.55000000000000004">
      <c r="A5" s="12"/>
      <c r="B5" s="11">
        <v>142001</v>
      </c>
      <c r="C5" s="9" t="str">
        <f>IF(CSV!F23&lt;&gt;0,CSV!F23,"")</f>
        <v/>
      </c>
      <c r="D5" s="11">
        <f>HLOOKUP("部品説明",CSV!$B$2:$CC$42,B5-141979,FALSE)</f>
        <v>0</v>
      </c>
      <c r="E5" s="11" t="str">
        <f>IF(CSV!G23=0,"",CSV!G23)</f>
        <v/>
      </c>
      <c r="F5" s="11">
        <f>CSV!$H23</f>
        <v>0</v>
      </c>
      <c r="G5" s="11" t="str">
        <f>IF(CSV!I23=0,"",使用数!I23)&amp;IF(CSV!I23=0,"","("&amp;CSV!I23&amp;")")</f>
        <v/>
      </c>
      <c r="H5" s="11" t="str">
        <f>IF(CSV!J23=0,"",使用数!J23)&amp;IF(CSV!J23=0,"","("&amp;CSV!J23&amp;")")</f>
        <v/>
      </c>
      <c r="I5" s="11" t="str">
        <f>IF(CSV!K23=0,"",使用数!K23)&amp;IF(CSV!K23=0,"","("&amp;CSV!K23&amp;")")</f>
        <v/>
      </c>
      <c r="J5" s="11" t="str">
        <f>IF(CSV!L23=0,"",使用数!L23)&amp;IF(CSV!L23=0,"","("&amp;CSV!L23&amp;")")</f>
        <v/>
      </c>
      <c r="K5" s="11" t="str">
        <f>IF(CSV!M23=0,"",使用数!M23)&amp;IF(CSV!M23=0,"","("&amp;CSV!M23&amp;")")</f>
        <v/>
      </c>
      <c r="L5" s="11" t="str">
        <f>IF(CSV!N23=0,"",使用数!N23)&amp;IF(CSV!N23=0,"","("&amp;CSV!N23&amp;")")</f>
        <v/>
      </c>
      <c r="M5" s="11" t="str">
        <f>IF(CSV!O23=0,"",使用数!O23)&amp;IF(CSV!O23=0,"","("&amp;CSV!O23&amp;")")</f>
        <v/>
      </c>
      <c r="N5" s="11" t="str">
        <f>IF(CSV!P23=0,"",使用数!P23)&amp;IF(CSV!P23=0,"","("&amp;CSV!P23&amp;")")</f>
        <v/>
      </c>
      <c r="O5" s="11" t="str">
        <f>IF(CSV!Q23=0,"",使用数!Q23)&amp;IF(CSV!Q23=0,"","("&amp;CSV!Q23&amp;")")</f>
        <v/>
      </c>
      <c r="P5" s="11" t="str">
        <f>IF(CSV!R23=0,"",使用数!R23)&amp;IF(CSV!R23=0,"","("&amp;CSV!R23&amp;")")</f>
        <v/>
      </c>
      <c r="Q5" s="11" t="str">
        <f>IF(CSV!S23=0,"",使用数!S23)&amp;IF(CSV!S23=0,"","("&amp;CSV!S23&amp;")")</f>
        <v/>
      </c>
      <c r="R5" s="11" t="str">
        <f>IF(CSV!T23=0,"",使用数!T23)&amp;IF(CSV!T23=0,"","("&amp;CSV!T23&amp;")")</f>
        <v/>
      </c>
      <c r="S5" s="11" t="str">
        <f>IF(CSV!U23=0,"",使用数!U23)&amp;IF(CSV!U23=0,"","("&amp;CSV!U23&amp;")")</f>
        <v/>
      </c>
      <c r="T5" s="11" t="str">
        <f>IF(CSV!V23=0,"",使用数!V23)&amp;IF(CSV!V23=0,"","("&amp;CSV!V23&amp;")")</f>
        <v/>
      </c>
      <c r="U5" s="11" t="str">
        <f>IF(CSV!W23=0,"",使用数!W23)&amp;IF(CSV!W23=0,"","("&amp;CSV!W23&amp;")")</f>
        <v/>
      </c>
      <c r="V5" s="11" t="str">
        <f>IF(CSV!X23=0,"",使用数!X23)&amp;IF(CSV!X23=0,"","("&amp;CSV!X23&amp;")")</f>
        <v/>
      </c>
      <c r="W5" s="11" t="str">
        <f>IF(CSV!Y23=0,"",使用数!Y23)&amp;IF(CSV!Y23=0,"","("&amp;CSV!Y23&amp;")")</f>
        <v/>
      </c>
      <c r="X5" s="11" t="str">
        <f>IF(CSV!Z23=0,"",使用数!Z23)&amp;IF(CSV!Z23=0,"","("&amp;CSV!Z23&amp;")")</f>
        <v/>
      </c>
      <c r="Y5" s="11" t="str">
        <f>IF(CSV!AA23=0,"",使用数!AA23)&amp;IF(CSV!AA23=0,"","("&amp;CSV!AA23&amp;")")</f>
        <v/>
      </c>
      <c r="Z5" s="11" t="str">
        <f>IF(CSV!AB23=0,"",使用数!AB23)&amp;IF(CSV!AB23=0,"","("&amp;CSV!AB23&amp;")")</f>
        <v/>
      </c>
      <c r="AA5" s="11" t="str">
        <f>IF(CSV!AC23=0,"",使用数!AC23)&amp;IF(CSV!AC23=0,"","("&amp;CSV!AC23&amp;")")</f>
        <v/>
      </c>
      <c r="AB5" s="11" t="str">
        <f>IF(CSV!AD23=0,"",使用数!AD23)&amp;IF(CSV!AD23=0,"","("&amp;CSV!AD23&amp;")")</f>
        <v/>
      </c>
      <c r="AC5" s="11" t="str">
        <f>IF(CSV!AE23=0,"",使用数!AE23)&amp;IF(CSV!AE23=0,"","("&amp;CSV!AE23&amp;")")</f>
        <v/>
      </c>
      <c r="AD5" s="11" t="str">
        <f>IF(CSV!AF23=0,"",使用数!AF23)&amp;IF(CSV!AF23=0,"","("&amp;CSV!AF23&amp;")")</f>
        <v/>
      </c>
      <c r="AE5" s="11" t="str">
        <f>IF(CSV!AG23=0,"",使用数!AG23)&amp;IF(CSV!AG23=0,"","("&amp;CSV!AG23&amp;")")</f>
        <v/>
      </c>
      <c r="AF5" s="11" t="str">
        <f>IF(CSV!AH23=0,"",使用数!AH23)&amp;IF(CSV!AH23=0,"","("&amp;CSV!AH23&amp;")")</f>
        <v/>
      </c>
      <c r="AG5" s="11" t="str">
        <f>IF(CSV!AI23=0,"",使用数!AI23)&amp;IF(CSV!AI23=0,"","("&amp;CSV!AI23&amp;")")</f>
        <v/>
      </c>
      <c r="AH5" s="11" t="str">
        <f>IF(CSV!AJ23=0,"",使用数!AJ23)&amp;IF(CSV!AJ23=0,"","("&amp;CSV!AJ23&amp;")")</f>
        <v/>
      </c>
      <c r="AI5" s="11" t="str">
        <f>IF(CSV!AK23=0,"",使用数!AK23)&amp;IF(CSV!AK23=0,"","("&amp;CSV!AK23&amp;")")</f>
        <v/>
      </c>
      <c r="AJ5" s="11" t="str">
        <f>IF(CSV!AL23=0,"",使用数!AL23)&amp;IF(CSV!AL23=0,"","("&amp;CSV!AL23&amp;")")</f>
        <v/>
      </c>
      <c r="AK5" s="11" t="str">
        <f>IF(CSV!AM23=0,"",使用数!AM23)&amp;IF(CSV!AM23=0,"","("&amp;CSV!AM23&amp;")")</f>
        <v/>
      </c>
    </row>
    <row r="6" spans="1:37" s="7" customFormat="1" ht="27" customHeight="1" x14ac:dyDescent="0.55000000000000004">
      <c r="A6" s="121"/>
      <c r="B6" s="122">
        <v>142002</v>
      </c>
      <c r="C6" s="9" t="str">
        <f>IF(CSV!F24&lt;&gt;0,CSV!F24,"")</f>
        <v/>
      </c>
      <c r="D6" s="122">
        <f>HLOOKUP("部品説明",CSV!$B$2:$CC$42,B6-141979,FALSE)</f>
        <v>0</v>
      </c>
      <c r="E6" s="122" t="str">
        <f>IF(CSV!G24=0,"",CSV!G24)</f>
        <v/>
      </c>
      <c r="F6" s="122">
        <f>CSV!$H24</f>
        <v>0</v>
      </c>
      <c r="G6" s="122" t="str">
        <f>IF(CSV!I24=0,"",使用数!I24)&amp;IF(CSV!I24=0,"","("&amp;CSV!I24&amp;")")</f>
        <v/>
      </c>
      <c r="H6" s="122" t="str">
        <f>IF(CSV!J24=0,"",使用数!J24)&amp;IF(CSV!J24=0,"","("&amp;CSV!J24&amp;")")</f>
        <v/>
      </c>
      <c r="I6" s="122" t="str">
        <f>IF(CSV!K24=0,"",使用数!K24)&amp;IF(CSV!K24=0,"","("&amp;CSV!K24&amp;")")</f>
        <v/>
      </c>
      <c r="J6" s="122" t="str">
        <f>IF(CSV!L24=0,"",使用数!L24)&amp;IF(CSV!L24=0,"","("&amp;CSV!L24&amp;")")</f>
        <v/>
      </c>
      <c r="K6" s="122" t="str">
        <f>IF(CSV!M24=0,"",使用数!M24)&amp;IF(CSV!M24=0,"","("&amp;CSV!M24&amp;")")</f>
        <v/>
      </c>
      <c r="L6" s="122" t="str">
        <f>IF(CSV!N24=0,"",使用数!N24)&amp;IF(CSV!N24=0,"","("&amp;CSV!N24&amp;")")</f>
        <v/>
      </c>
      <c r="M6" s="8" t="str">
        <f>IF(CSV!O24=0,"",使用数!O24)&amp;IF(CSV!O24=0,"","("&amp;CSV!O24&amp;")")</f>
        <v/>
      </c>
      <c r="N6" s="8" t="str">
        <f>IF(CSV!P24=0,"",使用数!P24)&amp;IF(CSV!P24=0,"","("&amp;CSV!P24&amp;")")</f>
        <v/>
      </c>
      <c r="O6" s="8" t="str">
        <f>IF(CSV!Q24=0,"",使用数!Q24)&amp;IF(CSV!Q24=0,"","("&amp;CSV!Q24&amp;")")</f>
        <v/>
      </c>
      <c r="P6" s="8" t="str">
        <f>IF(CSV!R24=0,"",使用数!R24)&amp;IF(CSV!R24=0,"","("&amp;CSV!R24&amp;")")</f>
        <v/>
      </c>
      <c r="Q6" s="8" t="str">
        <f>IF(CSV!S24=0,"",使用数!S24)&amp;IF(CSV!S24=0,"","("&amp;CSV!S24&amp;")")</f>
        <v/>
      </c>
      <c r="R6" s="8" t="str">
        <f>IF(CSV!T24=0,"",使用数!T24)&amp;IF(CSV!T24=0,"","("&amp;CSV!T24&amp;")")</f>
        <v/>
      </c>
      <c r="S6" s="8" t="str">
        <f>IF(CSV!U24=0,"",使用数!U24)&amp;IF(CSV!U24=0,"","("&amp;CSV!U24&amp;")")</f>
        <v/>
      </c>
      <c r="T6" s="8" t="str">
        <f>IF(CSV!V24=0,"",使用数!V24)&amp;IF(CSV!V24=0,"","("&amp;CSV!V24&amp;")")</f>
        <v/>
      </c>
      <c r="U6" s="8" t="str">
        <f>IF(CSV!W24=0,"",使用数!W24)&amp;IF(CSV!W24=0,"","("&amp;CSV!W24&amp;")")</f>
        <v/>
      </c>
      <c r="V6" s="8" t="str">
        <f>IF(CSV!X24=0,"",使用数!X24)&amp;IF(CSV!X24=0,"","("&amp;CSV!X24&amp;")")</f>
        <v/>
      </c>
      <c r="W6" s="8" t="str">
        <f>IF(CSV!Y24=0,"",使用数!Y24)&amp;IF(CSV!Y24=0,"","("&amp;CSV!Y24&amp;")")</f>
        <v/>
      </c>
      <c r="X6" s="8" t="str">
        <f>IF(CSV!Z24=0,"",使用数!Z24)&amp;IF(CSV!Z24=0,"","("&amp;CSV!Z24&amp;")")</f>
        <v/>
      </c>
      <c r="Y6" s="8" t="str">
        <f>IF(CSV!AA24=0,"",使用数!AA24)&amp;IF(CSV!AA24=0,"","("&amp;CSV!AA24&amp;")")</f>
        <v/>
      </c>
      <c r="Z6" s="8" t="str">
        <f>IF(CSV!AB24=0,"",使用数!AB24)&amp;IF(CSV!AB24=0,"","("&amp;CSV!AB24&amp;")")</f>
        <v/>
      </c>
      <c r="AA6" s="8" t="str">
        <f>IF(CSV!AC24=0,"",使用数!AC24)&amp;IF(CSV!AC24=0,"","("&amp;CSV!AC24&amp;")")</f>
        <v/>
      </c>
      <c r="AB6" s="8" t="str">
        <f>IF(CSV!AD24=0,"",使用数!AD24)&amp;IF(CSV!AD24=0,"","("&amp;CSV!AD24&amp;")")</f>
        <v/>
      </c>
      <c r="AC6" s="8" t="str">
        <f>IF(CSV!AE24=0,"",使用数!AE24)&amp;IF(CSV!AE24=0,"","("&amp;CSV!AE24&amp;")")</f>
        <v/>
      </c>
      <c r="AD6" s="8" t="str">
        <f>IF(CSV!AF24=0,"",使用数!AF24)&amp;IF(CSV!AF24=0,"","("&amp;CSV!AF24&amp;")")</f>
        <v/>
      </c>
      <c r="AE6" s="8" t="str">
        <f>IF(CSV!AG24=0,"",使用数!AG24)&amp;IF(CSV!AG24=0,"","("&amp;CSV!AG24&amp;")")</f>
        <v/>
      </c>
      <c r="AF6" s="8" t="str">
        <f>IF(CSV!AH24=0,"",使用数!AH24)&amp;IF(CSV!AH24=0,"","("&amp;CSV!AH24&amp;")")</f>
        <v/>
      </c>
      <c r="AG6" s="8" t="str">
        <f>IF(CSV!AI24=0,"",使用数!AI24)&amp;IF(CSV!AI24=0,"","("&amp;CSV!AI24&amp;")")</f>
        <v/>
      </c>
      <c r="AH6" s="8" t="str">
        <f>IF(CSV!AJ24=0,"",使用数!AJ24)&amp;IF(CSV!AJ24=0,"","("&amp;CSV!AJ24&amp;")")</f>
        <v/>
      </c>
      <c r="AI6" s="8" t="str">
        <f>IF(CSV!AK24=0,"",使用数!AK24)&amp;IF(CSV!AK24=0,"","("&amp;CSV!AK24&amp;")")</f>
        <v/>
      </c>
      <c r="AJ6" s="8" t="str">
        <f>IF(CSV!AL24=0,"",使用数!AL24)&amp;IF(CSV!AL24=0,"","("&amp;CSV!AL24&amp;")")</f>
        <v/>
      </c>
      <c r="AK6" s="8" t="str">
        <f>IF(CSV!AM24=0,"",使用数!AM24)&amp;IF(CSV!AM24=0,"","("&amp;CSV!AM24&amp;")")</f>
        <v/>
      </c>
    </row>
    <row r="7" spans="1:37" ht="27" customHeight="1" x14ac:dyDescent="0.55000000000000004">
      <c r="A7" s="12"/>
      <c r="B7" s="11">
        <v>142003</v>
      </c>
      <c r="C7" s="9" t="str">
        <f>IF(CSV!F25&lt;&gt;0,CSV!F25,"")</f>
        <v/>
      </c>
      <c r="D7" s="11">
        <f>HLOOKUP("部品説明",CSV!$B$2:$CC$42,B7-141979,FALSE)</f>
        <v>0</v>
      </c>
      <c r="E7" s="11" t="str">
        <f>IF(CSV!G25=0,"",CSV!G25)</f>
        <v/>
      </c>
      <c r="F7" s="11">
        <f>CSV!$H25</f>
        <v>0</v>
      </c>
      <c r="G7" s="11" t="str">
        <f>IF(CSV!I25=0,"",使用数!I25)&amp;IF(CSV!I25=0,"","("&amp;CSV!I25&amp;")")</f>
        <v/>
      </c>
      <c r="H7" s="11" t="str">
        <f>IF(CSV!J25=0,"",使用数!J25)&amp;IF(CSV!J25=0,"","("&amp;CSV!J25&amp;")")</f>
        <v/>
      </c>
      <c r="I7" s="11" t="str">
        <f>IF(CSV!K25=0,"",使用数!K25)&amp;IF(CSV!K25=0,"","("&amp;CSV!K25&amp;")")</f>
        <v/>
      </c>
      <c r="J7" s="11" t="str">
        <f>IF(CSV!L25=0,"",使用数!L25)&amp;IF(CSV!L25=0,"","("&amp;CSV!L25&amp;")")</f>
        <v/>
      </c>
      <c r="K7" s="11" t="str">
        <f>IF(CSV!M25=0,"",使用数!M25)&amp;IF(CSV!M25=0,"","("&amp;CSV!M25&amp;")")</f>
        <v/>
      </c>
      <c r="L7" s="11" t="str">
        <f>IF(CSV!N25=0,"",使用数!N25)&amp;IF(CSV!N25=0,"","("&amp;CSV!N25&amp;")")</f>
        <v/>
      </c>
      <c r="M7" s="11" t="str">
        <f>IF(CSV!O25=0,"",使用数!O25)&amp;IF(CSV!O25=0,"","("&amp;CSV!O25&amp;")")</f>
        <v/>
      </c>
      <c r="N7" s="11" t="str">
        <f>IF(CSV!P25=0,"",使用数!P25)&amp;IF(CSV!P25=0,"","("&amp;CSV!P25&amp;")")</f>
        <v/>
      </c>
      <c r="O7" s="11" t="str">
        <f>IF(CSV!Q25=0,"",使用数!Q25)&amp;IF(CSV!Q25=0,"","("&amp;CSV!Q25&amp;")")</f>
        <v/>
      </c>
      <c r="P7" s="11" t="str">
        <f>IF(CSV!R25=0,"",使用数!R25)&amp;IF(CSV!R25=0,"","("&amp;CSV!R25&amp;")")</f>
        <v/>
      </c>
      <c r="Q7" s="11" t="str">
        <f>IF(CSV!S25=0,"",使用数!S25)&amp;IF(CSV!S25=0,"","("&amp;CSV!S25&amp;")")</f>
        <v/>
      </c>
      <c r="R7" s="11" t="str">
        <f>IF(CSV!T25=0,"",使用数!T25)&amp;IF(CSV!T25=0,"","("&amp;CSV!T25&amp;")")</f>
        <v/>
      </c>
      <c r="S7" s="11" t="str">
        <f>IF(CSV!U25=0,"",使用数!U25)&amp;IF(CSV!U25=0,"","("&amp;CSV!U25&amp;")")</f>
        <v/>
      </c>
      <c r="T7" s="11" t="str">
        <f>IF(CSV!V25=0,"",使用数!V25)&amp;IF(CSV!V25=0,"","("&amp;CSV!V25&amp;")")</f>
        <v/>
      </c>
      <c r="U7" s="11" t="str">
        <f>IF(CSV!W25=0,"",使用数!W25)&amp;IF(CSV!W25=0,"","("&amp;CSV!W25&amp;")")</f>
        <v/>
      </c>
      <c r="V7" s="11" t="str">
        <f>IF(CSV!X25=0,"",使用数!X25)&amp;IF(CSV!X25=0,"","("&amp;CSV!X25&amp;")")</f>
        <v/>
      </c>
      <c r="W7" s="11" t="str">
        <f>IF(CSV!Y25=0,"",使用数!Y25)&amp;IF(CSV!Y25=0,"","("&amp;CSV!Y25&amp;")")</f>
        <v/>
      </c>
      <c r="X7" s="11" t="str">
        <f>IF(CSV!Z25=0,"",使用数!Z25)&amp;IF(CSV!Z25=0,"","("&amp;CSV!Z25&amp;")")</f>
        <v/>
      </c>
      <c r="Y7" s="11" t="str">
        <f>IF(CSV!AA25=0,"",使用数!AA25)&amp;IF(CSV!AA25=0,"","("&amp;CSV!AA25&amp;")")</f>
        <v/>
      </c>
      <c r="Z7" s="11" t="str">
        <f>IF(CSV!AB25=0,"",使用数!AB25)&amp;IF(CSV!AB25=0,"","("&amp;CSV!AB25&amp;")")</f>
        <v/>
      </c>
      <c r="AA7" s="11" t="str">
        <f>IF(CSV!AC25=0,"",使用数!AC25)&amp;IF(CSV!AC25=0,"","("&amp;CSV!AC25&amp;")")</f>
        <v/>
      </c>
      <c r="AB7" s="11" t="str">
        <f>IF(CSV!AD25=0,"",使用数!AD25)&amp;IF(CSV!AD25=0,"","("&amp;CSV!AD25&amp;")")</f>
        <v/>
      </c>
      <c r="AC7" s="11" t="str">
        <f>IF(CSV!AE25=0,"",使用数!AE25)&amp;IF(CSV!AE25=0,"","("&amp;CSV!AE25&amp;")")</f>
        <v/>
      </c>
      <c r="AD7" s="11" t="str">
        <f>IF(CSV!AF25=0,"",使用数!AF25)&amp;IF(CSV!AF25=0,"","("&amp;CSV!AF25&amp;")")</f>
        <v/>
      </c>
      <c r="AE7" s="11" t="str">
        <f>IF(CSV!AG25=0,"",使用数!AG25)&amp;IF(CSV!AG25=0,"","("&amp;CSV!AG25&amp;")")</f>
        <v/>
      </c>
      <c r="AF7" s="11" t="str">
        <f>IF(CSV!AH25=0,"",使用数!AH25)&amp;IF(CSV!AH25=0,"","("&amp;CSV!AH25&amp;")")</f>
        <v/>
      </c>
      <c r="AG7" s="11" t="str">
        <f>IF(CSV!AI25=0,"",使用数!AI25)&amp;IF(CSV!AI25=0,"","("&amp;CSV!AI25&amp;")")</f>
        <v/>
      </c>
      <c r="AH7" s="11" t="str">
        <f>IF(CSV!AJ25=0,"",使用数!AJ25)&amp;IF(CSV!AJ25=0,"","("&amp;CSV!AJ25&amp;")")</f>
        <v/>
      </c>
      <c r="AI7" s="11" t="str">
        <f>IF(CSV!AK25=0,"",使用数!AK25)&amp;IF(CSV!AK25=0,"","("&amp;CSV!AK25&amp;")")</f>
        <v/>
      </c>
      <c r="AJ7" s="11" t="str">
        <f>IF(CSV!AL25=0,"",使用数!AL25)&amp;IF(CSV!AL25=0,"","("&amp;CSV!AL25&amp;")")</f>
        <v/>
      </c>
      <c r="AK7" s="11" t="str">
        <f>IF(CSV!AM25=0,"",使用数!AM25)&amp;IF(CSV!AM25=0,"","("&amp;CSV!AM25&amp;")")</f>
        <v/>
      </c>
    </row>
    <row r="8" spans="1:37" s="7" customFormat="1" ht="27" customHeight="1" x14ac:dyDescent="0.55000000000000004">
      <c r="A8" s="121"/>
      <c r="B8" s="122">
        <v>142004</v>
      </c>
      <c r="C8" s="9" t="str">
        <f>IF(CSV!F26&lt;&gt;0,CSV!F26,"")</f>
        <v/>
      </c>
      <c r="D8" s="122">
        <f>HLOOKUP("部品説明",CSV!$B$2:$CC$42,B8-141979,FALSE)</f>
        <v>0</v>
      </c>
      <c r="E8" s="122" t="str">
        <f>IF(CSV!G26=0,"",CSV!G26)</f>
        <v/>
      </c>
      <c r="F8" s="122">
        <f>CSV!$H26</f>
        <v>0</v>
      </c>
      <c r="G8" s="122" t="str">
        <f>IF(CSV!I26=0,"",使用数!I26)&amp;IF(CSV!I26=0,"","("&amp;CSV!I26&amp;")")</f>
        <v/>
      </c>
      <c r="H8" s="122" t="str">
        <f>IF(CSV!J26=0,"",使用数!J26)&amp;IF(CSV!J26=0,"","("&amp;CSV!J26&amp;")")</f>
        <v/>
      </c>
      <c r="I8" s="122" t="str">
        <f>IF(CSV!K26=0,"",使用数!K26)&amp;IF(CSV!K26=0,"","("&amp;CSV!K26&amp;")")</f>
        <v/>
      </c>
      <c r="J8" s="122" t="str">
        <f>IF(CSV!L26=0,"",使用数!L26)&amp;IF(CSV!L26=0,"","("&amp;CSV!L26&amp;")")</f>
        <v/>
      </c>
      <c r="K8" s="122" t="str">
        <f>IF(CSV!M26=0,"",使用数!M26)&amp;IF(CSV!M26=0,"","("&amp;CSV!M26&amp;")")</f>
        <v/>
      </c>
      <c r="L8" s="122" t="str">
        <f>IF(CSV!N26=0,"",使用数!N26)&amp;IF(CSV!N26=0,"","("&amp;CSV!N26&amp;")")</f>
        <v/>
      </c>
      <c r="M8" s="8" t="str">
        <f>IF(CSV!O26=0,"",使用数!O26)&amp;IF(CSV!O26=0,"","("&amp;CSV!O26&amp;")")</f>
        <v/>
      </c>
      <c r="N8" s="8" t="str">
        <f>IF(CSV!P26=0,"",使用数!P26)&amp;IF(CSV!P26=0,"","("&amp;CSV!P26&amp;")")</f>
        <v/>
      </c>
      <c r="O8" s="8" t="str">
        <f>IF(CSV!Q26=0,"",使用数!Q26)&amp;IF(CSV!Q26=0,"","("&amp;CSV!Q26&amp;")")</f>
        <v/>
      </c>
      <c r="P8" s="8" t="str">
        <f>IF(CSV!R26=0,"",使用数!R26)&amp;IF(CSV!R26=0,"","("&amp;CSV!R26&amp;")")</f>
        <v/>
      </c>
      <c r="Q8" s="8" t="str">
        <f>IF(CSV!S26=0,"",使用数!S26)&amp;IF(CSV!S26=0,"","("&amp;CSV!S26&amp;")")</f>
        <v/>
      </c>
      <c r="R8" s="8" t="str">
        <f>IF(CSV!T26=0,"",使用数!T26)&amp;IF(CSV!T26=0,"","("&amp;CSV!T26&amp;")")</f>
        <v/>
      </c>
      <c r="S8" s="8" t="str">
        <f>IF(CSV!U26=0,"",使用数!U26)&amp;IF(CSV!U26=0,"","("&amp;CSV!U26&amp;")")</f>
        <v/>
      </c>
      <c r="T8" s="8" t="str">
        <f>IF(CSV!V26=0,"",使用数!V26)&amp;IF(CSV!V26=0,"","("&amp;CSV!V26&amp;")")</f>
        <v/>
      </c>
      <c r="U8" s="8" t="str">
        <f>IF(CSV!W26=0,"",使用数!W26)&amp;IF(CSV!W26=0,"","("&amp;CSV!W26&amp;")")</f>
        <v/>
      </c>
      <c r="V8" s="8" t="str">
        <f>IF(CSV!X26=0,"",使用数!X26)&amp;IF(CSV!X26=0,"","("&amp;CSV!X26&amp;")")</f>
        <v/>
      </c>
      <c r="W8" s="8" t="str">
        <f>IF(CSV!Y26=0,"",使用数!Y26)&amp;IF(CSV!Y26=0,"","("&amp;CSV!Y26&amp;")")</f>
        <v/>
      </c>
      <c r="X8" s="8" t="str">
        <f>IF(CSV!Z26=0,"",使用数!Z26)&amp;IF(CSV!Z26=0,"","("&amp;CSV!Z26&amp;")")</f>
        <v/>
      </c>
      <c r="Y8" s="8" t="str">
        <f>IF(CSV!AA26=0,"",使用数!AA26)&amp;IF(CSV!AA26=0,"","("&amp;CSV!AA26&amp;")")</f>
        <v/>
      </c>
      <c r="Z8" s="8" t="str">
        <f>IF(CSV!AB26=0,"",使用数!AB26)&amp;IF(CSV!AB26=0,"","("&amp;CSV!AB26&amp;")")</f>
        <v/>
      </c>
      <c r="AA8" s="8" t="str">
        <f>IF(CSV!AC26=0,"",使用数!AC26)&amp;IF(CSV!AC26=0,"","("&amp;CSV!AC26&amp;")")</f>
        <v/>
      </c>
      <c r="AB8" s="8" t="str">
        <f>IF(CSV!AD26=0,"",使用数!AD26)&amp;IF(CSV!AD26=0,"","("&amp;CSV!AD26&amp;")")</f>
        <v/>
      </c>
      <c r="AC8" s="8" t="str">
        <f>IF(CSV!AE26=0,"",使用数!AE26)&amp;IF(CSV!AE26=0,"","("&amp;CSV!AE26&amp;")")</f>
        <v/>
      </c>
      <c r="AD8" s="8" t="str">
        <f>IF(CSV!AF26=0,"",使用数!AF26)&amp;IF(CSV!AF26=0,"","("&amp;CSV!AF26&amp;")")</f>
        <v/>
      </c>
      <c r="AE8" s="8" t="str">
        <f>IF(CSV!AG26=0,"",使用数!AG26)&amp;IF(CSV!AG26=0,"","("&amp;CSV!AG26&amp;")")</f>
        <v/>
      </c>
      <c r="AF8" s="8" t="str">
        <f>IF(CSV!AH26=0,"",使用数!AH26)&amp;IF(CSV!AH26=0,"","("&amp;CSV!AH26&amp;")")</f>
        <v/>
      </c>
      <c r="AG8" s="8" t="str">
        <f>IF(CSV!AI26=0,"",使用数!AI26)&amp;IF(CSV!AI26=0,"","("&amp;CSV!AI26&amp;")")</f>
        <v/>
      </c>
      <c r="AH8" s="8" t="str">
        <f>IF(CSV!AJ26=0,"",使用数!AJ26)&amp;IF(CSV!AJ26=0,"","("&amp;CSV!AJ26&amp;")")</f>
        <v/>
      </c>
      <c r="AI8" s="8" t="str">
        <f>IF(CSV!AK26=0,"",使用数!AK26)&amp;IF(CSV!AK26=0,"","("&amp;CSV!AK26&amp;")")</f>
        <v/>
      </c>
      <c r="AJ8" s="8" t="str">
        <f>IF(CSV!AL26=0,"",使用数!AL26)&amp;IF(CSV!AL26=0,"","("&amp;CSV!AL26&amp;")")</f>
        <v/>
      </c>
      <c r="AK8" s="8" t="str">
        <f>IF(CSV!AM26=0,"",使用数!AM26)&amp;IF(CSV!AM26=0,"","("&amp;CSV!AM26&amp;")")</f>
        <v/>
      </c>
    </row>
    <row r="9" spans="1:37" ht="27" customHeight="1" x14ac:dyDescent="0.55000000000000004">
      <c r="A9" s="12"/>
      <c r="B9" s="11">
        <v>142005</v>
      </c>
      <c r="C9" s="9" t="str">
        <f>IF(CSV!F27&lt;&gt;0,CSV!F27,"")</f>
        <v/>
      </c>
      <c r="D9" s="11">
        <f>HLOOKUP("部品説明",CSV!$B$2:$CC$42,B9-141979,FALSE)</f>
        <v>0</v>
      </c>
      <c r="E9" s="11" t="str">
        <f>IF(CSV!G27=0,"",CSV!G27)</f>
        <v/>
      </c>
      <c r="F9" s="11">
        <f>CSV!$H27</f>
        <v>0</v>
      </c>
      <c r="G9" s="11" t="str">
        <f>IF(CSV!I27=0,"",使用数!I27)&amp;IF(CSV!I27=0,"","("&amp;CSV!I27&amp;")")</f>
        <v/>
      </c>
      <c r="H9" s="11" t="str">
        <f>IF(CSV!J27=0,"",使用数!J27)&amp;IF(CSV!J27=0,"","("&amp;CSV!J27&amp;")")</f>
        <v/>
      </c>
      <c r="I9" s="11" t="str">
        <f>IF(CSV!K27=0,"",使用数!K27)&amp;IF(CSV!K27=0,"","("&amp;CSV!K27&amp;")")</f>
        <v/>
      </c>
      <c r="J9" s="11" t="str">
        <f>IF(CSV!L27=0,"",使用数!L27)&amp;IF(CSV!L27=0,"","("&amp;CSV!L27&amp;")")</f>
        <v/>
      </c>
      <c r="K9" s="11" t="str">
        <f>IF(CSV!M27=0,"",使用数!M27)&amp;IF(CSV!M27=0,"","("&amp;CSV!M27&amp;")")</f>
        <v/>
      </c>
      <c r="L9" s="11" t="str">
        <f>IF(CSV!N27=0,"",使用数!N27)&amp;IF(CSV!N27=0,"","("&amp;CSV!N27&amp;")")</f>
        <v/>
      </c>
      <c r="M9" s="11" t="str">
        <f>IF(CSV!O27=0,"",使用数!O27)&amp;IF(CSV!O27=0,"","("&amp;CSV!O27&amp;")")</f>
        <v/>
      </c>
      <c r="N9" s="11" t="str">
        <f>IF(CSV!P27=0,"",使用数!P27)&amp;IF(CSV!P27=0,"","("&amp;CSV!P27&amp;")")</f>
        <v/>
      </c>
      <c r="O9" s="11" t="str">
        <f>IF(CSV!Q27=0,"",使用数!Q27)&amp;IF(CSV!Q27=0,"","("&amp;CSV!Q27&amp;")")</f>
        <v/>
      </c>
      <c r="P9" s="11" t="str">
        <f>IF(CSV!R27=0,"",使用数!R27)&amp;IF(CSV!R27=0,"","("&amp;CSV!R27&amp;")")</f>
        <v/>
      </c>
      <c r="Q9" s="11" t="str">
        <f>IF(CSV!S27=0,"",使用数!S27)&amp;IF(CSV!S27=0,"","("&amp;CSV!S27&amp;")")</f>
        <v/>
      </c>
      <c r="R9" s="11" t="str">
        <f>IF(CSV!T27=0,"",使用数!T27)&amp;IF(CSV!T27=0,"","("&amp;CSV!T27&amp;")")</f>
        <v/>
      </c>
      <c r="S9" s="11" t="str">
        <f>IF(CSV!U27=0,"",使用数!U27)&amp;IF(CSV!U27=0,"","("&amp;CSV!U27&amp;")")</f>
        <v/>
      </c>
      <c r="T9" s="11" t="str">
        <f>IF(CSV!V27=0,"",使用数!V27)&amp;IF(CSV!V27=0,"","("&amp;CSV!V27&amp;")")</f>
        <v/>
      </c>
      <c r="U9" s="11" t="str">
        <f>IF(CSV!W27=0,"",使用数!W27)&amp;IF(CSV!W27=0,"","("&amp;CSV!W27&amp;")")</f>
        <v/>
      </c>
      <c r="V9" s="11" t="str">
        <f>IF(CSV!X27=0,"",使用数!X27)&amp;IF(CSV!X27=0,"","("&amp;CSV!X27&amp;")")</f>
        <v/>
      </c>
      <c r="W9" s="11" t="str">
        <f>IF(CSV!Y27=0,"",使用数!Y27)&amp;IF(CSV!Y27=0,"","("&amp;CSV!Y27&amp;")")</f>
        <v/>
      </c>
      <c r="X9" s="11" t="str">
        <f>IF(CSV!Z27=0,"",使用数!Z27)&amp;IF(CSV!Z27=0,"","("&amp;CSV!Z27&amp;")")</f>
        <v/>
      </c>
      <c r="Y9" s="11" t="str">
        <f>IF(CSV!AA27=0,"",使用数!AA27)&amp;IF(CSV!AA27=0,"","("&amp;CSV!AA27&amp;")")</f>
        <v/>
      </c>
      <c r="Z9" s="11" t="str">
        <f>IF(CSV!AB27=0,"",使用数!AB27)&amp;IF(CSV!AB27=0,"","("&amp;CSV!AB27&amp;")")</f>
        <v/>
      </c>
      <c r="AA9" s="11" t="str">
        <f>IF(CSV!AC27=0,"",使用数!AC27)&amp;IF(CSV!AC27=0,"","("&amp;CSV!AC27&amp;")")</f>
        <v/>
      </c>
      <c r="AB9" s="11" t="str">
        <f>IF(CSV!AD27=0,"",使用数!AD27)&amp;IF(CSV!AD27=0,"","("&amp;CSV!AD27&amp;")")</f>
        <v/>
      </c>
      <c r="AC9" s="11" t="str">
        <f>IF(CSV!AE27=0,"",使用数!AE27)&amp;IF(CSV!AE27=0,"","("&amp;CSV!AE27&amp;")")</f>
        <v/>
      </c>
      <c r="AD9" s="11" t="str">
        <f>IF(CSV!AF27=0,"",使用数!AF27)&amp;IF(CSV!AF27=0,"","("&amp;CSV!AF27&amp;")")</f>
        <v/>
      </c>
      <c r="AE9" s="11" t="str">
        <f>IF(CSV!AG27=0,"",使用数!AG27)&amp;IF(CSV!AG27=0,"","("&amp;CSV!AG27&amp;")")</f>
        <v/>
      </c>
      <c r="AF9" s="11" t="str">
        <f>IF(CSV!AH27=0,"",使用数!AH27)&amp;IF(CSV!AH27=0,"","("&amp;CSV!AH27&amp;")")</f>
        <v/>
      </c>
      <c r="AG9" s="11" t="str">
        <f>IF(CSV!AI27=0,"",使用数!AI27)&amp;IF(CSV!AI27=0,"","("&amp;CSV!AI27&amp;")")</f>
        <v/>
      </c>
      <c r="AH9" s="11" t="str">
        <f>IF(CSV!AJ27=0,"",使用数!AJ27)&amp;IF(CSV!AJ27=0,"","("&amp;CSV!AJ27&amp;")")</f>
        <v/>
      </c>
      <c r="AI9" s="11" t="str">
        <f>IF(CSV!AK27=0,"",使用数!AK27)&amp;IF(CSV!AK27=0,"","("&amp;CSV!AK27&amp;")")</f>
        <v/>
      </c>
      <c r="AJ9" s="11" t="str">
        <f>IF(CSV!AL27=0,"",使用数!AL27)&amp;IF(CSV!AL27=0,"","("&amp;CSV!AL27&amp;")")</f>
        <v/>
      </c>
      <c r="AK9" s="11" t="str">
        <f>IF(CSV!AM27=0,"",使用数!AM27)&amp;IF(CSV!AM27=0,"","("&amp;CSV!AM27&amp;")")</f>
        <v/>
      </c>
    </row>
    <row r="10" spans="1:37" s="7" customFormat="1" ht="27" customHeight="1" x14ac:dyDescent="0.55000000000000004">
      <c r="A10" s="121"/>
      <c r="B10" s="122">
        <v>142006</v>
      </c>
      <c r="C10" s="9" t="str">
        <f>IF(CSV!F28&lt;&gt;0,CSV!F28,"")</f>
        <v/>
      </c>
      <c r="D10" s="122">
        <f>HLOOKUP("部品説明",CSV!$B$2:$CC$42,B10-141979,FALSE)</f>
        <v>0</v>
      </c>
      <c r="E10" s="122" t="str">
        <f>IF(CSV!G28=0,"",CSV!G28)</f>
        <v/>
      </c>
      <c r="F10" s="122">
        <f>CSV!$H28</f>
        <v>0</v>
      </c>
      <c r="G10" s="122" t="str">
        <f>IF(CSV!I28=0,"",使用数!I28)&amp;IF(CSV!I28=0,"","("&amp;CSV!I28&amp;")")</f>
        <v/>
      </c>
      <c r="H10" s="122" t="str">
        <f>IF(CSV!J28=0,"",使用数!J28)&amp;IF(CSV!J28=0,"","("&amp;CSV!J28&amp;")")</f>
        <v/>
      </c>
      <c r="I10" s="122" t="str">
        <f>IF(CSV!K28=0,"",使用数!K28)&amp;IF(CSV!K28=0,"","("&amp;CSV!K28&amp;")")</f>
        <v/>
      </c>
      <c r="J10" s="122" t="str">
        <f>IF(CSV!L28=0,"",使用数!L28)&amp;IF(CSV!L28=0,"","("&amp;CSV!L28&amp;")")</f>
        <v/>
      </c>
      <c r="K10" s="122" t="str">
        <f>IF(CSV!M28=0,"",使用数!M28)&amp;IF(CSV!M28=0,"","("&amp;CSV!M28&amp;")")</f>
        <v/>
      </c>
      <c r="L10" s="122" t="str">
        <f>IF(CSV!N28=0,"",使用数!N28)&amp;IF(CSV!N28=0,"","("&amp;CSV!N28&amp;")")</f>
        <v/>
      </c>
      <c r="M10" s="8" t="str">
        <f>IF(CSV!O28=0,"",使用数!O28)&amp;IF(CSV!O28=0,"","("&amp;CSV!O28&amp;")")</f>
        <v/>
      </c>
      <c r="N10" s="8" t="str">
        <f>IF(CSV!P28=0,"",使用数!P28)&amp;IF(CSV!P28=0,"","("&amp;CSV!P28&amp;")")</f>
        <v/>
      </c>
      <c r="O10" s="8" t="str">
        <f>IF(CSV!Q28=0,"",使用数!Q28)&amp;IF(CSV!Q28=0,"","("&amp;CSV!Q28&amp;")")</f>
        <v/>
      </c>
      <c r="P10" s="8" t="str">
        <f>IF(CSV!R28=0,"",使用数!R28)&amp;IF(CSV!R28=0,"","("&amp;CSV!R28&amp;")")</f>
        <v/>
      </c>
      <c r="Q10" s="8" t="str">
        <f>IF(CSV!S28=0,"",使用数!S28)&amp;IF(CSV!S28=0,"","("&amp;CSV!S28&amp;")")</f>
        <v/>
      </c>
      <c r="R10" s="8" t="str">
        <f>IF(CSV!T28=0,"",使用数!T28)&amp;IF(CSV!T28=0,"","("&amp;CSV!T28&amp;")")</f>
        <v/>
      </c>
      <c r="S10" s="8" t="str">
        <f>IF(CSV!U28=0,"",使用数!U28)&amp;IF(CSV!U28=0,"","("&amp;CSV!U28&amp;")")</f>
        <v/>
      </c>
      <c r="T10" s="8" t="str">
        <f>IF(CSV!V28=0,"",使用数!V28)&amp;IF(CSV!V28=0,"","("&amp;CSV!V28&amp;")")</f>
        <v/>
      </c>
      <c r="U10" s="8" t="str">
        <f>IF(CSV!W28=0,"",使用数!W28)&amp;IF(CSV!W28=0,"","("&amp;CSV!W28&amp;")")</f>
        <v/>
      </c>
      <c r="V10" s="8" t="str">
        <f>IF(CSV!X28=0,"",使用数!X28)&amp;IF(CSV!X28=0,"","("&amp;CSV!X28&amp;")")</f>
        <v/>
      </c>
      <c r="W10" s="8" t="str">
        <f>IF(CSV!Y28=0,"",使用数!Y28)&amp;IF(CSV!Y28=0,"","("&amp;CSV!Y28&amp;")")</f>
        <v/>
      </c>
      <c r="X10" s="8" t="str">
        <f>IF(CSV!Z28=0,"",使用数!Z28)&amp;IF(CSV!Z28=0,"","("&amp;CSV!Z28&amp;")")</f>
        <v/>
      </c>
      <c r="Y10" s="8" t="str">
        <f>IF(CSV!AA28=0,"",使用数!AA28)&amp;IF(CSV!AA28=0,"","("&amp;CSV!AA28&amp;")")</f>
        <v/>
      </c>
      <c r="Z10" s="8" t="str">
        <f>IF(CSV!AB28=0,"",使用数!AB28)&amp;IF(CSV!AB28=0,"","("&amp;CSV!AB28&amp;")")</f>
        <v/>
      </c>
      <c r="AA10" s="8" t="str">
        <f>IF(CSV!AC28=0,"",使用数!AC28)&amp;IF(CSV!AC28=0,"","("&amp;CSV!AC28&amp;")")</f>
        <v/>
      </c>
      <c r="AB10" s="8" t="str">
        <f>IF(CSV!AD28=0,"",使用数!AD28)&amp;IF(CSV!AD28=0,"","("&amp;CSV!AD28&amp;")")</f>
        <v/>
      </c>
      <c r="AC10" s="8" t="str">
        <f>IF(CSV!AE28=0,"",使用数!AE28)&amp;IF(CSV!AE28=0,"","("&amp;CSV!AE28&amp;")")</f>
        <v/>
      </c>
      <c r="AD10" s="8" t="str">
        <f>IF(CSV!AF28=0,"",使用数!AF28)&amp;IF(CSV!AF28=0,"","("&amp;CSV!AF28&amp;")")</f>
        <v/>
      </c>
      <c r="AE10" s="8" t="str">
        <f>IF(CSV!AG28=0,"",使用数!AG28)&amp;IF(CSV!AG28=0,"","("&amp;CSV!AG28&amp;")")</f>
        <v/>
      </c>
      <c r="AF10" s="8" t="str">
        <f>IF(CSV!AH28=0,"",使用数!AH28)&amp;IF(CSV!AH28=0,"","("&amp;CSV!AH28&amp;")")</f>
        <v/>
      </c>
      <c r="AG10" s="8" t="str">
        <f>IF(CSV!AI28=0,"",使用数!AI28)&amp;IF(CSV!AI28=0,"","("&amp;CSV!AI28&amp;")")</f>
        <v/>
      </c>
      <c r="AH10" s="8" t="str">
        <f>IF(CSV!AJ28=0,"",使用数!AJ28)&amp;IF(CSV!AJ28=0,"","("&amp;CSV!AJ28&amp;")")</f>
        <v/>
      </c>
      <c r="AI10" s="8" t="str">
        <f>IF(CSV!AK28=0,"",使用数!AK28)&amp;IF(CSV!AK28=0,"","("&amp;CSV!AK28&amp;")")</f>
        <v/>
      </c>
      <c r="AJ10" s="8" t="str">
        <f>IF(CSV!AL28=0,"",使用数!AL28)&amp;IF(CSV!AL28=0,"","("&amp;CSV!AL28&amp;")")</f>
        <v/>
      </c>
      <c r="AK10" s="8" t="str">
        <f>IF(CSV!AM28=0,"",使用数!AM28)&amp;IF(CSV!AM28=0,"","("&amp;CSV!AM28&amp;")")</f>
        <v/>
      </c>
    </row>
    <row r="11" spans="1:37" ht="27" customHeight="1" x14ac:dyDescent="0.55000000000000004">
      <c r="A11" s="12"/>
      <c r="B11" s="11">
        <v>142007</v>
      </c>
      <c r="C11" s="9" t="str">
        <f>IF(CSV!F29&lt;&gt;0,CSV!F29,"")</f>
        <v/>
      </c>
      <c r="D11" s="11">
        <f>HLOOKUP("部品説明",CSV!$B$2:$CC$42,B11-141979,FALSE)</f>
        <v>0</v>
      </c>
      <c r="E11" s="11" t="str">
        <f>IF(CSV!G29=0,"",CSV!G29)</f>
        <v/>
      </c>
      <c r="F11" s="11">
        <f>CSV!$H29</f>
        <v>0</v>
      </c>
      <c r="G11" s="11" t="str">
        <f>IF(CSV!I29=0,"",使用数!I29)&amp;IF(CSV!I29=0,"","("&amp;CSV!I29&amp;")")</f>
        <v/>
      </c>
      <c r="H11" s="11" t="str">
        <f>IF(CSV!J29=0,"",使用数!J29)&amp;IF(CSV!J29=0,"","("&amp;CSV!J29&amp;")")</f>
        <v/>
      </c>
      <c r="I11" s="11" t="str">
        <f>IF(CSV!K29=0,"",使用数!K29)&amp;IF(CSV!K29=0,"","("&amp;CSV!K29&amp;")")</f>
        <v/>
      </c>
      <c r="J11" s="11" t="str">
        <f>IF(CSV!L29=0,"",使用数!L29)&amp;IF(CSV!L29=0,"","("&amp;CSV!L29&amp;")")</f>
        <v/>
      </c>
      <c r="K11" s="11" t="str">
        <f>IF(CSV!M29=0,"",使用数!M29)&amp;IF(CSV!M29=0,"","("&amp;CSV!M29&amp;")")</f>
        <v/>
      </c>
      <c r="L11" s="11" t="str">
        <f>IF(CSV!N29=0,"",使用数!N29)&amp;IF(CSV!N29=0,"","("&amp;CSV!N29&amp;")")</f>
        <v/>
      </c>
      <c r="M11" s="11" t="str">
        <f>IF(CSV!O29=0,"",使用数!O29)&amp;IF(CSV!O29=0,"","("&amp;CSV!O29&amp;")")</f>
        <v/>
      </c>
      <c r="N11" s="11" t="str">
        <f>IF(CSV!P29=0,"",使用数!P29)&amp;IF(CSV!P29=0,"","("&amp;CSV!P29&amp;")")</f>
        <v/>
      </c>
      <c r="O11" s="11" t="str">
        <f>IF(CSV!Q29=0,"",使用数!Q29)&amp;IF(CSV!Q29=0,"","("&amp;CSV!Q29&amp;")")</f>
        <v/>
      </c>
      <c r="P11" s="11" t="str">
        <f>IF(CSV!R29=0,"",使用数!R29)&amp;IF(CSV!R29=0,"","("&amp;CSV!R29&amp;")")</f>
        <v/>
      </c>
      <c r="Q11" s="11" t="str">
        <f>IF(CSV!S29=0,"",使用数!S29)&amp;IF(CSV!S29=0,"","("&amp;CSV!S29&amp;")")</f>
        <v/>
      </c>
      <c r="R11" s="11" t="str">
        <f>IF(CSV!T29=0,"",使用数!T29)&amp;IF(CSV!T29=0,"","("&amp;CSV!T29&amp;")")</f>
        <v/>
      </c>
      <c r="S11" s="11" t="str">
        <f>IF(CSV!U29=0,"",使用数!U29)&amp;IF(CSV!U29=0,"","("&amp;CSV!U29&amp;")")</f>
        <v/>
      </c>
      <c r="T11" s="11" t="str">
        <f>IF(CSV!V29=0,"",使用数!V29)&amp;IF(CSV!V29=0,"","("&amp;CSV!V29&amp;")")</f>
        <v/>
      </c>
      <c r="U11" s="11" t="str">
        <f>IF(CSV!W29=0,"",使用数!W29)&amp;IF(CSV!W29=0,"","("&amp;CSV!W29&amp;")")</f>
        <v/>
      </c>
      <c r="V11" s="11" t="str">
        <f>IF(CSV!X29=0,"",使用数!X29)&amp;IF(CSV!X29=0,"","("&amp;CSV!X29&amp;")")</f>
        <v/>
      </c>
      <c r="W11" s="11" t="str">
        <f>IF(CSV!Y29=0,"",使用数!Y29)&amp;IF(CSV!Y29=0,"","("&amp;CSV!Y29&amp;")")</f>
        <v/>
      </c>
      <c r="X11" s="11" t="str">
        <f>IF(CSV!Z29=0,"",使用数!Z29)&amp;IF(CSV!Z29=0,"","("&amp;CSV!Z29&amp;")")</f>
        <v/>
      </c>
      <c r="Y11" s="11" t="str">
        <f>IF(CSV!AA29=0,"",使用数!AA29)&amp;IF(CSV!AA29=0,"","("&amp;CSV!AA29&amp;")")</f>
        <v/>
      </c>
      <c r="Z11" s="11" t="str">
        <f>IF(CSV!AB29=0,"",使用数!AB29)&amp;IF(CSV!AB29=0,"","("&amp;CSV!AB29&amp;")")</f>
        <v/>
      </c>
      <c r="AA11" s="11" t="str">
        <f>IF(CSV!AC29=0,"",使用数!AC29)&amp;IF(CSV!AC29=0,"","("&amp;CSV!AC29&amp;")")</f>
        <v/>
      </c>
      <c r="AB11" s="11" t="str">
        <f>IF(CSV!AD29=0,"",使用数!AD29)&amp;IF(CSV!AD29=0,"","("&amp;CSV!AD29&amp;")")</f>
        <v/>
      </c>
      <c r="AC11" s="11" t="str">
        <f>IF(CSV!AE29=0,"",使用数!AE29)&amp;IF(CSV!AE29=0,"","("&amp;CSV!AE29&amp;")")</f>
        <v/>
      </c>
      <c r="AD11" s="11" t="str">
        <f>IF(CSV!AF29=0,"",使用数!AF29)&amp;IF(CSV!AF29=0,"","("&amp;CSV!AF29&amp;")")</f>
        <v/>
      </c>
      <c r="AE11" s="11" t="str">
        <f>IF(CSV!AG29=0,"",使用数!AG29)&amp;IF(CSV!AG29=0,"","("&amp;CSV!AG29&amp;")")</f>
        <v/>
      </c>
      <c r="AF11" s="11" t="str">
        <f>IF(CSV!AH29=0,"",使用数!AH29)&amp;IF(CSV!AH29=0,"","("&amp;CSV!AH29&amp;")")</f>
        <v/>
      </c>
      <c r="AG11" s="11" t="str">
        <f>IF(CSV!AI29=0,"",使用数!AI29)&amp;IF(CSV!AI29=0,"","("&amp;CSV!AI29&amp;")")</f>
        <v/>
      </c>
      <c r="AH11" s="11" t="str">
        <f>IF(CSV!AJ29=0,"",使用数!AJ29)&amp;IF(CSV!AJ29=0,"","("&amp;CSV!AJ29&amp;")")</f>
        <v/>
      </c>
      <c r="AI11" s="11" t="str">
        <f>IF(CSV!AK29=0,"",使用数!AK29)&amp;IF(CSV!AK29=0,"","("&amp;CSV!AK29&amp;")")</f>
        <v/>
      </c>
      <c r="AJ11" s="11" t="str">
        <f>IF(CSV!AL29=0,"",使用数!AL29)&amp;IF(CSV!AL29=0,"","("&amp;CSV!AL29&amp;")")</f>
        <v/>
      </c>
      <c r="AK11" s="11" t="str">
        <f>IF(CSV!AM29=0,"",使用数!AM29)&amp;IF(CSV!AM29=0,"","("&amp;CSV!AM29&amp;")")</f>
        <v/>
      </c>
    </row>
    <row r="12" spans="1:37" s="7" customFormat="1" ht="27" customHeight="1" x14ac:dyDescent="0.55000000000000004">
      <c r="A12" s="121"/>
      <c r="B12" s="122">
        <v>142008</v>
      </c>
      <c r="C12" s="9" t="str">
        <f>IF(CSV!F30&lt;&gt;0,CSV!F30,"")</f>
        <v/>
      </c>
      <c r="D12" s="122">
        <f>HLOOKUP("部品説明",CSV!$B$2:$CC$42,B12-141979,FALSE)</f>
        <v>0</v>
      </c>
      <c r="E12" s="122" t="str">
        <f>IF(CSV!G30=0,"",CSV!G30)</f>
        <v/>
      </c>
      <c r="F12" s="122">
        <f>CSV!$H30</f>
        <v>0</v>
      </c>
      <c r="G12" s="122" t="str">
        <f>IF(CSV!I30=0,"",使用数!I30)&amp;IF(CSV!I30=0,"","("&amp;CSV!I30&amp;")")</f>
        <v/>
      </c>
      <c r="H12" s="122" t="str">
        <f>IF(CSV!J30=0,"",使用数!J30)&amp;IF(CSV!J30=0,"","("&amp;CSV!J30&amp;")")</f>
        <v/>
      </c>
      <c r="I12" s="122" t="str">
        <f>IF(CSV!K30=0,"",使用数!K30)&amp;IF(CSV!K30=0,"","("&amp;CSV!K30&amp;")")</f>
        <v/>
      </c>
      <c r="J12" s="122" t="str">
        <f>IF(CSV!L30=0,"",使用数!L30)&amp;IF(CSV!L30=0,"","("&amp;CSV!L30&amp;")")</f>
        <v/>
      </c>
      <c r="K12" s="122" t="str">
        <f>IF(CSV!M30=0,"",使用数!M30)&amp;IF(CSV!M30=0,"","("&amp;CSV!M30&amp;")")</f>
        <v/>
      </c>
      <c r="L12" s="122" t="str">
        <f>IF(CSV!N30=0,"",使用数!N30)&amp;IF(CSV!N30=0,"","("&amp;CSV!N30&amp;")")</f>
        <v/>
      </c>
      <c r="M12" s="8" t="str">
        <f>IF(CSV!O30=0,"",使用数!O30)&amp;IF(CSV!O30=0,"","("&amp;CSV!O30&amp;")")</f>
        <v/>
      </c>
      <c r="N12" s="8" t="str">
        <f>IF(CSV!P30=0,"",使用数!P30)&amp;IF(CSV!P30=0,"","("&amp;CSV!P30&amp;")")</f>
        <v/>
      </c>
      <c r="O12" s="8" t="str">
        <f>IF(CSV!Q30=0,"",使用数!Q30)&amp;IF(CSV!Q30=0,"","("&amp;CSV!Q30&amp;")")</f>
        <v/>
      </c>
      <c r="P12" s="8" t="str">
        <f>IF(CSV!R30=0,"",使用数!R30)&amp;IF(CSV!R30=0,"","("&amp;CSV!R30&amp;")")</f>
        <v/>
      </c>
      <c r="Q12" s="8" t="str">
        <f>IF(CSV!S30=0,"",使用数!S30)&amp;IF(CSV!S30=0,"","("&amp;CSV!S30&amp;")")</f>
        <v/>
      </c>
      <c r="R12" s="8" t="str">
        <f>IF(CSV!T30=0,"",使用数!T30)&amp;IF(CSV!T30=0,"","("&amp;CSV!T30&amp;")")</f>
        <v/>
      </c>
      <c r="S12" s="8" t="str">
        <f>IF(CSV!U30=0,"",使用数!U30)&amp;IF(CSV!U30=0,"","("&amp;CSV!U30&amp;")")</f>
        <v/>
      </c>
      <c r="T12" s="8" t="str">
        <f>IF(CSV!V30=0,"",使用数!V30)&amp;IF(CSV!V30=0,"","("&amp;CSV!V30&amp;")")</f>
        <v/>
      </c>
      <c r="U12" s="8" t="str">
        <f>IF(CSV!W30=0,"",使用数!W30)&amp;IF(CSV!W30=0,"","("&amp;CSV!W30&amp;")")</f>
        <v/>
      </c>
      <c r="V12" s="8" t="str">
        <f>IF(CSV!X30=0,"",使用数!X30)&amp;IF(CSV!X30=0,"","("&amp;CSV!X30&amp;")")</f>
        <v/>
      </c>
      <c r="W12" s="8" t="str">
        <f>IF(CSV!Y30=0,"",使用数!Y30)&amp;IF(CSV!Y30=0,"","("&amp;CSV!Y30&amp;")")</f>
        <v/>
      </c>
      <c r="X12" s="8" t="str">
        <f>IF(CSV!Z30=0,"",使用数!Z30)&amp;IF(CSV!Z30=0,"","("&amp;CSV!Z30&amp;")")</f>
        <v/>
      </c>
      <c r="Y12" s="8" t="str">
        <f>IF(CSV!AA30=0,"",使用数!AA30)&amp;IF(CSV!AA30=0,"","("&amp;CSV!AA30&amp;")")</f>
        <v/>
      </c>
      <c r="Z12" s="8" t="str">
        <f>IF(CSV!AB30=0,"",使用数!AB30)&amp;IF(CSV!AB30=0,"","("&amp;CSV!AB30&amp;")")</f>
        <v/>
      </c>
      <c r="AA12" s="8" t="str">
        <f>IF(CSV!AC30=0,"",使用数!AC30)&amp;IF(CSV!AC30=0,"","("&amp;CSV!AC30&amp;")")</f>
        <v/>
      </c>
      <c r="AB12" s="8" t="str">
        <f>IF(CSV!AD30=0,"",使用数!AD30)&amp;IF(CSV!AD30=0,"","("&amp;CSV!AD30&amp;")")</f>
        <v/>
      </c>
      <c r="AC12" s="8" t="str">
        <f>IF(CSV!AE30=0,"",使用数!AE30)&amp;IF(CSV!AE30=0,"","("&amp;CSV!AE30&amp;")")</f>
        <v/>
      </c>
      <c r="AD12" s="8" t="str">
        <f>IF(CSV!AF30=0,"",使用数!AF30)&amp;IF(CSV!AF30=0,"","("&amp;CSV!AF30&amp;")")</f>
        <v/>
      </c>
      <c r="AE12" s="8" t="str">
        <f>IF(CSV!AG30=0,"",使用数!AG30)&amp;IF(CSV!AG30=0,"","("&amp;CSV!AG30&amp;")")</f>
        <v/>
      </c>
      <c r="AF12" s="8" t="str">
        <f>IF(CSV!AH30=0,"",使用数!AH30)&amp;IF(CSV!AH30=0,"","("&amp;CSV!AH30&amp;")")</f>
        <v/>
      </c>
      <c r="AG12" s="8" t="str">
        <f>IF(CSV!AI30=0,"",使用数!AI30)&amp;IF(CSV!AI30=0,"","("&amp;CSV!AI30&amp;")")</f>
        <v/>
      </c>
      <c r="AH12" s="8" t="str">
        <f>IF(CSV!AJ30=0,"",使用数!AJ30)&amp;IF(CSV!AJ30=0,"","("&amp;CSV!AJ30&amp;")")</f>
        <v/>
      </c>
      <c r="AI12" s="8" t="str">
        <f>IF(CSV!AK30=0,"",使用数!AK30)&amp;IF(CSV!AK30=0,"","("&amp;CSV!AK30&amp;")")</f>
        <v/>
      </c>
      <c r="AJ12" s="8" t="str">
        <f>IF(CSV!AL30=0,"",使用数!AL30)&amp;IF(CSV!AL30=0,"","("&amp;CSV!AL30&amp;")")</f>
        <v/>
      </c>
      <c r="AK12" s="8" t="str">
        <f>IF(CSV!AM30=0,"",使用数!AM30)&amp;IF(CSV!AM30=0,"","("&amp;CSV!AM30&amp;")")</f>
        <v/>
      </c>
    </row>
    <row r="13" spans="1:37" ht="27" customHeight="1" x14ac:dyDescent="0.55000000000000004">
      <c r="A13" s="12"/>
      <c r="B13" s="11">
        <v>142009</v>
      </c>
      <c r="C13" s="9" t="str">
        <f>IF(CSV!F31&lt;&gt;0,CSV!F31,"")</f>
        <v/>
      </c>
      <c r="D13" s="11">
        <f>HLOOKUP("部品説明",CSV!$B$2:$CC$42,B13-141979,FALSE)</f>
        <v>0</v>
      </c>
      <c r="E13" s="11" t="str">
        <f>IF(CSV!G31=0,"",CSV!G31)</f>
        <v/>
      </c>
      <c r="F13" s="11">
        <f>CSV!$H31</f>
        <v>0</v>
      </c>
      <c r="G13" s="11" t="str">
        <f>IF(CSV!I31=0,"",使用数!I31)&amp;IF(CSV!I31=0,"","("&amp;CSV!I31&amp;")")</f>
        <v/>
      </c>
      <c r="H13" s="11" t="str">
        <f>IF(CSV!J31=0,"",使用数!J31)&amp;IF(CSV!J31=0,"","("&amp;CSV!J31&amp;")")</f>
        <v/>
      </c>
      <c r="I13" s="11" t="str">
        <f>IF(CSV!K31=0,"",使用数!K31)&amp;IF(CSV!K31=0,"","("&amp;CSV!K31&amp;")")</f>
        <v/>
      </c>
      <c r="J13" s="11" t="str">
        <f>IF(CSV!L31=0,"",使用数!L31)&amp;IF(CSV!L31=0,"","("&amp;CSV!L31&amp;")")</f>
        <v/>
      </c>
      <c r="K13" s="11" t="str">
        <f>IF(CSV!M31=0,"",使用数!M31)&amp;IF(CSV!M31=0,"","("&amp;CSV!M31&amp;")")</f>
        <v/>
      </c>
      <c r="L13" s="11" t="str">
        <f>IF(CSV!N31=0,"",使用数!N31)&amp;IF(CSV!N31=0,"","("&amp;CSV!N31&amp;")")</f>
        <v/>
      </c>
      <c r="M13" s="11" t="str">
        <f>IF(CSV!O31=0,"",使用数!O31)&amp;IF(CSV!O31=0,"","("&amp;CSV!O31&amp;")")</f>
        <v/>
      </c>
      <c r="N13" s="11" t="str">
        <f>IF(CSV!P31=0,"",使用数!P31)&amp;IF(CSV!P31=0,"","("&amp;CSV!P31&amp;")")</f>
        <v/>
      </c>
      <c r="O13" s="11" t="str">
        <f>IF(CSV!Q31=0,"",使用数!Q31)&amp;IF(CSV!Q31=0,"","("&amp;CSV!Q31&amp;")")</f>
        <v/>
      </c>
      <c r="P13" s="11" t="str">
        <f>IF(CSV!R31=0,"",使用数!R31)&amp;IF(CSV!R31=0,"","("&amp;CSV!R31&amp;")")</f>
        <v/>
      </c>
      <c r="Q13" s="11" t="str">
        <f>IF(CSV!S31=0,"",使用数!S31)&amp;IF(CSV!S31=0,"","("&amp;CSV!S31&amp;")")</f>
        <v/>
      </c>
      <c r="R13" s="11" t="str">
        <f>IF(CSV!T31=0,"",使用数!T31)&amp;IF(CSV!T31=0,"","("&amp;CSV!T31&amp;")")</f>
        <v/>
      </c>
      <c r="S13" s="11" t="str">
        <f>IF(CSV!U31=0,"",使用数!U31)&amp;IF(CSV!U31=0,"","("&amp;CSV!U31&amp;")")</f>
        <v/>
      </c>
      <c r="T13" s="11" t="str">
        <f>IF(CSV!V31=0,"",使用数!V31)&amp;IF(CSV!V31=0,"","("&amp;CSV!V31&amp;")")</f>
        <v/>
      </c>
      <c r="U13" s="11" t="str">
        <f>IF(CSV!W31=0,"",使用数!W31)&amp;IF(CSV!W31=0,"","("&amp;CSV!W31&amp;")")</f>
        <v/>
      </c>
      <c r="V13" s="11" t="str">
        <f>IF(CSV!X31=0,"",使用数!X31)&amp;IF(CSV!X31=0,"","("&amp;CSV!X31&amp;")")</f>
        <v/>
      </c>
      <c r="W13" s="11" t="str">
        <f>IF(CSV!Y31=0,"",使用数!Y31)&amp;IF(CSV!Y31=0,"","("&amp;CSV!Y31&amp;")")</f>
        <v/>
      </c>
      <c r="X13" s="11" t="str">
        <f>IF(CSV!Z31=0,"",使用数!Z31)&amp;IF(CSV!Z31=0,"","("&amp;CSV!Z31&amp;")")</f>
        <v/>
      </c>
      <c r="Y13" s="11" t="str">
        <f>IF(CSV!AA31=0,"",使用数!AA31)&amp;IF(CSV!AA31=0,"","("&amp;CSV!AA31&amp;")")</f>
        <v/>
      </c>
      <c r="Z13" s="11" t="str">
        <f>IF(CSV!AB31=0,"",使用数!AB31)&amp;IF(CSV!AB31=0,"","("&amp;CSV!AB31&amp;")")</f>
        <v/>
      </c>
      <c r="AA13" s="11" t="str">
        <f>IF(CSV!AC31=0,"",使用数!AC31)&amp;IF(CSV!AC31=0,"","("&amp;CSV!AC31&amp;")")</f>
        <v/>
      </c>
      <c r="AB13" s="11" t="str">
        <f>IF(CSV!AD31=0,"",使用数!AD31)&amp;IF(CSV!AD31=0,"","("&amp;CSV!AD31&amp;")")</f>
        <v/>
      </c>
      <c r="AC13" s="11" t="str">
        <f>IF(CSV!AE31=0,"",使用数!AE31)&amp;IF(CSV!AE31=0,"","("&amp;CSV!AE31&amp;")")</f>
        <v/>
      </c>
      <c r="AD13" s="11" t="str">
        <f>IF(CSV!AF31=0,"",使用数!AF31)&amp;IF(CSV!AF31=0,"","("&amp;CSV!AF31&amp;")")</f>
        <v/>
      </c>
      <c r="AE13" s="11" t="str">
        <f>IF(CSV!AG31=0,"",使用数!AG31)&amp;IF(CSV!AG31=0,"","("&amp;CSV!AG31&amp;")")</f>
        <v/>
      </c>
      <c r="AF13" s="11" t="str">
        <f>IF(CSV!AH31=0,"",使用数!AH31)&amp;IF(CSV!AH31=0,"","("&amp;CSV!AH31&amp;")")</f>
        <v/>
      </c>
      <c r="AG13" s="11" t="str">
        <f>IF(CSV!AI31=0,"",使用数!AI31)&amp;IF(CSV!AI31=0,"","("&amp;CSV!AI31&amp;")")</f>
        <v/>
      </c>
      <c r="AH13" s="11" t="str">
        <f>IF(CSV!AJ31=0,"",使用数!AJ31)&amp;IF(CSV!AJ31=0,"","("&amp;CSV!AJ31&amp;")")</f>
        <v/>
      </c>
      <c r="AI13" s="11" t="str">
        <f>IF(CSV!AK31=0,"",使用数!AK31)&amp;IF(CSV!AK31=0,"","("&amp;CSV!AK31&amp;")")</f>
        <v/>
      </c>
      <c r="AJ13" s="11" t="str">
        <f>IF(CSV!AL31=0,"",使用数!AL31)&amp;IF(CSV!AL31=0,"","("&amp;CSV!AL31&amp;")")</f>
        <v/>
      </c>
      <c r="AK13" s="11" t="str">
        <f>IF(CSV!AM31=0,"",使用数!AM31)&amp;IF(CSV!AM31=0,"","("&amp;CSV!AM31&amp;")")</f>
        <v/>
      </c>
    </row>
    <row r="14" spans="1:37" s="7" customFormat="1" ht="27" customHeight="1" x14ac:dyDescent="0.55000000000000004">
      <c r="A14" s="121"/>
      <c r="B14" s="122">
        <v>142010</v>
      </c>
      <c r="C14" s="9" t="str">
        <f>IF(CSV!F32&lt;&gt;0,CSV!F32,"")</f>
        <v/>
      </c>
      <c r="D14" s="122">
        <f>HLOOKUP("部品説明",CSV!$B$2:$CC$42,B14-141979,FALSE)</f>
        <v>0</v>
      </c>
      <c r="E14" s="122" t="str">
        <f>IF(CSV!G32=0,"",CSV!G32)</f>
        <v/>
      </c>
      <c r="F14" s="122">
        <f>CSV!$H32</f>
        <v>0</v>
      </c>
      <c r="G14" s="122" t="str">
        <f>IF(CSV!I32=0,"",使用数!I32)&amp;IF(CSV!I32=0,"","("&amp;CSV!I32&amp;")")</f>
        <v/>
      </c>
      <c r="H14" s="122" t="str">
        <f>IF(CSV!J32=0,"",使用数!J32)&amp;IF(CSV!J32=0,"","("&amp;CSV!J32&amp;")")</f>
        <v/>
      </c>
      <c r="I14" s="122" t="str">
        <f>IF(CSV!K32=0,"",使用数!K32)&amp;IF(CSV!K32=0,"","("&amp;CSV!K32&amp;")")</f>
        <v/>
      </c>
      <c r="J14" s="122" t="str">
        <f>IF(CSV!L32=0,"",使用数!L32)&amp;IF(CSV!L32=0,"","("&amp;CSV!L32&amp;")")</f>
        <v/>
      </c>
      <c r="K14" s="122" t="str">
        <f>IF(CSV!M32=0,"",使用数!M32)&amp;IF(CSV!M32=0,"","("&amp;CSV!M32&amp;")")</f>
        <v/>
      </c>
      <c r="L14" s="122" t="str">
        <f>IF(CSV!N32=0,"",使用数!N32)&amp;IF(CSV!N32=0,"","("&amp;CSV!N32&amp;")")</f>
        <v/>
      </c>
      <c r="M14" s="8" t="str">
        <f>IF(CSV!O32=0,"",使用数!O32)&amp;IF(CSV!O32=0,"","("&amp;CSV!O32&amp;")")</f>
        <v/>
      </c>
      <c r="N14" s="8" t="str">
        <f>IF(CSV!P32=0,"",使用数!P32)&amp;IF(CSV!P32=0,"","("&amp;CSV!P32&amp;")")</f>
        <v/>
      </c>
      <c r="O14" s="8" t="str">
        <f>IF(CSV!Q32=0,"",使用数!Q32)&amp;IF(CSV!Q32=0,"","("&amp;CSV!Q32&amp;")")</f>
        <v/>
      </c>
      <c r="P14" s="8" t="str">
        <f>IF(CSV!R32=0,"",使用数!R32)&amp;IF(CSV!R32=0,"","("&amp;CSV!R32&amp;")")</f>
        <v/>
      </c>
      <c r="Q14" s="8" t="str">
        <f>IF(CSV!S32=0,"",使用数!S32)&amp;IF(CSV!S32=0,"","("&amp;CSV!S32&amp;")")</f>
        <v/>
      </c>
      <c r="R14" s="8" t="str">
        <f>IF(CSV!T32=0,"",使用数!T32)&amp;IF(CSV!T32=0,"","("&amp;CSV!T32&amp;")")</f>
        <v/>
      </c>
      <c r="S14" s="8" t="str">
        <f>IF(CSV!U32=0,"",使用数!U32)&amp;IF(CSV!U32=0,"","("&amp;CSV!U32&amp;")")</f>
        <v/>
      </c>
      <c r="T14" s="8" t="str">
        <f>IF(CSV!V32=0,"",使用数!V32)&amp;IF(CSV!V32=0,"","("&amp;CSV!V32&amp;")")</f>
        <v/>
      </c>
      <c r="U14" s="8" t="str">
        <f>IF(CSV!W32=0,"",使用数!W32)&amp;IF(CSV!W32=0,"","("&amp;CSV!W32&amp;")")</f>
        <v/>
      </c>
      <c r="V14" s="8" t="str">
        <f>IF(CSV!X32=0,"",使用数!X32)&amp;IF(CSV!X32=0,"","("&amp;CSV!X32&amp;")")</f>
        <v/>
      </c>
      <c r="W14" s="8" t="str">
        <f>IF(CSV!Y32=0,"",使用数!Y32)&amp;IF(CSV!Y32=0,"","("&amp;CSV!Y32&amp;")")</f>
        <v/>
      </c>
      <c r="X14" s="8" t="str">
        <f>IF(CSV!Z32=0,"",使用数!Z32)&amp;IF(CSV!Z32=0,"","("&amp;CSV!Z32&amp;")")</f>
        <v/>
      </c>
      <c r="Y14" s="8" t="str">
        <f>IF(CSV!AA32=0,"",使用数!AA32)&amp;IF(CSV!AA32=0,"","("&amp;CSV!AA32&amp;")")</f>
        <v/>
      </c>
      <c r="Z14" s="8" t="str">
        <f>IF(CSV!AB32=0,"",使用数!AB32)&amp;IF(CSV!AB32=0,"","("&amp;CSV!AB32&amp;")")</f>
        <v/>
      </c>
      <c r="AA14" s="8" t="str">
        <f>IF(CSV!AC32=0,"",使用数!AC32)&amp;IF(CSV!AC32=0,"","("&amp;CSV!AC32&amp;")")</f>
        <v/>
      </c>
      <c r="AB14" s="8" t="str">
        <f>IF(CSV!AD32=0,"",使用数!AD32)&amp;IF(CSV!AD32=0,"","("&amp;CSV!AD32&amp;")")</f>
        <v/>
      </c>
      <c r="AC14" s="8" t="str">
        <f>IF(CSV!AE32=0,"",使用数!AE32)&amp;IF(CSV!AE32=0,"","("&amp;CSV!AE32&amp;")")</f>
        <v/>
      </c>
      <c r="AD14" s="8" t="str">
        <f>IF(CSV!AF32=0,"",使用数!AF32)&amp;IF(CSV!AF32=0,"","("&amp;CSV!AF32&amp;")")</f>
        <v/>
      </c>
      <c r="AE14" s="8" t="str">
        <f>IF(CSV!AG32=0,"",使用数!AG32)&amp;IF(CSV!AG32=0,"","("&amp;CSV!AG32&amp;")")</f>
        <v/>
      </c>
      <c r="AF14" s="8" t="str">
        <f>IF(CSV!AH32=0,"",使用数!AH32)&amp;IF(CSV!AH32=0,"","("&amp;CSV!AH32&amp;")")</f>
        <v/>
      </c>
      <c r="AG14" s="8" t="str">
        <f>IF(CSV!AI32=0,"",使用数!AI32)&amp;IF(CSV!AI32=0,"","("&amp;CSV!AI32&amp;")")</f>
        <v/>
      </c>
      <c r="AH14" s="8" t="str">
        <f>IF(CSV!AJ32=0,"",使用数!AJ32)&amp;IF(CSV!AJ32=0,"","("&amp;CSV!AJ32&amp;")")</f>
        <v/>
      </c>
      <c r="AI14" s="8" t="str">
        <f>IF(CSV!AK32=0,"",使用数!AK32)&amp;IF(CSV!AK32=0,"","("&amp;CSV!AK32&amp;")")</f>
        <v/>
      </c>
      <c r="AJ14" s="8" t="str">
        <f>IF(CSV!AL32=0,"",使用数!AL32)&amp;IF(CSV!AL32=0,"","("&amp;CSV!AL32&amp;")")</f>
        <v/>
      </c>
      <c r="AK14" s="8" t="str">
        <f>IF(CSV!AM32=0,"",使用数!AM32)&amp;IF(CSV!AM32=0,"","("&amp;CSV!AM32&amp;")")</f>
        <v/>
      </c>
    </row>
    <row r="15" spans="1:37" ht="27" customHeight="1" x14ac:dyDescent="0.55000000000000004">
      <c r="A15" s="12"/>
      <c r="B15" s="11">
        <v>142011</v>
      </c>
      <c r="C15" s="9" t="str">
        <f>IF(CSV!F33&lt;&gt;0,CSV!F33,"")</f>
        <v/>
      </c>
      <c r="D15" s="11">
        <f>HLOOKUP("部品説明",CSV!$B$2:$CC$42,B15-141979,FALSE)</f>
        <v>0</v>
      </c>
      <c r="E15" s="11" t="str">
        <f>IF(CSV!G33=0,"",CSV!G33)</f>
        <v/>
      </c>
      <c r="F15" s="11">
        <f>CSV!$H33</f>
        <v>0</v>
      </c>
      <c r="G15" s="11" t="str">
        <f>IF(CSV!I33=0,"",使用数!I33)&amp;IF(CSV!I33=0,"","("&amp;CSV!I33&amp;")")</f>
        <v/>
      </c>
      <c r="H15" s="11" t="str">
        <f>IF(CSV!J33=0,"",使用数!J33)&amp;IF(CSV!J33=0,"","("&amp;CSV!J33&amp;")")</f>
        <v/>
      </c>
      <c r="I15" s="11" t="str">
        <f>IF(CSV!K33=0,"",使用数!K33)&amp;IF(CSV!K33=0,"","("&amp;CSV!K33&amp;")")</f>
        <v/>
      </c>
      <c r="J15" s="11" t="str">
        <f>IF(CSV!L33=0,"",使用数!L33)&amp;IF(CSV!L33=0,"","("&amp;CSV!L33&amp;")")</f>
        <v/>
      </c>
      <c r="K15" s="11" t="str">
        <f>IF(CSV!M33=0,"",使用数!M33)&amp;IF(CSV!M33=0,"","("&amp;CSV!M33&amp;")")</f>
        <v/>
      </c>
      <c r="L15" s="11" t="str">
        <f>IF(CSV!N33=0,"",使用数!N33)&amp;IF(CSV!N33=0,"","("&amp;CSV!N33&amp;")")</f>
        <v/>
      </c>
      <c r="M15" s="11" t="str">
        <f>IF(CSV!O33=0,"",使用数!O33)&amp;IF(CSV!O33=0,"","("&amp;CSV!O33&amp;")")</f>
        <v/>
      </c>
      <c r="N15" s="11" t="str">
        <f>IF(CSV!P33=0,"",使用数!P33)&amp;IF(CSV!P33=0,"","("&amp;CSV!P33&amp;")")</f>
        <v/>
      </c>
      <c r="O15" s="11" t="str">
        <f>IF(CSV!Q33=0,"",使用数!Q33)&amp;IF(CSV!Q33=0,"","("&amp;CSV!Q33&amp;")")</f>
        <v/>
      </c>
      <c r="P15" s="11" t="str">
        <f>IF(CSV!R33=0,"",使用数!R33)&amp;IF(CSV!R33=0,"","("&amp;CSV!R33&amp;")")</f>
        <v/>
      </c>
      <c r="Q15" s="11" t="str">
        <f>IF(CSV!S33=0,"",使用数!S33)&amp;IF(CSV!S33=0,"","("&amp;CSV!S33&amp;")")</f>
        <v/>
      </c>
      <c r="R15" s="11" t="str">
        <f>IF(CSV!T33=0,"",使用数!T33)&amp;IF(CSV!T33=0,"","("&amp;CSV!T33&amp;")")</f>
        <v/>
      </c>
      <c r="S15" s="11" t="str">
        <f>IF(CSV!U33=0,"",使用数!U33)&amp;IF(CSV!U33=0,"","("&amp;CSV!U33&amp;")")</f>
        <v/>
      </c>
      <c r="T15" s="11" t="str">
        <f>IF(CSV!V33=0,"",使用数!V33)&amp;IF(CSV!V33=0,"","("&amp;CSV!V33&amp;")")</f>
        <v/>
      </c>
      <c r="U15" s="11" t="str">
        <f>IF(CSV!W33=0,"",使用数!W33)&amp;IF(CSV!W33=0,"","("&amp;CSV!W33&amp;")")</f>
        <v/>
      </c>
      <c r="V15" s="11" t="str">
        <f>IF(CSV!X33=0,"",使用数!X33)&amp;IF(CSV!X33=0,"","("&amp;CSV!X33&amp;")")</f>
        <v/>
      </c>
      <c r="W15" s="11" t="str">
        <f>IF(CSV!Y33=0,"",使用数!Y33)&amp;IF(CSV!Y33=0,"","("&amp;CSV!Y33&amp;")")</f>
        <v/>
      </c>
      <c r="X15" s="11" t="str">
        <f>IF(CSV!Z33=0,"",使用数!Z33)&amp;IF(CSV!Z33=0,"","("&amp;CSV!Z33&amp;")")</f>
        <v/>
      </c>
      <c r="Y15" s="11" t="str">
        <f>IF(CSV!AA33=0,"",使用数!AA33)&amp;IF(CSV!AA33=0,"","("&amp;CSV!AA33&amp;")")</f>
        <v/>
      </c>
      <c r="Z15" s="11" t="str">
        <f>IF(CSV!AB33=0,"",使用数!AB33)&amp;IF(CSV!AB33=0,"","("&amp;CSV!AB33&amp;")")</f>
        <v/>
      </c>
      <c r="AA15" s="11" t="str">
        <f>IF(CSV!AC33=0,"",使用数!AC33)&amp;IF(CSV!AC33=0,"","("&amp;CSV!AC33&amp;")")</f>
        <v/>
      </c>
      <c r="AB15" s="11" t="str">
        <f>IF(CSV!AD33=0,"",使用数!AD33)&amp;IF(CSV!AD33=0,"","("&amp;CSV!AD33&amp;")")</f>
        <v/>
      </c>
      <c r="AC15" s="11" t="str">
        <f>IF(CSV!AE33=0,"",使用数!AE33)&amp;IF(CSV!AE33=0,"","("&amp;CSV!AE33&amp;")")</f>
        <v/>
      </c>
      <c r="AD15" s="11" t="str">
        <f>IF(CSV!AF33=0,"",使用数!AF33)&amp;IF(CSV!AF33=0,"","("&amp;CSV!AF33&amp;")")</f>
        <v/>
      </c>
      <c r="AE15" s="11" t="str">
        <f>IF(CSV!AG33=0,"",使用数!AG33)&amp;IF(CSV!AG33=0,"","("&amp;CSV!AG33&amp;")")</f>
        <v/>
      </c>
      <c r="AF15" s="11" t="str">
        <f>IF(CSV!AH33=0,"",使用数!AH33)&amp;IF(CSV!AH33=0,"","("&amp;CSV!AH33&amp;")")</f>
        <v/>
      </c>
      <c r="AG15" s="11" t="str">
        <f>IF(CSV!AI33=0,"",使用数!AI33)&amp;IF(CSV!AI33=0,"","("&amp;CSV!AI33&amp;")")</f>
        <v/>
      </c>
      <c r="AH15" s="11" t="str">
        <f>IF(CSV!AJ33=0,"",使用数!AJ33)&amp;IF(CSV!AJ33=0,"","("&amp;CSV!AJ33&amp;")")</f>
        <v/>
      </c>
      <c r="AI15" s="11" t="str">
        <f>IF(CSV!AK33=0,"",使用数!AK33)&amp;IF(CSV!AK33=0,"","("&amp;CSV!AK33&amp;")")</f>
        <v/>
      </c>
      <c r="AJ15" s="11" t="str">
        <f>IF(CSV!AL33=0,"",使用数!AL33)&amp;IF(CSV!AL33=0,"","("&amp;CSV!AL33&amp;")")</f>
        <v/>
      </c>
      <c r="AK15" s="11" t="str">
        <f>IF(CSV!AM33=0,"",使用数!AM33)&amp;IF(CSV!AM33=0,"","("&amp;CSV!AM33&amp;")")</f>
        <v/>
      </c>
    </row>
    <row r="16" spans="1:37" s="7" customFormat="1" ht="27" customHeight="1" x14ac:dyDescent="0.55000000000000004">
      <c r="A16" s="121"/>
      <c r="B16" s="122">
        <v>142012</v>
      </c>
      <c r="C16" s="9" t="str">
        <f>IF(CSV!F34&lt;&gt;0,CSV!F34,"")</f>
        <v/>
      </c>
      <c r="D16" s="122">
        <f>HLOOKUP("部品説明",CSV!$B$2:$CC$42,B16-141979,FALSE)</f>
        <v>0</v>
      </c>
      <c r="E16" s="122" t="str">
        <f>IF(CSV!G34=0,"",CSV!G34)</f>
        <v/>
      </c>
      <c r="F16" s="122">
        <f>CSV!$H34</f>
        <v>0</v>
      </c>
      <c r="G16" s="122" t="str">
        <f>IF(CSV!I34=0,"",使用数!I34)&amp;IF(CSV!I34=0,"","("&amp;CSV!I34&amp;")")</f>
        <v/>
      </c>
      <c r="H16" s="122" t="str">
        <f>IF(CSV!J34=0,"",使用数!J34)&amp;IF(CSV!J34=0,"","("&amp;CSV!J34&amp;")")</f>
        <v/>
      </c>
      <c r="I16" s="122" t="str">
        <f>IF(CSV!K34=0,"",使用数!K34)&amp;IF(CSV!K34=0,"","("&amp;CSV!K34&amp;")")</f>
        <v/>
      </c>
      <c r="J16" s="122" t="str">
        <f>IF(CSV!L34=0,"",使用数!L34)&amp;IF(CSV!L34=0,"","("&amp;CSV!L34&amp;")")</f>
        <v/>
      </c>
      <c r="K16" s="122" t="str">
        <f>IF(CSV!M34=0,"",使用数!M34)&amp;IF(CSV!M34=0,"","("&amp;CSV!M34&amp;")")</f>
        <v/>
      </c>
      <c r="L16" s="122" t="str">
        <f>IF(CSV!N34=0,"",使用数!N34)&amp;IF(CSV!N34=0,"","("&amp;CSV!N34&amp;")")</f>
        <v/>
      </c>
      <c r="M16" s="8" t="str">
        <f>IF(CSV!O34=0,"",使用数!O34)&amp;IF(CSV!O34=0,"","("&amp;CSV!O34&amp;")")</f>
        <v/>
      </c>
      <c r="N16" s="8" t="str">
        <f>IF(CSV!P34=0,"",使用数!P34)&amp;IF(CSV!P34=0,"","("&amp;CSV!P34&amp;")")</f>
        <v/>
      </c>
      <c r="O16" s="8" t="str">
        <f>IF(CSV!Q34=0,"",使用数!Q34)&amp;IF(CSV!Q34=0,"","("&amp;CSV!Q34&amp;")")</f>
        <v/>
      </c>
      <c r="P16" s="8" t="str">
        <f>IF(CSV!R34=0,"",使用数!R34)&amp;IF(CSV!R34=0,"","("&amp;CSV!R34&amp;")")</f>
        <v/>
      </c>
      <c r="Q16" s="8" t="str">
        <f>IF(CSV!S34=0,"",使用数!S34)&amp;IF(CSV!S34=0,"","("&amp;CSV!S34&amp;")")</f>
        <v/>
      </c>
      <c r="R16" s="8" t="str">
        <f>IF(CSV!T34=0,"",使用数!T34)&amp;IF(CSV!T34=0,"","("&amp;CSV!T34&amp;")")</f>
        <v/>
      </c>
      <c r="S16" s="8" t="str">
        <f>IF(CSV!U34=0,"",使用数!U34)&amp;IF(CSV!U34=0,"","("&amp;CSV!U34&amp;")")</f>
        <v/>
      </c>
      <c r="T16" s="8" t="str">
        <f>IF(CSV!V34=0,"",使用数!V34)&amp;IF(CSV!V34=0,"","("&amp;CSV!V34&amp;")")</f>
        <v/>
      </c>
      <c r="U16" s="8" t="str">
        <f>IF(CSV!W34=0,"",使用数!W34)&amp;IF(CSV!W34=0,"","("&amp;CSV!W34&amp;")")</f>
        <v/>
      </c>
      <c r="V16" s="8" t="str">
        <f>IF(CSV!X34=0,"",使用数!X34)&amp;IF(CSV!X34=0,"","("&amp;CSV!X34&amp;")")</f>
        <v/>
      </c>
      <c r="W16" s="8" t="str">
        <f>IF(CSV!Y34=0,"",使用数!Y34)&amp;IF(CSV!Y34=0,"","("&amp;CSV!Y34&amp;")")</f>
        <v/>
      </c>
      <c r="X16" s="8" t="str">
        <f>IF(CSV!Z34=0,"",使用数!Z34)&amp;IF(CSV!Z34=0,"","("&amp;CSV!Z34&amp;")")</f>
        <v/>
      </c>
      <c r="Y16" s="8" t="str">
        <f>IF(CSV!AA34=0,"",使用数!AA34)&amp;IF(CSV!AA34=0,"","("&amp;CSV!AA34&amp;")")</f>
        <v/>
      </c>
      <c r="Z16" s="8" t="str">
        <f>IF(CSV!AB34=0,"",使用数!AB34)&amp;IF(CSV!AB34=0,"","("&amp;CSV!AB34&amp;")")</f>
        <v/>
      </c>
      <c r="AA16" s="8" t="str">
        <f>IF(CSV!AC34=0,"",使用数!AC34)&amp;IF(CSV!AC34=0,"","("&amp;CSV!AC34&amp;")")</f>
        <v/>
      </c>
      <c r="AB16" s="8" t="str">
        <f>IF(CSV!AD34=0,"",使用数!AD34)&amp;IF(CSV!AD34=0,"","("&amp;CSV!AD34&amp;")")</f>
        <v/>
      </c>
      <c r="AC16" s="8" t="str">
        <f>IF(CSV!AE34=0,"",使用数!AE34)&amp;IF(CSV!AE34=0,"","("&amp;CSV!AE34&amp;")")</f>
        <v/>
      </c>
      <c r="AD16" s="8" t="str">
        <f>IF(CSV!AF34=0,"",使用数!AF34)&amp;IF(CSV!AF34=0,"","("&amp;CSV!AF34&amp;")")</f>
        <v/>
      </c>
      <c r="AE16" s="8" t="str">
        <f>IF(CSV!AG34=0,"",使用数!AG34)&amp;IF(CSV!AG34=0,"","("&amp;CSV!AG34&amp;")")</f>
        <v/>
      </c>
      <c r="AF16" s="8" t="str">
        <f>IF(CSV!AH34=0,"",使用数!AH34)&amp;IF(CSV!AH34=0,"","("&amp;CSV!AH34&amp;")")</f>
        <v/>
      </c>
      <c r="AG16" s="8" t="str">
        <f>IF(CSV!AI34=0,"",使用数!AI34)&amp;IF(CSV!AI34=0,"","("&amp;CSV!AI34&amp;")")</f>
        <v/>
      </c>
      <c r="AH16" s="8" t="str">
        <f>IF(CSV!AJ34=0,"",使用数!AJ34)&amp;IF(CSV!AJ34=0,"","("&amp;CSV!AJ34&amp;")")</f>
        <v/>
      </c>
      <c r="AI16" s="8" t="str">
        <f>IF(CSV!AK34=0,"",使用数!AK34)&amp;IF(CSV!AK34=0,"","("&amp;CSV!AK34&amp;")")</f>
        <v/>
      </c>
      <c r="AJ16" s="8" t="str">
        <f>IF(CSV!AL34=0,"",使用数!AL34)&amp;IF(CSV!AL34=0,"","("&amp;CSV!AL34&amp;")")</f>
        <v/>
      </c>
      <c r="AK16" s="8" t="str">
        <f>IF(CSV!AM34=0,"",使用数!AM34)&amp;IF(CSV!AM34=0,"","("&amp;CSV!AM34&amp;")")</f>
        <v/>
      </c>
    </row>
    <row r="17" spans="1:37" ht="27" customHeight="1" x14ac:dyDescent="0.55000000000000004">
      <c r="A17" s="12"/>
      <c r="B17" s="11">
        <v>142013</v>
      </c>
      <c r="C17" s="9" t="str">
        <f>IF(CSV!F35&lt;&gt;0,CSV!F35,"")</f>
        <v/>
      </c>
      <c r="D17" s="11">
        <f>HLOOKUP("部品説明",CSV!$B$2:$CC$42,B17-141979,FALSE)</f>
        <v>0</v>
      </c>
      <c r="E17" s="11" t="str">
        <f>IF(CSV!G35=0,"",CSV!G35)</f>
        <v/>
      </c>
      <c r="F17" s="11">
        <f>CSV!$H35</f>
        <v>0</v>
      </c>
      <c r="G17" s="11" t="str">
        <f>IF(CSV!I35=0,"",使用数!I35)&amp;IF(CSV!I35=0,"","("&amp;CSV!I35&amp;")")</f>
        <v/>
      </c>
      <c r="H17" s="11" t="str">
        <f>IF(CSV!J35=0,"",使用数!J35)&amp;IF(CSV!J35=0,"","("&amp;CSV!J35&amp;")")</f>
        <v/>
      </c>
      <c r="I17" s="11" t="str">
        <f>IF(CSV!K35=0,"",使用数!K35)&amp;IF(CSV!K35=0,"","("&amp;CSV!K35&amp;")")</f>
        <v/>
      </c>
      <c r="J17" s="11" t="str">
        <f>IF(CSV!L35=0,"",使用数!L35)&amp;IF(CSV!L35=0,"","("&amp;CSV!L35&amp;")")</f>
        <v/>
      </c>
      <c r="K17" s="11" t="str">
        <f>IF(CSV!M35=0,"",使用数!M35)&amp;IF(CSV!M35=0,"","("&amp;CSV!M35&amp;")")</f>
        <v/>
      </c>
      <c r="L17" s="11" t="str">
        <f>IF(CSV!N35=0,"",使用数!N35)&amp;IF(CSV!N35=0,"","("&amp;CSV!N35&amp;")")</f>
        <v/>
      </c>
      <c r="M17" s="11" t="str">
        <f>IF(CSV!O35=0,"",使用数!O35)&amp;IF(CSV!O35=0,"","("&amp;CSV!O35&amp;")")</f>
        <v/>
      </c>
      <c r="N17" s="11" t="str">
        <f>IF(CSV!P35=0,"",使用数!P35)&amp;IF(CSV!P35=0,"","("&amp;CSV!P35&amp;")")</f>
        <v/>
      </c>
      <c r="O17" s="11" t="str">
        <f>IF(CSV!Q35=0,"",使用数!Q35)&amp;IF(CSV!Q35=0,"","("&amp;CSV!Q35&amp;")")</f>
        <v/>
      </c>
      <c r="P17" s="11" t="str">
        <f>IF(CSV!R35=0,"",使用数!R35)&amp;IF(CSV!R35=0,"","("&amp;CSV!R35&amp;")")</f>
        <v/>
      </c>
      <c r="Q17" s="11" t="str">
        <f>IF(CSV!S35=0,"",使用数!S35)&amp;IF(CSV!S35=0,"","("&amp;CSV!S35&amp;")")</f>
        <v/>
      </c>
      <c r="R17" s="11" t="str">
        <f>IF(CSV!T35=0,"",使用数!T35)&amp;IF(CSV!T35=0,"","("&amp;CSV!T35&amp;")")</f>
        <v/>
      </c>
      <c r="S17" s="11" t="str">
        <f>IF(CSV!U35=0,"",使用数!U35)&amp;IF(CSV!U35=0,"","("&amp;CSV!U35&amp;")")</f>
        <v/>
      </c>
      <c r="T17" s="11" t="str">
        <f>IF(CSV!V35=0,"",使用数!V35)&amp;IF(CSV!V35=0,"","("&amp;CSV!V35&amp;")")</f>
        <v/>
      </c>
      <c r="U17" s="11" t="str">
        <f>IF(CSV!W35=0,"",使用数!W35)&amp;IF(CSV!W35=0,"","("&amp;CSV!W35&amp;")")</f>
        <v/>
      </c>
      <c r="V17" s="11" t="str">
        <f>IF(CSV!X35=0,"",使用数!X35)&amp;IF(CSV!X35=0,"","("&amp;CSV!X35&amp;")")</f>
        <v/>
      </c>
      <c r="W17" s="11" t="str">
        <f>IF(CSV!Y35=0,"",使用数!Y35)&amp;IF(CSV!Y35=0,"","("&amp;CSV!Y35&amp;")")</f>
        <v/>
      </c>
      <c r="X17" s="11" t="str">
        <f>IF(CSV!Z35=0,"",使用数!Z35)&amp;IF(CSV!Z35=0,"","("&amp;CSV!Z35&amp;")")</f>
        <v/>
      </c>
      <c r="Y17" s="11" t="str">
        <f>IF(CSV!AA35=0,"",使用数!AA35)&amp;IF(CSV!AA35=0,"","("&amp;CSV!AA35&amp;")")</f>
        <v/>
      </c>
      <c r="Z17" s="11" t="str">
        <f>IF(CSV!AB35=0,"",使用数!AB35)&amp;IF(CSV!AB35=0,"","("&amp;CSV!AB35&amp;")")</f>
        <v/>
      </c>
      <c r="AA17" s="11" t="str">
        <f>IF(CSV!AC35=0,"",使用数!AC35)&amp;IF(CSV!AC35=0,"","("&amp;CSV!AC35&amp;")")</f>
        <v/>
      </c>
      <c r="AB17" s="11" t="str">
        <f>IF(CSV!AD35=0,"",使用数!AD35)&amp;IF(CSV!AD35=0,"","("&amp;CSV!AD35&amp;")")</f>
        <v/>
      </c>
      <c r="AC17" s="11" t="str">
        <f>IF(CSV!AE35=0,"",使用数!AE35)&amp;IF(CSV!AE35=0,"","("&amp;CSV!AE35&amp;")")</f>
        <v/>
      </c>
      <c r="AD17" s="11" t="str">
        <f>IF(CSV!AF35=0,"",使用数!AF35)&amp;IF(CSV!AF35=0,"","("&amp;CSV!AF35&amp;")")</f>
        <v/>
      </c>
      <c r="AE17" s="11" t="str">
        <f>IF(CSV!AG35=0,"",使用数!AG35)&amp;IF(CSV!AG35=0,"","("&amp;CSV!AG35&amp;")")</f>
        <v/>
      </c>
      <c r="AF17" s="11" t="str">
        <f>IF(CSV!AH35=0,"",使用数!AH35)&amp;IF(CSV!AH35=0,"","("&amp;CSV!AH35&amp;")")</f>
        <v/>
      </c>
      <c r="AG17" s="11" t="str">
        <f>IF(CSV!AI35=0,"",使用数!AI35)&amp;IF(CSV!AI35=0,"","("&amp;CSV!AI35&amp;")")</f>
        <v/>
      </c>
      <c r="AH17" s="11" t="str">
        <f>IF(CSV!AJ35=0,"",使用数!AJ35)&amp;IF(CSV!AJ35=0,"","("&amp;CSV!AJ35&amp;")")</f>
        <v/>
      </c>
      <c r="AI17" s="11" t="str">
        <f>IF(CSV!AK35=0,"",使用数!AK35)&amp;IF(CSV!AK35=0,"","("&amp;CSV!AK35&amp;")")</f>
        <v/>
      </c>
      <c r="AJ17" s="11" t="str">
        <f>IF(CSV!AL35=0,"",使用数!AL35)&amp;IF(CSV!AL35=0,"","("&amp;CSV!AL35&amp;")")</f>
        <v/>
      </c>
      <c r="AK17" s="11" t="str">
        <f>IF(CSV!AM35=0,"",使用数!AM35)&amp;IF(CSV!AM35=0,"","("&amp;CSV!AM35&amp;")")</f>
        <v/>
      </c>
    </row>
    <row r="18" spans="1:37" s="7" customFormat="1" ht="27" customHeight="1" x14ac:dyDescent="0.55000000000000004">
      <c r="A18" s="121"/>
      <c r="B18" s="122">
        <v>142014</v>
      </c>
      <c r="C18" s="9" t="str">
        <f>IF(CSV!F36&lt;&gt;0,CSV!F36,"")</f>
        <v/>
      </c>
      <c r="D18" s="122">
        <f>HLOOKUP("部品説明",CSV!$B$2:$CC$42,B18-141979,FALSE)</f>
        <v>0</v>
      </c>
      <c r="E18" s="122" t="str">
        <f>IF(CSV!G36=0,"",CSV!G36)</f>
        <v/>
      </c>
      <c r="F18" s="122">
        <f>CSV!$H36</f>
        <v>0</v>
      </c>
      <c r="G18" s="122" t="str">
        <f>IF(CSV!I36=0,"",使用数!I36)&amp;IF(CSV!I36=0,"","("&amp;CSV!I36&amp;")")</f>
        <v/>
      </c>
      <c r="H18" s="122" t="str">
        <f>IF(CSV!J36=0,"",使用数!J36)&amp;IF(CSV!J36=0,"","("&amp;CSV!J36&amp;")")</f>
        <v/>
      </c>
      <c r="I18" s="122" t="str">
        <f>IF(CSV!K36=0,"",使用数!K36)&amp;IF(CSV!K36=0,"","("&amp;CSV!K36&amp;")")</f>
        <v/>
      </c>
      <c r="J18" s="122" t="str">
        <f>IF(CSV!L36=0,"",使用数!L36)&amp;IF(CSV!L36=0,"","("&amp;CSV!L36&amp;")")</f>
        <v/>
      </c>
      <c r="K18" s="122" t="str">
        <f>IF(CSV!M36=0,"",使用数!M36)&amp;IF(CSV!M36=0,"","("&amp;CSV!M36&amp;")")</f>
        <v/>
      </c>
      <c r="L18" s="122" t="str">
        <f>IF(CSV!N36=0,"",使用数!N36)&amp;IF(CSV!N36=0,"","("&amp;CSV!N36&amp;")")</f>
        <v/>
      </c>
      <c r="M18" s="8" t="str">
        <f>IF(CSV!O36=0,"",使用数!O36)&amp;IF(CSV!O36=0,"","("&amp;CSV!O36&amp;")")</f>
        <v/>
      </c>
      <c r="N18" s="8" t="str">
        <f>IF(CSV!P36=0,"",使用数!P36)&amp;IF(CSV!P36=0,"","("&amp;CSV!P36&amp;")")</f>
        <v/>
      </c>
      <c r="O18" s="8" t="str">
        <f>IF(CSV!Q36=0,"",使用数!Q36)&amp;IF(CSV!Q36=0,"","("&amp;CSV!Q36&amp;")")</f>
        <v/>
      </c>
      <c r="P18" s="8" t="str">
        <f>IF(CSV!R36=0,"",使用数!R36)&amp;IF(CSV!R36=0,"","("&amp;CSV!R36&amp;")")</f>
        <v/>
      </c>
      <c r="Q18" s="8" t="str">
        <f>IF(CSV!S36=0,"",使用数!S36)&amp;IF(CSV!S36=0,"","("&amp;CSV!S36&amp;")")</f>
        <v/>
      </c>
      <c r="R18" s="8" t="str">
        <f>IF(CSV!T36=0,"",使用数!T36)&amp;IF(CSV!T36=0,"","("&amp;CSV!T36&amp;")")</f>
        <v/>
      </c>
      <c r="S18" s="8" t="str">
        <f>IF(CSV!U36=0,"",使用数!U36)&amp;IF(CSV!U36=0,"","("&amp;CSV!U36&amp;")")</f>
        <v/>
      </c>
      <c r="T18" s="8" t="str">
        <f>IF(CSV!V36=0,"",使用数!V36)&amp;IF(CSV!V36=0,"","("&amp;CSV!V36&amp;")")</f>
        <v/>
      </c>
      <c r="U18" s="8" t="str">
        <f>IF(CSV!W36=0,"",使用数!W36)&amp;IF(CSV!W36=0,"","("&amp;CSV!W36&amp;")")</f>
        <v/>
      </c>
      <c r="V18" s="8" t="str">
        <f>IF(CSV!X36=0,"",使用数!X36)&amp;IF(CSV!X36=0,"","("&amp;CSV!X36&amp;")")</f>
        <v/>
      </c>
      <c r="W18" s="8" t="str">
        <f>IF(CSV!Y36=0,"",使用数!Y36)&amp;IF(CSV!Y36=0,"","("&amp;CSV!Y36&amp;")")</f>
        <v/>
      </c>
      <c r="X18" s="8" t="str">
        <f>IF(CSV!Z36=0,"",使用数!Z36)&amp;IF(CSV!Z36=0,"","("&amp;CSV!Z36&amp;")")</f>
        <v/>
      </c>
      <c r="Y18" s="8" t="str">
        <f>IF(CSV!AA36=0,"",使用数!AA36)&amp;IF(CSV!AA36=0,"","("&amp;CSV!AA36&amp;")")</f>
        <v/>
      </c>
      <c r="Z18" s="8" t="str">
        <f>IF(CSV!AB36=0,"",使用数!AB36)&amp;IF(CSV!AB36=0,"","("&amp;CSV!AB36&amp;")")</f>
        <v/>
      </c>
      <c r="AA18" s="8" t="str">
        <f>IF(CSV!AC36=0,"",使用数!AC36)&amp;IF(CSV!AC36=0,"","("&amp;CSV!AC36&amp;")")</f>
        <v/>
      </c>
      <c r="AB18" s="8" t="str">
        <f>IF(CSV!AD36=0,"",使用数!AD36)&amp;IF(CSV!AD36=0,"","("&amp;CSV!AD36&amp;")")</f>
        <v/>
      </c>
      <c r="AC18" s="8" t="str">
        <f>IF(CSV!AE36=0,"",使用数!AE36)&amp;IF(CSV!AE36=0,"","("&amp;CSV!AE36&amp;")")</f>
        <v/>
      </c>
      <c r="AD18" s="8" t="str">
        <f>IF(CSV!AF36=0,"",使用数!AF36)&amp;IF(CSV!AF36=0,"","("&amp;CSV!AF36&amp;")")</f>
        <v/>
      </c>
      <c r="AE18" s="8" t="str">
        <f>IF(CSV!AG36=0,"",使用数!AG36)&amp;IF(CSV!AG36=0,"","("&amp;CSV!AG36&amp;")")</f>
        <v/>
      </c>
      <c r="AF18" s="8" t="str">
        <f>IF(CSV!AH36=0,"",使用数!AH36)&amp;IF(CSV!AH36=0,"","("&amp;CSV!AH36&amp;")")</f>
        <v/>
      </c>
      <c r="AG18" s="8" t="str">
        <f>IF(CSV!AI36=0,"",使用数!AI36)&amp;IF(CSV!AI36=0,"","("&amp;CSV!AI36&amp;")")</f>
        <v/>
      </c>
      <c r="AH18" s="8" t="str">
        <f>IF(CSV!AJ36=0,"",使用数!AJ36)&amp;IF(CSV!AJ36=0,"","("&amp;CSV!AJ36&amp;")")</f>
        <v/>
      </c>
      <c r="AI18" s="8" t="str">
        <f>IF(CSV!AK36=0,"",使用数!AK36)&amp;IF(CSV!AK36=0,"","("&amp;CSV!AK36&amp;")")</f>
        <v/>
      </c>
      <c r="AJ18" s="8" t="str">
        <f>IF(CSV!AL36=0,"",使用数!AL36)&amp;IF(CSV!AL36=0,"","("&amp;CSV!AL36&amp;")")</f>
        <v/>
      </c>
      <c r="AK18" s="8" t="str">
        <f>IF(CSV!AM36=0,"",使用数!AM36)&amp;IF(CSV!AM36=0,"","("&amp;CSV!AM36&amp;")")</f>
        <v/>
      </c>
    </row>
    <row r="19" spans="1:37" ht="27" customHeight="1" x14ac:dyDescent="0.55000000000000004">
      <c r="A19" s="12"/>
      <c r="B19" s="11">
        <v>142015</v>
      </c>
      <c r="C19" s="9" t="str">
        <f>IF(CSV!F37&lt;&gt;0,CSV!F37,"")</f>
        <v/>
      </c>
      <c r="D19" s="11">
        <f>HLOOKUP("部品説明",CSV!$B$2:$CC$42,B19-141979,FALSE)</f>
        <v>0</v>
      </c>
      <c r="E19" s="11" t="str">
        <f>IF(CSV!G37=0,"",CSV!G37)</f>
        <v/>
      </c>
      <c r="F19" s="11">
        <f>CSV!$H37</f>
        <v>0</v>
      </c>
      <c r="G19" s="11" t="str">
        <f>IF(CSV!I37=0,"",使用数!I37)&amp;IF(CSV!I37=0,"","("&amp;CSV!I37&amp;")")</f>
        <v/>
      </c>
      <c r="H19" s="11" t="str">
        <f>IF(CSV!J37=0,"",使用数!J37)&amp;IF(CSV!J37=0,"","("&amp;CSV!J37&amp;")")</f>
        <v/>
      </c>
      <c r="I19" s="11" t="str">
        <f>IF(CSV!K37=0,"",使用数!K37)&amp;IF(CSV!K37=0,"","("&amp;CSV!K37&amp;")")</f>
        <v/>
      </c>
      <c r="J19" s="11" t="str">
        <f>IF(CSV!L37=0,"",使用数!L37)&amp;IF(CSV!L37=0,"","("&amp;CSV!L37&amp;")")</f>
        <v/>
      </c>
      <c r="K19" s="11" t="str">
        <f>IF(CSV!M37=0,"",使用数!M37)&amp;IF(CSV!M37=0,"","("&amp;CSV!M37&amp;")")</f>
        <v/>
      </c>
      <c r="L19" s="11" t="str">
        <f>IF(CSV!N37=0,"",使用数!N37)&amp;IF(CSV!N37=0,"","("&amp;CSV!N37&amp;")")</f>
        <v/>
      </c>
      <c r="M19" s="11" t="str">
        <f>IF(CSV!O37=0,"",使用数!O37)&amp;IF(CSV!O37=0,"","("&amp;CSV!O37&amp;")")</f>
        <v/>
      </c>
      <c r="N19" s="11" t="str">
        <f>IF(CSV!P37=0,"",使用数!P37)&amp;IF(CSV!P37=0,"","("&amp;CSV!P37&amp;")")</f>
        <v/>
      </c>
      <c r="O19" s="11" t="str">
        <f>IF(CSV!Q37=0,"",使用数!Q37)&amp;IF(CSV!Q37=0,"","("&amp;CSV!Q37&amp;")")</f>
        <v/>
      </c>
      <c r="P19" s="11" t="str">
        <f>IF(CSV!R37=0,"",使用数!R37)&amp;IF(CSV!R37=0,"","("&amp;CSV!R37&amp;")")</f>
        <v/>
      </c>
      <c r="Q19" s="11" t="str">
        <f>IF(CSV!S37=0,"",使用数!S37)&amp;IF(CSV!S37=0,"","("&amp;CSV!S37&amp;")")</f>
        <v/>
      </c>
      <c r="R19" s="11" t="str">
        <f>IF(CSV!T37=0,"",使用数!T37)&amp;IF(CSV!T37=0,"","("&amp;CSV!T37&amp;")")</f>
        <v/>
      </c>
      <c r="S19" s="11" t="str">
        <f>IF(CSV!U37=0,"",使用数!U37)&amp;IF(CSV!U37=0,"","("&amp;CSV!U37&amp;")")</f>
        <v/>
      </c>
      <c r="T19" s="11" t="str">
        <f>IF(CSV!V37=0,"",使用数!V37)&amp;IF(CSV!V37=0,"","("&amp;CSV!V37&amp;")")</f>
        <v/>
      </c>
      <c r="U19" s="11" t="str">
        <f>IF(CSV!W37=0,"",使用数!W37)&amp;IF(CSV!W37=0,"","("&amp;CSV!W37&amp;")")</f>
        <v/>
      </c>
      <c r="V19" s="11" t="str">
        <f>IF(CSV!X37=0,"",使用数!X37)&amp;IF(CSV!X37=0,"","("&amp;CSV!X37&amp;")")</f>
        <v/>
      </c>
      <c r="W19" s="11" t="str">
        <f>IF(CSV!Y37=0,"",使用数!Y37)&amp;IF(CSV!Y37=0,"","("&amp;CSV!Y37&amp;")")</f>
        <v/>
      </c>
      <c r="X19" s="11" t="str">
        <f>IF(CSV!Z37=0,"",使用数!Z37)&amp;IF(CSV!Z37=0,"","("&amp;CSV!Z37&amp;")")</f>
        <v/>
      </c>
      <c r="Y19" s="11" t="str">
        <f>IF(CSV!AA37=0,"",使用数!AA37)&amp;IF(CSV!AA37=0,"","("&amp;CSV!AA37&amp;")")</f>
        <v/>
      </c>
      <c r="Z19" s="11" t="str">
        <f>IF(CSV!AB37=0,"",使用数!AB37)&amp;IF(CSV!AB37=0,"","("&amp;CSV!AB37&amp;")")</f>
        <v/>
      </c>
      <c r="AA19" s="11" t="str">
        <f>IF(CSV!AC37=0,"",使用数!AC37)&amp;IF(CSV!AC37=0,"","("&amp;CSV!AC37&amp;")")</f>
        <v/>
      </c>
      <c r="AB19" s="11" t="str">
        <f>IF(CSV!AD37=0,"",使用数!AD37)&amp;IF(CSV!AD37=0,"","("&amp;CSV!AD37&amp;")")</f>
        <v/>
      </c>
      <c r="AC19" s="11" t="str">
        <f>IF(CSV!AE37=0,"",使用数!AE37)&amp;IF(CSV!AE37=0,"","("&amp;CSV!AE37&amp;")")</f>
        <v/>
      </c>
      <c r="AD19" s="11" t="str">
        <f>IF(CSV!AF37=0,"",使用数!AF37)&amp;IF(CSV!AF37=0,"","("&amp;CSV!AF37&amp;")")</f>
        <v/>
      </c>
      <c r="AE19" s="11" t="str">
        <f>IF(CSV!AG37=0,"",使用数!AG37)&amp;IF(CSV!AG37=0,"","("&amp;CSV!AG37&amp;")")</f>
        <v/>
      </c>
      <c r="AF19" s="11" t="str">
        <f>IF(CSV!AH37=0,"",使用数!AH37)&amp;IF(CSV!AH37=0,"","("&amp;CSV!AH37&amp;")")</f>
        <v/>
      </c>
      <c r="AG19" s="11" t="str">
        <f>IF(CSV!AI37=0,"",使用数!AI37)&amp;IF(CSV!AI37=0,"","("&amp;CSV!AI37&amp;")")</f>
        <v/>
      </c>
      <c r="AH19" s="11" t="str">
        <f>IF(CSV!AJ37=0,"",使用数!AJ37)&amp;IF(CSV!AJ37=0,"","("&amp;CSV!AJ37&amp;")")</f>
        <v/>
      </c>
      <c r="AI19" s="11" t="str">
        <f>IF(CSV!AK37=0,"",使用数!AK37)&amp;IF(CSV!AK37=0,"","("&amp;CSV!AK37&amp;")")</f>
        <v/>
      </c>
      <c r="AJ19" s="11" t="str">
        <f>IF(CSV!AL37=0,"",使用数!AL37)&amp;IF(CSV!AL37=0,"","("&amp;CSV!AL37&amp;")")</f>
        <v/>
      </c>
      <c r="AK19" s="11" t="str">
        <f>IF(CSV!AM37=0,"",使用数!AM37)&amp;IF(CSV!AM37=0,"","("&amp;CSV!AM37&amp;")")</f>
        <v/>
      </c>
    </row>
    <row r="20" spans="1:37" s="7" customFormat="1" ht="27" customHeight="1" x14ac:dyDescent="0.55000000000000004">
      <c r="A20" s="121"/>
      <c r="B20" s="122">
        <v>142016</v>
      </c>
      <c r="C20" s="9" t="str">
        <f>IF(CSV!F38&lt;&gt;0,CSV!F38,"")</f>
        <v/>
      </c>
      <c r="D20" s="122">
        <f>HLOOKUP("部品説明",CSV!$B$2:$CC$42,B20-141979,FALSE)</f>
        <v>0</v>
      </c>
      <c r="E20" s="122" t="str">
        <f>IF(CSV!G38=0,"",CSV!G38)</f>
        <v/>
      </c>
      <c r="F20" s="122">
        <f>CSV!$H38</f>
        <v>0</v>
      </c>
      <c r="G20" s="122" t="str">
        <f>IF(CSV!I38=0,"",使用数!I38)&amp;IF(CSV!I38=0,"","("&amp;CSV!I38&amp;")")</f>
        <v/>
      </c>
      <c r="H20" s="122" t="str">
        <f>IF(CSV!J38=0,"",使用数!J38)&amp;IF(CSV!J38=0,"","("&amp;CSV!J38&amp;")")</f>
        <v/>
      </c>
      <c r="I20" s="122" t="str">
        <f>IF(CSV!K38=0,"",使用数!K38)&amp;IF(CSV!K38=0,"","("&amp;CSV!K38&amp;")")</f>
        <v/>
      </c>
      <c r="J20" s="122" t="str">
        <f>IF(CSV!L38=0,"",使用数!L38)&amp;IF(CSV!L38=0,"","("&amp;CSV!L38&amp;")")</f>
        <v/>
      </c>
      <c r="K20" s="122" t="str">
        <f>IF(CSV!M38=0,"",使用数!M38)&amp;IF(CSV!M38=0,"","("&amp;CSV!M38&amp;")")</f>
        <v/>
      </c>
      <c r="L20" s="122" t="str">
        <f>IF(CSV!N38=0,"",使用数!N38)&amp;IF(CSV!N38=0,"","("&amp;CSV!N38&amp;")")</f>
        <v/>
      </c>
      <c r="M20" s="8" t="str">
        <f>IF(CSV!O38=0,"",使用数!O38)&amp;IF(CSV!O38=0,"","("&amp;CSV!O38&amp;")")</f>
        <v/>
      </c>
      <c r="N20" s="8" t="str">
        <f>IF(CSV!P38=0,"",使用数!P38)&amp;IF(CSV!P38=0,"","("&amp;CSV!P38&amp;")")</f>
        <v/>
      </c>
      <c r="O20" s="8" t="str">
        <f>IF(CSV!Q38=0,"",使用数!Q38)&amp;IF(CSV!Q38=0,"","("&amp;CSV!Q38&amp;")")</f>
        <v/>
      </c>
      <c r="P20" s="8" t="str">
        <f>IF(CSV!R38=0,"",使用数!R38)&amp;IF(CSV!R38=0,"","("&amp;CSV!R38&amp;")")</f>
        <v/>
      </c>
      <c r="Q20" s="8" t="str">
        <f>IF(CSV!S38=0,"",使用数!S38)&amp;IF(CSV!S38=0,"","("&amp;CSV!S38&amp;")")</f>
        <v/>
      </c>
      <c r="R20" s="8" t="str">
        <f>IF(CSV!T38=0,"",使用数!T38)&amp;IF(CSV!T38=0,"","("&amp;CSV!T38&amp;")")</f>
        <v/>
      </c>
      <c r="S20" s="8" t="str">
        <f>IF(CSV!U38=0,"",使用数!U38)&amp;IF(CSV!U38=0,"","("&amp;CSV!U38&amp;")")</f>
        <v/>
      </c>
      <c r="T20" s="8" t="str">
        <f>IF(CSV!V38=0,"",使用数!V38)&amp;IF(CSV!V38=0,"","("&amp;CSV!V38&amp;")")</f>
        <v/>
      </c>
      <c r="U20" s="8" t="str">
        <f>IF(CSV!W38=0,"",使用数!W38)&amp;IF(CSV!W38=0,"","("&amp;CSV!W38&amp;")")</f>
        <v/>
      </c>
      <c r="V20" s="8" t="str">
        <f>IF(CSV!X38=0,"",使用数!X38)&amp;IF(CSV!X38=0,"","("&amp;CSV!X38&amp;")")</f>
        <v/>
      </c>
      <c r="W20" s="8" t="str">
        <f>IF(CSV!Y38=0,"",使用数!Y38)&amp;IF(CSV!Y38=0,"","("&amp;CSV!Y38&amp;")")</f>
        <v/>
      </c>
      <c r="X20" s="8" t="str">
        <f>IF(CSV!Z38=0,"",使用数!Z38)&amp;IF(CSV!Z38=0,"","("&amp;CSV!Z38&amp;")")</f>
        <v/>
      </c>
      <c r="Y20" s="8" t="str">
        <f>IF(CSV!AA38=0,"",使用数!AA38)&amp;IF(CSV!AA38=0,"","("&amp;CSV!AA38&amp;")")</f>
        <v/>
      </c>
      <c r="Z20" s="8" t="str">
        <f>IF(CSV!AB38=0,"",使用数!AB38)&amp;IF(CSV!AB38=0,"","("&amp;CSV!AB38&amp;")")</f>
        <v/>
      </c>
      <c r="AA20" s="8" t="str">
        <f>IF(CSV!AC38=0,"",使用数!AC38)&amp;IF(CSV!AC38=0,"","("&amp;CSV!AC38&amp;")")</f>
        <v/>
      </c>
      <c r="AB20" s="8" t="str">
        <f>IF(CSV!AD38=0,"",使用数!AD38)&amp;IF(CSV!AD38=0,"","("&amp;CSV!AD38&amp;")")</f>
        <v/>
      </c>
      <c r="AC20" s="8" t="str">
        <f>IF(CSV!AE38=0,"",使用数!AE38)&amp;IF(CSV!AE38=0,"","("&amp;CSV!AE38&amp;")")</f>
        <v/>
      </c>
      <c r="AD20" s="8" t="str">
        <f>IF(CSV!AF38=0,"",使用数!AF38)&amp;IF(CSV!AF38=0,"","("&amp;CSV!AF38&amp;")")</f>
        <v/>
      </c>
      <c r="AE20" s="8" t="str">
        <f>IF(CSV!AG38=0,"",使用数!AG38)&amp;IF(CSV!AG38=0,"","("&amp;CSV!AG38&amp;")")</f>
        <v/>
      </c>
      <c r="AF20" s="8" t="str">
        <f>IF(CSV!AH38=0,"",使用数!AH38)&amp;IF(CSV!AH38=0,"","("&amp;CSV!AH38&amp;")")</f>
        <v/>
      </c>
      <c r="AG20" s="8" t="str">
        <f>IF(CSV!AI38=0,"",使用数!AI38)&amp;IF(CSV!AI38=0,"","("&amp;CSV!AI38&amp;")")</f>
        <v/>
      </c>
      <c r="AH20" s="8" t="str">
        <f>IF(CSV!AJ38=0,"",使用数!AJ38)&amp;IF(CSV!AJ38=0,"","("&amp;CSV!AJ38&amp;")")</f>
        <v/>
      </c>
      <c r="AI20" s="8" t="str">
        <f>IF(CSV!AK38=0,"",使用数!AK38)&amp;IF(CSV!AK38=0,"","("&amp;CSV!AK38&amp;")")</f>
        <v/>
      </c>
      <c r="AJ20" s="8" t="str">
        <f>IF(CSV!AL38=0,"",使用数!AL38)&amp;IF(CSV!AL38=0,"","("&amp;CSV!AL38&amp;")")</f>
        <v/>
      </c>
      <c r="AK20" s="8" t="str">
        <f>IF(CSV!AM38=0,"",使用数!AM38)&amp;IF(CSV!AM38=0,"","("&amp;CSV!AM38&amp;")")</f>
        <v/>
      </c>
    </row>
    <row r="21" spans="1:37" ht="27" customHeight="1" x14ac:dyDescent="0.55000000000000004">
      <c r="A21" s="12"/>
      <c r="B21" s="11">
        <v>142017</v>
      </c>
      <c r="C21" s="9" t="str">
        <f>IF(CSV!F39&lt;&gt;0,CSV!F39,"")</f>
        <v/>
      </c>
      <c r="D21" s="11">
        <f>HLOOKUP("部品説明",CSV!$B$2:$CC$42,B21-141979,FALSE)</f>
        <v>0</v>
      </c>
      <c r="E21" s="11" t="str">
        <f>IF(CSV!G39=0,"",CSV!G39)</f>
        <v/>
      </c>
      <c r="F21" s="11">
        <f>CSV!$H39</f>
        <v>0</v>
      </c>
      <c r="G21" s="11" t="str">
        <f>IF(CSV!I39=0,"",使用数!I39)&amp;IF(CSV!I39=0,"","("&amp;CSV!I39&amp;")")</f>
        <v/>
      </c>
      <c r="H21" s="11" t="str">
        <f>IF(CSV!J39=0,"",使用数!J39)&amp;IF(CSV!J39=0,"","("&amp;CSV!J39&amp;")")</f>
        <v/>
      </c>
      <c r="I21" s="11" t="str">
        <f>IF(CSV!K39=0,"",使用数!K39)&amp;IF(CSV!K39=0,"","("&amp;CSV!K39&amp;")")</f>
        <v/>
      </c>
      <c r="J21" s="11" t="str">
        <f>IF(CSV!L39=0,"",使用数!L39)&amp;IF(CSV!L39=0,"","("&amp;CSV!L39&amp;")")</f>
        <v/>
      </c>
      <c r="K21" s="11" t="str">
        <f>IF(CSV!M39=0,"",使用数!M39)&amp;IF(CSV!M39=0,"","("&amp;CSV!M39&amp;")")</f>
        <v/>
      </c>
      <c r="L21" s="11" t="str">
        <f>IF(CSV!N39=0,"",使用数!N39)&amp;IF(CSV!N39=0,"","("&amp;CSV!N39&amp;")")</f>
        <v/>
      </c>
      <c r="M21" s="11" t="str">
        <f>IF(CSV!O39=0,"",使用数!O39)&amp;IF(CSV!O39=0,"","("&amp;CSV!O39&amp;")")</f>
        <v/>
      </c>
      <c r="N21" s="11" t="str">
        <f>IF(CSV!P39=0,"",使用数!P39)&amp;IF(CSV!P39=0,"","("&amp;CSV!P39&amp;")")</f>
        <v/>
      </c>
      <c r="O21" s="11" t="str">
        <f>IF(CSV!Q39=0,"",使用数!Q39)&amp;IF(CSV!Q39=0,"","("&amp;CSV!Q39&amp;")")</f>
        <v/>
      </c>
      <c r="P21" s="11" t="str">
        <f>IF(CSV!R39=0,"",使用数!R39)&amp;IF(CSV!R39=0,"","("&amp;CSV!R39&amp;")")</f>
        <v/>
      </c>
      <c r="Q21" s="11" t="str">
        <f>IF(CSV!S39=0,"",使用数!S39)&amp;IF(CSV!S39=0,"","("&amp;CSV!S39&amp;")")</f>
        <v/>
      </c>
      <c r="R21" s="11" t="str">
        <f>IF(CSV!T39=0,"",使用数!T39)&amp;IF(CSV!T39=0,"","("&amp;CSV!T39&amp;")")</f>
        <v/>
      </c>
      <c r="S21" s="11" t="str">
        <f>IF(CSV!U39=0,"",使用数!U39)&amp;IF(CSV!U39=0,"","("&amp;CSV!U39&amp;")")</f>
        <v/>
      </c>
      <c r="T21" s="11" t="str">
        <f>IF(CSV!V39=0,"",使用数!V39)&amp;IF(CSV!V39=0,"","("&amp;CSV!V39&amp;")")</f>
        <v/>
      </c>
      <c r="U21" s="11" t="str">
        <f>IF(CSV!W39=0,"",使用数!W39)&amp;IF(CSV!W39=0,"","("&amp;CSV!W39&amp;")")</f>
        <v/>
      </c>
      <c r="V21" s="11" t="str">
        <f>IF(CSV!X39=0,"",使用数!X39)&amp;IF(CSV!X39=0,"","("&amp;CSV!X39&amp;")")</f>
        <v/>
      </c>
      <c r="W21" s="11" t="str">
        <f>IF(CSV!Y39=0,"",使用数!Y39)&amp;IF(CSV!Y39=0,"","("&amp;CSV!Y39&amp;")")</f>
        <v/>
      </c>
      <c r="X21" s="11" t="str">
        <f>IF(CSV!Z39=0,"",使用数!Z39)&amp;IF(CSV!Z39=0,"","("&amp;CSV!Z39&amp;")")</f>
        <v/>
      </c>
      <c r="Y21" s="11" t="str">
        <f>IF(CSV!AA39=0,"",使用数!AA39)&amp;IF(CSV!AA39=0,"","("&amp;CSV!AA39&amp;")")</f>
        <v/>
      </c>
      <c r="Z21" s="11" t="str">
        <f>IF(CSV!AB39=0,"",使用数!AB39)&amp;IF(CSV!AB39=0,"","("&amp;CSV!AB39&amp;")")</f>
        <v/>
      </c>
      <c r="AA21" s="11" t="str">
        <f>IF(CSV!AC39=0,"",使用数!AC39)&amp;IF(CSV!AC39=0,"","("&amp;CSV!AC39&amp;")")</f>
        <v/>
      </c>
      <c r="AB21" s="11" t="str">
        <f>IF(CSV!AD39=0,"",使用数!AD39)&amp;IF(CSV!AD39=0,"","("&amp;CSV!AD39&amp;")")</f>
        <v/>
      </c>
      <c r="AC21" s="11" t="str">
        <f>IF(CSV!AE39=0,"",使用数!AE39)&amp;IF(CSV!AE39=0,"","("&amp;CSV!AE39&amp;")")</f>
        <v/>
      </c>
      <c r="AD21" s="11" t="str">
        <f>IF(CSV!AF39=0,"",使用数!AF39)&amp;IF(CSV!AF39=0,"","("&amp;CSV!AF39&amp;")")</f>
        <v/>
      </c>
      <c r="AE21" s="11" t="str">
        <f>IF(CSV!AG39=0,"",使用数!AG39)&amp;IF(CSV!AG39=0,"","("&amp;CSV!AG39&amp;")")</f>
        <v/>
      </c>
      <c r="AF21" s="11" t="str">
        <f>IF(CSV!AH39=0,"",使用数!AH39)&amp;IF(CSV!AH39=0,"","("&amp;CSV!AH39&amp;")")</f>
        <v/>
      </c>
      <c r="AG21" s="11" t="str">
        <f>IF(CSV!AI39=0,"",使用数!AI39)&amp;IF(CSV!AI39=0,"","("&amp;CSV!AI39&amp;")")</f>
        <v/>
      </c>
      <c r="AH21" s="11" t="str">
        <f>IF(CSV!AJ39=0,"",使用数!AJ39)&amp;IF(CSV!AJ39=0,"","("&amp;CSV!AJ39&amp;")")</f>
        <v/>
      </c>
      <c r="AI21" s="11" t="str">
        <f>IF(CSV!AK39=0,"",使用数!AK39)&amp;IF(CSV!AK39=0,"","("&amp;CSV!AK39&amp;")")</f>
        <v/>
      </c>
      <c r="AJ21" s="11" t="str">
        <f>IF(CSV!AL39=0,"",使用数!AL39)&amp;IF(CSV!AL39=0,"","("&amp;CSV!AL39&amp;")")</f>
        <v/>
      </c>
      <c r="AK21" s="11" t="str">
        <f>IF(CSV!AM39=0,"",使用数!AM39)&amp;IF(CSV!AM39=0,"","("&amp;CSV!AM39&amp;")")</f>
        <v/>
      </c>
    </row>
    <row r="22" spans="1:37" s="7" customFormat="1" ht="27" customHeight="1" x14ac:dyDescent="0.55000000000000004">
      <c r="A22" s="121"/>
      <c r="B22" s="122">
        <v>142018</v>
      </c>
      <c r="C22" s="9" t="str">
        <f>IF(CSV!F40&lt;&gt;0,CSV!F40,"")</f>
        <v/>
      </c>
      <c r="D22" s="122">
        <f>HLOOKUP("部品説明",CSV!$B$2:$CC$42,B22-141979,FALSE)</f>
        <v>0</v>
      </c>
      <c r="E22" s="122" t="str">
        <f>IF(CSV!G40=0,"",CSV!G40)</f>
        <v/>
      </c>
      <c r="F22" s="122">
        <f>CSV!$H40</f>
        <v>0</v>
      </c>
      <c r="G22" s="122" t="str">
        <f>IF(CSV!I40=0,"",使用数!I40)&amp;IF(CSV!I40=0,"","("&amp;CSV!I40&amp;")")</f>
        <v/>
      </c>
      <c r="H22" s="122" t="str">
        <f>IF(CSV!J40=0,"",使用数!J40)&amp;IF(CSV!J40=0,"","("&amp;CSV!J40&amp;")")</f>
        <v/>
      </c>
      <c r="I22" s="122" t="str">
        <f>IF(CSV!K40=0,"",使用数!K40)&amp;IF(CSV!K40=0,"","("&amp;CSV!K40&amp;")")</f>
        <v/>
      </c>
      <c r="J22" s="122" t="str">
        <f>IF(CSV!L40=0,"",使用数!L40)&amp;IF(CSV!L40=0,"","("&amp;CSV!L40&amp;")")</f>
        <v/>
      </c>
      <c r="K22" s="122" t="str">
        <f>IF(CSV!M40=0,"",使用数!M40)&amp;IF(CSV!M40=0,"","("&amp;CSV!M40&amp;")")</f>
        <v/>
      </c>
      <c r="L22" s="122" t="str">
        <f>IF(CSV!N40=0,"",使用数!N40)&amp;IF(CSV!N40=0,"","("&amp;CSV!N40&amp;")")</f>
        <v/>
      </c>
      <c r="M22" s="8" t="str">
        <f>IF(CSV!O40=0,"",使用数!O40)&amp;IF(CSV!O40=0,"","("&amp;CSV!O40&amp;")")</f>
        <v/>
      </c>
      <c r="N22" s="8" t="str">
        <f>IF(CSV!P40=0,"",使用数!P40)&amp;IF(CSV!P40=0,"","("&amp;CSV!P40&amp;")")</f>
        <v/>
      </c>
      <c r="O22" s="8" t="str">
        <f>IF(CSV!Q40=0,"",使用数!Q40)&amp;IF(CSV!Q40=0,"","("&amp;CSV!Q40&amp;")")</f>
        <v/>
      </c>
      <c r="P22" s="8" t="str">
        <f>IF(CSV!R40=0,"",使用数!R40)&amp;IF(CSV!R40=0,"","("&amp;CSV!R40&amp;")")</f>
        <v/>
      </c>
      <c r="Q22" s="8" t="str">
        <f>IF(CSV!S40=0,"",使用数!S40)&amp;IF(CSV!S40=0,"","("&amp;CSV!S40&amp;")")</f>
        <v/>
      </c>
      <c r="R22" s="8" t="str">
        <f>IF(CSV!T40=0,"",使用数!T40)&amp;IF(CSV!T40=0,"","("&amp;CSV!T40&amp;")")</f>
        <v/>
      </c>
      <c r="S22" s="8" t="str">
        <f>IF(CSV!U40=0,"",使用数!U40)&amp;IF(CSV!U40=0,"","("&amp;CSV!U40&amp;")")</f>
        <v/>
      </c>
      <c r="T22" s="8" t="str">
        <f>IF(CSV!V40=0,"",使用数!V40)&amp;IF(CSV!V40=0,"","("&amp;CSV!V40&amp;")")</f>
        <v/>
      </c>
      <c r="U22" s="8" t="str">
        <f>IF(CSV!W40=0,"",使用数!W40)&amp;IF(CSV!W40=0,"","("&amp;CSV!W40&amp;")")</f>
        <v/>
      </c>
      <c r="V22" s="8" t="str">
        <f>IF(CSV!X40=0,"",使用数!X40)&amp;IF(CSV!X40=0,"","("&amp;CSV!X40&amp;")")</f>
        <v/>
      </c>
      <c r="W22" s="8" t="str">
        <f>IF(CSV!Y40=0,"",使用数!Y40)&amp;IF(CSV!Y40=0,"","("&amp;CSV!Y40&amp;")")</f>
        <v/>
      </c>
      <c r="X22" s="8" t="str">
        <f>IF(CSV!Z40=0,"",使用数!Z40)&amp;IF(CSV!Z40=0,"","("&amp;CSV!Z40&amp;")")</f>
        <v/>
      </c>
      <c r="Y22" s="8" t="str">
        <f>IF(CSV!AA40=0,"",使用数!AA40)&amp;IF(CSV!AA40=0,"","("&amp;CSV!AA40&amp;")")</f>
        <v/>
      </c>
      <c r="Z22" s="8" t="str">
        <f>IF(CSV!AB40=0,"",使用数!AB40)&amp;IF(CSV!AB40=0,"","("&amp;CSV!AB40&amp;")")</f>
        <v/>
      </c>
      <c r="AA22" s="8" t="str">
        <f>IF(CSV!AC40=0,"",使用数!AC40)&amp;IF(CSV!AC40=0,"","("&amp;CSV!AC40&amp;")")</f>
        <v/>
      </c>
      <c r="AB22" s="8" t="str">
        <f>IF(CSV!AD40=0,"",使用数!AD40)&amp;IF(CSV!AD40=0,"","("&amp;CSV!AD40&amp;")")</f>
        <v/>
      </c>
      <c r="AC22" s="8" t="str">
        <f>IF(CSV!AE40=0,"",使用数!AE40)&amp;IF(CSV!AE40=0,"","("&amp;CSV!AE40&amp;")")</f>
        <v/>
      </c>
      <c r="AD22" s="8" t="str">
        <f>IF(CSV!AF40=0,"",使用数!AF40)&amp;IF(CSV!AF40=0,"","("&amp;CSV!AF40&amp;")")</f>
        <v/>
      </c>
      <c r="AE22" s="8" t="str">
        <f>IF(CSV!AG40=0,"",使用数!AG40)&amp;IF(CSV!AG40=0,"","("&amp;CSV!AG40&amp;")")</f>
        <v/>
      </c>
      <c r="AF22" s="8" t="str">
        <f>IF(CSV!AH40=0,"",使用数!AH40)&amp;IF(CSV!AH40=0,"","("&amp;CSV!AH40&amp;")")</f>
        <v/>
      </c>
      <c r="AG22" s="8" t="str">
        <f>IF(CSV!AI40=0,"",使用数!AI40)&amp;IF(CSV!AI40=0,"","("&amp;CSV!AI40&amp;")")</f>
        <v/>
      </c>
      <c r="AH22" s="8" t="str">
        <f>IF(CSV!AJ40=0,"",使用数!AJ40)&amp;IF(CSV!AJ40=0,"","("&amp;CSV!AJ40&amp;")")</f>
        <v/>
      </c>
      <c r="AI22" s="8" t="str">
        <f>IF(CSV!AK40=0,"",使用数!AK40)&amp;IF(CSV!AK40=0,"","("&amp;CSV!AK40&amp;")")</f>
        <v/>
      </c>
      <c r="AJ22" s="8" t="str">
        <f>IF(CSV!AL40=0,"",使用数!AL40)&amp;IF(CSV!AL40=0,"","("&amp;CSV!AL40&amp;")")</f>
        <v/>
      </c>
      <c r="AK22" s="8" t="str">
        <f>IF(CSV!AM40=0,"",使用数!AM40)&amp;IF(CSV!AM40=0,"","("&amp;CSV!AM40&amp;")")</f>
        <v/>
      </c>
    </row>
    <row r="23" spans="1:37" ht="27" customHeight="1" x14ac:dyDescent="0.55000000000000004">
      <c r="A23" s="12"/>
      <c r="B23" s="11">
        <v>142019</v>
      </c>
      <c r="C23" s="9" t="str">
        <f>IF(CSV!F41&lt;&gt;0,CSV!F41,"")</f>
        <v/>
      </c>
      <c r="D23" s="11">
        <f>HLOOKUP("部品説明",CSV!$B$2:$CC$42,B23-141979,FALSE)</f>
        <v>0</v>
      </c>
      <c r="E23" s="11" t="str">
        <f>IF(CSV!G41=0,"",CSV!G41)</f>
        <v/>
      </c>
      <c r="F23" s="11">
        <f>CSV!$H41</f>
        <v>0</v>
      </c>
      <c r="G23" s="11" t="str">
        <f>IF(CSV!I41=0,"",使用数!I41)&amp;IF(CSV!I41=0,"","("&amp;CSV!I41&amp;")")</f>
        <v/>
      </c>
      <c r="H23" s="11" t="str">
        <f>IF(CSV!J41=0,"",使用数!J41)&amp;IF(CSV!J41=0,"","("&amp;CSV!J41&amp;")")</f>
        <v/>
      </c>
      <c r="I23" s="11" t="str">
        <f>IF(CSV!K41=0,"",使用数!K41)&amp;IF(CSV!K41=0,"","("&amp;CSV!K41&amp;")")</f>
        <v/>
      </c>
      <c r="J23" s="11" t="str">
        <f>IF(CSV!L41=0,"",使用数!L41)&amp;IF(CSV!L41=0,"","("&amp;CSV!L41&amp;")")</f>
        <v/>
      </c>
      <c r="K23" s="11" t="str">
        <f>IF(CSV!M41=0,"",使用数!M41)&amp;IF(CSV!M41=0,"","("&amp;CSV!M41&amp;")")</f>
        <v/>
      </c>
      <c r="L23" s="11" t="str">
        <f>IF(CSV!N41=0,"",使用数!N41)&amp;IF(CSV!N41=0,"","("&amp;CSV!N41&amp;")")</f>
        <v/>
      </c>
      <c r="M23" s="11" t="str">
        <f>IF(CSV!O41=0,"",使用数!O41)&amp;IF(CSV!O41=0,"","("&amp;CSV!O41&amp;")")</f>
        <v/>
      </c>
      <c r="N23" s="11" t="str">
        <f>IF(CSV!P41=0,"",使用数!P41)&amp;IF(CSV!P41=0,"","("&amp;CSV!P41&amp;")")</f>
        <v/>
      </c>
      <c r="O23" s="11" t="str">
        <f>IF(CSV!Q41=0,"",使用数!Q41)&amp;IF(CSV!Q41=0,"","("&amp;CSV!Q41&amp;")")</f>
        <v/>
      </c>
      <c r="P23" s="11" t="str">
        <f>IF(CSV!R41=0,"",使用数!R41)&amp;IF(CSV!R41=0,"","("&amp;CSV!R41&amp;")")</f>
        <v/>
      </c>
      <c r="Q23" s="11" t="str">
        <f>IF(CSV!S41=0,"",使用数!S41)&amp;IF(CSV!S41=0,"","("&amp;CSV!S41&amp;")")</f>
        <v/>
      </c>
      <c r="R23" s="11" t="str">
        <f>IF(CSV!T41=0,"",使用数!T41)&amp;IF(CSV!T41=0,"","("&amp;CSV!T41&amp;")")</f>
        <v/>
      </c>
      <c r="S23" s="11" t="str">
        <f>IF(CSV!U41=0,"",使用数!U41)&amp;IF(CSV!U41=0,"","("&amp;CSV!U41&amp;")")</f>
        <v/>
      </c>
      <c r="T23" s="11" t="str">
        <f>IF(CSV!V41=0,"",使用数!V41)&amp;IF(CSV!V41=0,"","("&amp;CSV!V41&amp;")")</f>
        <v/>
      </c>
      <c r="U23" s="11" t="str">
        <f>IF(CSV!W41=0,"",使用数!W41)&amp;IF(CSV!W41=0,"","("&amp;CSV!W41&amp;")")</f>
        <v/>
      </c>
      <c r="V23" s="11" t="str">
        <f>IF(CSV!X41=0,"",使用数!X41)&amp;IF(CSV!X41=0,"","("&amp;CSV!X41&amp;")")</f>
        <v/>
      </c>
      <c r="W23" s="11" t="str">
        <f>IF(CSV!Y41=0,"",使用数!Y41)&amp;IF(CSV!Y41=0,"","("&amp;CSV!Y41&amp;")")</f>
        <v/>
      </c>
      <c r="X23" s="11" t="str">
        <f>IF(CSV!Z41=0,"",使用数!Z41)&amp;IF(CSV!Z41=0,"","("&amp;CSV!Z41&amp;")")</f>
        <v/>
      </c>
      <c r="Y23" s="11" t="str">
        <f>IF(CSV!AA41=0,"",使用数!AA41)&amp;IF(CSV!AA41=0,"","("&amp;CSV!AA41&amp;")")</f>
        <v/>
      </c>
      <c r="Z23" s="11" t="str">
        <f>IF(CSV!AB41=0,"",使用数!AB41)&amp;IF(CSV!AB41=0,"","("&amp;CSV!AB41&amp;")")</f>
        <v/>
      </c>
      <c r="AA23" s="11" t="str">
        <f>IF(CSV!AC41=0,"",使用数!AC41)&amp;IF(CSV!AC41=0,"","("&amp;CSV!AC41&amp;")")</f>
        <v/>
      </c>
      <c r="AB23" s="11" t="str">
        <f>IF(CSV!AD41=0,"",使用数!AD41)&amp;IF(CSV!AD41=0,"","("&amp;CSV!AD41&amp;")")</f>
        <v/>
      </c>
      <c r="AC23" s="11" t="str">
        <f>IF(CSV!AE41=0,"",使用数!AE41)&amp;IF(CSV!AE41=0,"","("&amp;CSV!AE41&amp;")")</f>
        <v/>
      </c>
      <c r="AD23" s="11" t="str">
        <f>IF(CSV!AF41=0,"",使用数!AF41)&amp;IF(CSV!AF41=0,"","("&amp;CSV!AF41&amp;")")</f>
        <v/>
      </c>
      <c r="AE23" s="11" t="str">
        <f>IF(CSV!AG41=0,"",使用数!AG41)&amp;IF(CSV!AG41=0,"","("&amp;CSV!AG41&amp;")")</f>
        <v/>
      </c>
      <c r="AF23" s="11" t="str">
        <f>IF(CSV!AH41=0,"",使用数!AH41)&amp;IF(CSV!AH41=0,"","("&amp;CSV!AH41&amp;")")</f>
        <v/>
      </c>
      <c r="AG23" s="11" t="str">
        <f>IF(CSV!AI41=0,"",使用数!AI41)&amp;IF(CSV!AI41=0,"","("&amp;CSV!AI41&amp;")")</f>
        <v/>
      </c>
      <c r="AH23" s="11" t="str">
        <f>IF(CSV!AJ41=0,"",使用数!AJ41)&amp;IF(CSV!AJ41=0,"","("&amp;CSV!AJ41&amp;")")</f>
        <v/>
      </c>
      <c r="AI23" s="11" t="str">
        <f>IF(CSV!AK41=0,"",使用数!AK41)&amp;IF(CSV!AK41=0,"","("&amp;CSV!AK41&amp;")")</f>
        <v/>
      </c>
      <c r="AJ23" s="11" t="str">
        <f>IF(CSV!AL41=0,"",使用数!AL41)&amp;IF(CSV!AL41=0,"","("&amp;CSV!AL41&amp;")")</f>
        <v/>
      </c>
      <c r="AK23" s="11" t="str">
        <f>IF(CSV!AM41=0,"",使用数!AM41)&amp;IF(CSV!AM41=0,"","("&amp;CSV!AM41&amp;")")</f>
        <v/>
      </c>
    </row>
    <row r="24" spans="1:37" s="7" customFormat="1" ht="27" customHeight="1" x14ac:dyDescent="0.55000000000000004">
      <c r="A24" s="121"/>
      <c r="B24" s="122">
        <v>142020</v>
      </c>
      <c r="C24" s="9" t="str">
        <f>IF(CSV!F42&lt;&gt;0,CSV!F42,"")</f>
        <v/>
      </c>
      <c r="D24" s="122">
        <f>HLOOKUP("部品説明",CSV!$B$2:$CC$42,B24-141979,FALSE)</f>
        <v>0</v>
      </c>
      <c r="E24" s="122" t="str">
        <f>IF(CSV!G42=0,"",CSV!G42)</f>
        <v/>
      </c>
      <c r="F24" s="122">
        <f>CSV!$H42</f>
        <v>0</v>
      </c>
      <c r="G24" s="122" t="str">
        <f>IF(CSV!I42=0,"",使用数!I42)&amp;IF(CSV!I42=0,"","("&amp;CSV!I42&amp;")")</f>
        <v/>
      </c>
      <c r="H24" s="122" t="str">
        <f>IF(CSV!J42=0,"",使用数!J42)&amp;IF(CSV!J42=0,"","("&amp;CSV!J42&amp;")")</f>
        <v/>
      </c>
      <c r="I24" s="122" t="str">
        <f>IF(CSV!K42=0,"",使用数!K42)&amp;IF(CSV!K42=0,"","("&amp;CSV!K42&amp;")")</f>
        <v/>
      </c>
      <c r="J24" s="122" t="str">
        <f>IF(CSV!L42=0,"",使用数!L42)&amp;IF(CSV!L42=0,"","("&amp;CSV!L42&amp;")")</f>
        <v/>
      </c>
      <c r="K24" s="122" t="str">
        <f>IF(CSV!M42=0,"",使用数!M42)&amp;IF(CSV!M42=0,"","("&amp;CSV!M42&amp;")")</f>
        <v/>
      </c>
      <c r="L24" s="122" t="str">
        <f>IF(CSV!N42=0,"",使用数!N42)&amp;IF(CSV!N42=0,"","("&amp;CSV!N42&amp;")")</f>
        <v/>
      </c>
      <c r="M24" s="8" t="str">
        <f>IF(CSV!O42=0,"",使用数!O42)&amp;IF(CSV!O42=0,"","("&amp;CSV!O42&amp;")")</f>
        <v/>
      </c>
      <c r="N24" s="8" t="str">
        <f>IF(CSV!P42=0,"",使用数!P42)&amp;IF(CSV!P42=0,"","("&amp;CSV!P42&amp;")")</f>
        <v/>
      </c>
      <c r="O24" s="8" t="str">
        <f>IF(CSV!Q42=0,"",使用数!Q42)&amp;IF(CSV!Q42=0,"","("&amp;CSV!Q42&amp;")")</f>
        <v/>
      </c>
      <c r="P24" s="8" t="str">
        <f>IF(CSV!R42=0,"",使用数!R42)&amp;IF(CSV!R42=0,"","("&amp;CSV!R42&amp;")")</f>
        <v/>
      </c>
      <c r="Q24" s="8" t="str">
        <f>IF(CSV!S42=0,"",使用数!S42)&amp;IF(CSV!S42=0,"","("&amp;CSV!S42&amp;")")</f>
        <v/>
      </c>
      <c r="R24" s="8" t="str">
        <f>IF(CSV!T42=0,"",使用数!T42)&amp;IF(CSV!T42=0,"","("&amp;CSV!T42&amp;")")</f>
        <v/>
      </c>
      <c r="S24" s="8" t="str">
        <f>IF(CSV!U42=0,"",使用数!U42)&amp;IF(CSV!U42=0,"","("&amp;CSV!U42&amp;")")</f>
        <v/>
      </c>
      <c r="T24" s="8" t="str">
        <f>IF(CSV!V42=0,"",使用数!V42)&amp;IF(CSV!V42=0,"","("&amp;CSV!V42&amp;")")</f>
        <v/>
      </c>
      <c r="U24" s="8" t="str">
        <f>IF(CSV!W42=0,"",使用数!W42)&amp;IF(CSV!W42=0,"","("&amp;CSV!W42&amp;")")</f>
        <v/>
      </c>
      <c r="V24" s="8" t="str">
        <f>IF(CSV!X42=0,"",使用数!X42)&amp;IF(CSV!X42=0,"","("&amp;CSV!X42&amp;")")</f>
        <v/>
      </c>
      <c r="W24" s="8" t="str">
        <f>IF(CSV!Y42=0,"",使用数!Y42)&amp;IF(CSV!Y42=0,"","("&amp;CSV!Y42&amp;")")</f>
        <v/>
      </c>
      <c r="X24" s="8" t="str">
        <f>IF(CSV!Z42=0,"",使用数!Z42)&amp;IF(CSV!Z42=0,"","("&amp;CSV!Z42&amp;")")</f>
        <v/>
      </c>
      <c r="Y24" s="8" t="str">
        <f>IF(CSV!AA42=0,"",使用数!AA42)&amp;IF(CSV!AA42=0,"","("&amp;CSV!AA42&amp;")")</f>
        <v/>
      </c>
      <c r="Z24" s="8" t="str">
        <f>IF(CSV!AB42=0,"",使用数!AB42)&amp;IF(CSV!AB42=0,"","("&amp;CSV!AB42&amp;")")</f>
        <v/>
      </c>
      <c r="AA24" s="8" t="str">
        <f>IF(CSV!AC42=0,"",使用数!AC42)&amp;IF(CSV!AC42=0,"","("&amp;CSV!AC42&amp;")")</f>
        <v/>
      </c>
      <c r="AB24" s="8" t="str">
        <f>IF(CSV!AD42=0,"",使用数!AD42)&amp;IF(CSV!AD42=0,"","("&amp;CSV!AD42&amp;")")</f>
        <v/>
      </c>
      <c r="AC24" s="8" t="str">
        <f>IF(CSV!AE42=0,"",使用数!AE42)&amp;IF(CSV!AE42=0,"","("&amp;CSV!AE42&amp;")")</f>
        <v/>
      </c>
      <c r="AD24" s="8" t="str">
        <f>IF(CSV!AF42=0,"",使用数!AF42)&amp;IF(CSV!AF42=0,"","("&amp;CSV!AF42&amp;")")</f>
        <v/>
      </c>
      <c r="AE24" s="8" t="str">
        <f>IF(CSV!AG42=0,"",使用数!AG42)&amp;IF(CSV!AG42=0,"","("&amp;CSV!AG42&amp;")")</f>
        <v/>
      </c>
      <c r="AF24" s="8" t="str">
        <f>IF(CSV!AH42=0,"",使用数!AH42)&amp;IF(CSV!AH42=0,"","("&amp;CSV!AH42&amp;")")</f>
        <v/>
      </c>
      <c r="AG24" s="8" t="str">
        <f>IF(CSV!AI42=0,"",使用数!AI42)&amp;IF(CSV!AI42=0,"","("&amp;CSV!AI42&amp;")")</f>
        <v/>
      </c>
      <c r="AH24" s="8" t="str">
        <f>IF(CSV!AJ42=0,"",使用数!AJ42)&amp;IF(CSV!AJ42=0,"","("&amp;CSV!AJ42&amp;")")</f>
        <v/>
      </c>
      <c r="AI24" s="8" t="str">
        <f>IF(CSV!AK42=0,"",使用数!AK42)&amp;IF(CSV!AK42=0,"","("&amp;CSV!AK42&amp;")")</f>
        <v/>
      </c>
      <c r="AJ24" s="8" t="str">
        <f>IF(CSV!AL42=0,"",使用数!AL42)&amp;IF(CSV!AL42=0,"","("&amp;CSV!AL42&amp;")")</f>
        <v/>
      </c>
      <c r="AK24" s="8" t="str">
        <f>IF(CSV!AM42=0,"",使用数!AM42)&amp;IF(CSV!AM42=0,"","("&amp;CSV!AM42&amp;")")</f>
        <v/>
      </c>
    </row>
    <row r="25" spans="1:37" x14ac:dyDescent="0.55000000000000004">
      <c r="A25" s="6"/>
    </row>
  </sheetData>
  <mergeCells count="1">
    <mergeCell ref="A1:D2"/>
  </mergeCells>
  <phoneticPr fontId="1"/>
  <printOptions horizontalCentered="1" verticalCentered="1"/>
  <pageMargins left="0.39370078740157483" right="0.39370078740157483" top="0.19685039370078741" bottom="0.23622047244094491" header="0.19685039370078741" footer="0.19685039370078741"/>
  <pageSetup paperSize="9" scale="57" fitToHeight="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8263-EB81-40D8-A507-FDA82B171E22}">
  <sheetPr codeName="Sheet_Tray2">
    <tabColor rgb="FFFF0000"/>
    <pageSetUpPr autoPageBreaks="0"/>
  </sheetPr>
  <dimension ref="A1:K42"/>
  <sheetViews>
    <sheetView zoomScaleNormal="100" workbookViewId="0"/>
  </sheetViews>
  <sheetFormatPr defaultRowHeight="18" x14ac:dyDescent="0.55000000000000004"/>
  <sheetData>
    <row r="1" spans="1:11" x14ac:dyDescent="0.55000000000000004">
      <c r="A1" t="s">
        <v>64</v>
      </c>
    </row>
    <row r="2" spans="1:11" x14ac:dyDescent="0.55000000000000004">
      <c r="A2" t="s">
        <v>19</v>
      </c>
      <c r="B2" t="s">
        <v>18</v>
      </c>
      <c r="C2" t="s">
        <v>17</v>
      </c>
      <c r="D2" t="s">
        <v>5</v>
      </c>
      <c r="E2" t="s">
        <v>16</v>
      </c>
      <c r="F2" t="s">
        <v>4</v>
      </c>
      <c r="G2" t="s">
        <v>2</v>
      </c>
      <c r="H2" t="s">
        <v>1</v>
      </c>
      <c r="I2" t="s">
        <v>69</v>
      </c>
      <c r="J2" t="s">
        <v>3</v>
      </c>
      <c r="K2" t="s">
        <v>15</v>
      </c>
    </row>
    <row r="3" spans="1:11" x14ac:dyDescent="0.55000000000000004">
      <c r="A3">
        <v>7</v>
      </c>
      <c r="B3" t="s">
        <v>63</v>
      </c>
      <c r="C3">
        <v>2</v>
      </c>
      <c r="D3">
        <v>141001</v>
      </c>
      <c r="F3">
        <v>9000034945</v>
      </c>
      <c r="G3" t="s">
        <v>14</v>
      </c>
      <c r="H3">
        <v>1</v>
      </c>
      <c r="I3">
        <v>1</v>
      </c>
      <c r="J3" t="s">
        <v>65</v>
      </c>
    </row>
    <row r="4" spans="1:11" x14ac:dyDescent="0.55000000000000004">
      <c r="A4">
        <v>7</v>
      </c>
      <c r="B4" t="s">
        <v>63</v>
      </c>
      <c r="C4">
        <v>2</v>
      </c>
      <c r="D4">
        <v>141002</v>
      </c>
      <c r="F4">
        <v>9000061644</v>
      </c>
      <c r="G4" t="s">
        <v>14</v>
      </c>
      <c r="H4">
        <v>1</v>
      </c>
      <c r="I4">
        <v>1</v>
      </c>
      <c r="J4" t="s">
        <v>66</v>
      </c>
    </row>
    <row r="5" spans="1:11" x14ac:dyDescent="0.55000000000000004">
      <c r="A5">
        <v>7</v>
      </c>
      <c r="B5" t="s">
        <v>63</v>
      </c>
      <c r="C5">
        <v>2</v>
      </c>
      <c r="D5">
        <v>141003</v>
      </c>
      <c r="F5">
        <v>9000061645</v>
      </c>
      <c r="G5" t="s">
        <v>14</v>
      </c>
      <c r="H5">
        <v>1</v>
      </c>
      <c r="I5">
        <v>1</v>
      </c>
      <c r="J5" t="s">
        <v>67</v>
      </c>
    </row>
    <row r="6" spans="1:11" x14ac:dyDescent="0.55000000000000004">
      <c r="A6">
        <v>7</v>
      </c>
      <c r="B6" t="s">
        <v>63</v>
      </c>
      <c r="C6">
        <v>2</v>
      </c>
      <c r="D6">
        <v>141004</v>
      </c>
    </row>
    <row r="7" spans="1:11" x14ac:dyDescent="0.55000000000000004">
      <c r="A7">
        <v>7</v>
      </c>
      <c r="B7" t="s">
        <v>63</v>
      </c>
      <c r="C7">
        <v>2</v>
      </c>
      <c r="D7">
        <v>141005</v>
      </c>
      <c r="F7">
        <v>9000043828</v>
      </c>
      <c r="G7" t="s">
        <v>14</v>
      </c>
      <c r="H7">
        <v>1</v>
      </c>
      <c r="I7">
        <v>1</v>
      </c>
      <c r="J7" t="s">
        <v>68</v>
      </c>
    </row>
    <row r="8" spans="1:11" x14ac:dyDescent="0.55000000000000004">
      <c r="A8">
        <v>7</v>
      </c>
      <c r="B8" t="s">
        <v>63</v>
      </c>
      <c r="C8">
        <v>2</v>
      </c>
      <c r="D8">
        <v>141006</v>
      </c>
    </row>
    <row r="9" spans="1:11" x14ac:dyDescent="0.55000000000000004">
      <c r="A9">
        <v>7</v>
      </c>
      <c r="B9" t="s">
        <v>63</v>
      </c>
      <c r="C9">
        <v>2</v>
      </c>
      <c r="D9">
        <v>141007</v>
      </c>
    </row>
    <row r="10" spans="1:11" x14ac:dyDescent="0.55000000000000004">
      <c r="A10">
        <v>7</v>
      </c>
      <c r="B10" t="s">
        <v>63</v>
      </c>
      <c r="C10">
        <v>2</v>
      </c>
      <c r="D10">
        <v>141008</v>
      </c>
    </row>
    <row r="11" spans="1:11" x14ac:dyDescent="0.55000000000000004">
      <c r="A11">
        <v>7</v>
      </c>
      <c r="B11" t="s">
        <v>63</v>
      </c>
      <c r="C11">
        <v>2</v>
      </c>
      <c r="D11">
        <v>141009</v>
      </c>
    </row>
    <row r="12" spans="1:11" x14ac:dyDescent="0.55000000000000004">
      <c r="A12">
        <v>7</v>
      </c>
      <c r="B12" t="s">
        <v>63</v>
      </c>
      <c r="C12">
        <v>2</v>
      </c>
      <c r="D12">
        <v>141010</v>
      </c>
    </row>
    <row r="13" spans="1:11" x14ac:dyDescent="0.55000000000000004">
      <c r="A13">
        <v>7</v>
      </c>
      <c r="B13" t="s">
        <v>63</v>
      </c>
      <c r="C13">
        <v>2</v>
      </c>
      <c r="D13">
        <v>141011</v>
      </c>
    </row>
    <row r="14" spans="1:11" x14ac:dyDescent="0.55000000000000004">
      <c r="A14">
        <v>7</v>
      </c>
      <c r="B14" t="s">
        <v>63</v>
      </c>
      <c r="C14">
        <v>2</v>
      </c>
      <c r="D14">
        <v>141012</v>
      </c>
    </row>
    <row r="15" spans="1:11" x14ac:dyDescent="0.55000000000000004">
      <c r="A15">
        <v>7</v>
      </c>
      <c r="B15" t="s">
        <v>63</v>
      </c>
      <c r="C15">
        <v>2</v>
      </c>
      <c r="D15">
        <v>141013</v>
      </c>
    </row>
    <row r="16" spans="1:11" x14ac:dyDescent="0.55000000000000004">
      <c r="A16">
        <v>7</v>
      </c>
      <c r="B16" t="s">
        <v>63</v>
      </c>
      <c r="C16">
        <v>2</v>
      </c>
      <c r="D16">
        <v>141014</v>
      </c>
    </row>
    <row r="17" spans="1:4" x14ac:dyDescent="0.55000000000000004">
      <c r="A17">
        <v>7</v>
      </c>
      <c r="B17" t="s">
        <v>63</v>
      </c>
      <c r="C17">
        <v>2</v>
      </c>
      <c r="D17">
        <v>141015</v>
      </c>
    </row>
    <row r="18" spans="1:4" x14ac:dyDescent="0.55000000000000004">
      <c r="A18">
        <v>7</v>
      </c>
      <c r="B18" t="s">
        <v>63</v>
      </c>
      <c r="C18">
        <v>2</v>
      </c>
      <c r="D18">
        <v>141016</v>
      </c>
    </row>
    <row r="19" spans="1:4" x14ac:dyDescent="0.55000000000000004">
      <c r="A19">
        <v>7</v>
      </c>
      <c r="B19" t="s">
        <v>63</v>
      </c>
      <c r="C19">
        <v>2</v>
      </c>
      <c r="D19">
        <v>141017</v>
      </c>
    </row>
    <row r="20" spans="1:4" x14ac:dyDescent="0.55000000000000004">
      <c r="A20">
        <v>7</v>
      </c>
      <c r="B20" t="s">
        <v>63</v>
      </c>
      <c r="C20">
        <v>2</v>
      </c>
      <c r="D20">
        <v>141018</v>
      </c>
    </row>
    <row r="21" spans="1:4" x14ac:dyDescent="0.55000000000000004">
      <c r="A21">
        <v>7</v>
      </c>
      <c r="B21" t="s">
        <v>63</v>
      </c>
      <c r="C21">
        <v>2</v>
      </c>
      <c r="D21">
        <v>141019</v>
      </c>
    </row>
    <row r="22" spans="1:4" x14ac:dyDescent="0.55000000000000004">
      <c r="A22">
        <v>7</v>
      </c>
      <c r="B22" t="s">
        <v>63</v>
      </c>
      <c r="C22">
        <v>2</v>
      </c>
      <c r="D22">
        <v>141020</v>
      </c>
    </row>
    <row r="23" spans="1:4" x14ac:dyDescent="0.55000000000000004">
      <c r="A23">
        <v>7</v>
      </c>
      <c r="B23" t="s">
        <v>63</v>
      </c>
      <c r="C23">
        <v>2</v>
      </c>
      <c r="D23">
        <v>142001</v>
      </c>
    </row>
    <row r="24" spans="1:4" x14ac:dyDescent="0.55000000000000004">
      <c r="A24">
        <v>7</v>
      </c>
      <c r="B24" t="s">
        <v>63</v>
      </c>
      <c r="C24">
        <v>2</v>
      </c>
      <c r="D24">
        <v>142002</v>
      </c>
    </row>
    <row r="25" spans="1:4" x14ac:dyDescent="0.55000000000000004">
      <c r="A25">
        <v>7</v>
      </c>
      <c r="B25" t="s">
        <v>63</v>
      </c>
      <c r="C25">
        <v>2</v>
      </c>
      <c r="D25">
        <v>142003</v>
      </c>
    </row>
    <row r="26" spans="1:4" x14ac:dyDescent="0.55000000000000004">
      <c r="A26">
        <v>7</v>
      </c>
      <c r="B26" t="s">
        <v>63</v>
      </c>
      <c r="C26">
        <v>2</v>
      </c>
      <c r="D26">
        <v>142004</v>
      </c>
    </row>
    <row r="27" spans="1:4" x14ac:dyDescent="0.55000000000000004">
      <c r="A27">
        <v>7</v>
      </c>
      <c r="B27" t="s">
        <v>63</v>
      </c>
      <c r="C27">
        <v>2</v>
      </c>
      <c r="D27">
        <v>142005</v>
      </c>
    </row>
    <row r="28" spans="1:4" x14ac:dyDescent="0.55000000000000004">
      <c r="A28">
        <v>7</v>
      </c>
      <c r="B28" t="s">
        <v>63</v>
      </c>
      <c r="C28">
        <v>2</v>
      </c>
      <c r="D28">
        <v>142006</v>
      </c>
    </row>
    <row r="29" spans="1:4" x14ac:dyDescent="0.55000000000000004">
      <c r="A29">
        <v>7</v>
      </c>
      <c r="B29" t="s">
        <v>63</v>
      </c>
      <c r="C29">
        <v>2</v>
      </c>
      <c r="D29">
        <v>142007</v>
      </c>
    </row>
    <row r="30" spans="1:4" x14ac:dyDescent="0.55000000000000004">
      <c r="A30">
        <v>7</v>
      </c>
      <c r="B30" t="s">
        <v>63</v>
      </c>
      <c r="C30">
        <v>2</v>
      </c>
      <c r="D30">
        <v>142008</v>
      </c>
    </row>
    <row r="31" spans="1:4" x14ac:dyDescent="0.55000000000000004">
      <c r="A31">
        <v>7</v>
      </c>
      <c r="B31" t="s">
        <v>63</v>
      </c>
      <c r="C31">
        <v>2</v>
      </c>
      <c r="D31">
        <v>142009</v>
      </c>
    </row>
    <row r="32" spans="1:4" x14ac:dyDescent="0.55000000000000004">
      <c r="A32">
        <v>7</v>
      </c>
      <c r="B32" t="s">
        <v>63</v>
      </c>
      <c r="C32">
        <v>2</v>
      </c>
      <c r="D32">
        <v>142010</v>
      </c>
    </row>
    <row r="33" spans="1:4" x14ac:dyDescent="0.55000000000000004">
      <c r="A33">
        <v>7</v>
      </c>
      <c r="B33" t="s">
        <v>63</v>
      </c>
      <c r="C33">
        <v>2</v>
      </c>
      <c r="D33">
        <v>142011</v>
      </c>
    </row>
    <row r="34" spans="1:4" x14ac:dyDescent="0.55000000000000004">
      <c r="A34">
        <v>7</v>
      </c>
      <c r="B34" t="s">
        <v>63</v>
      </c>
      <c r="C34">
        <v>2</v>
      </c>
      <c r="D34">
        <v>142012</v>
      </c>
    </row>
    <row r="35" spans="1:4" x14ac:dyDescent="0.55000000000000004">
      <c r="A35">
        <v>7</v>
      </c>
      <c r="B35" t="s">
        <v>63</v>
      </c>
      <c r="C35">
        <v>2</v>
      </c>
      <c r="D35">
        <v>142013</v>
      </c>
    </row>
    <row r="36" spans="1:4" x14ac:dyDescent="0.55000000000000004">
      <c r="A36">
        <v>7</v>
      </c>
      <c r="B36" t="s">
        <v>63</v>
      </c>
      <c r="C36">
        <v>2</v>
      </c>
      <c r="D36">
        <v>142014</v>
      </c>
    </row>
    <row r="37" spans="1:4" x14ac:dyDescent="0.55000000000000004">
      <c r="A37">
        <v>7</v>
      </c>
      <c r="B37" t="s">
        <v>63</v>
      </c>
      <c r="C37">
        <v>2</v>
      </c>
      <c r="D37">
        <v>142015</v>
      </c>
    </row>
    <row r="38" spans="1:4" x14ac:dyDescent="0.55000000000000004">
      <c r="A38">
        <v>7</v>
      </c>
      <c r="B38" t="s">
        <v>63</v>
      </c>
      <c r="C38">
        <v>2</v>
      </c>
      <c r="D38">
        <v>142016</v>
      </c>
    </row>
    <row r="39" spans="1:4" x14ac:dyDescent="0.55000000000000004">
      <c r="A39">
        <v>7</v>
      </c>
      <c r="B39" t="s">
        <v>63</v>
      </c>
      <c r="C39">
        <v>2</v>
      </c>
      <c r="D39">
        <v>142017</v>
      </c>
    </row>
    <row r="40" spans="1:4" x14ac:dyDescent="0.55000000000000004">
      <c r="A40">
        <v>7</v>
      </c>
      <c r="B40" t="s">
        <v>63</v>
      </c>
      <c r="C40">
        <v>2</v>
      </c>
      <c r="D40">
        <v>142018</v>
      </c>
    </row>
    <row r="41" spans="1:4" x14ac:dyDescent="0.55000000000000004">
      <c r="A41">
        <v>7</v>
      </c>
      <c r="B41" t="s">
        <v>63</v>
      </c>
      <c r="C41">
        <v>2</v>
      </c>
      <c r="D41">
        <v>142019</v>
      </c>
    </row>
    <row r="42" spans="1:4" x14ac:dyDescent="0.55000000000000004">
      <c r="A42">
        <v>7</v>
      </c>
      <c r="B42" t="s">
        <v>63</v>
      </c>
      <c r="C42">
        <v>2</v>
      </c>
      <c r="D42">
        <v>142020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2AF9-6C85-4987-9027-971816FCCF92}">
  <sheetPr codeName="Sheet_Tray3">
    <tabColor rgb="FF0070C0"/>
  </sheetPr>
  <dimension ref="A1:BR5"/>
  <sheetViews>
    <sheetView workbookViewId="0">
      <selection activeCell="L3" sqref="L3"/>
    </sheetView>
  </sheetViews>
  <sheetFormatPr defaultRowHeight="18" x14ac:dyDescent="0.55000000000000004"/>
  <cols>
    <col min="2" max="6" width="0" hidden="1" customWidth="1"/>
    <col min="7" max="8" width="2.5" hidden="1" customWidth="1"/>
    <col min="9" max="19" width="15" customWidth="1"/>
    <col min="20" max="20" width="13" customWidth="1"/>
    <col min="21" max="70" width="10.58203125" customWidth="1"/>
  </cols>
  <sheetData>
    <row r="1" spans="1:70" x14ac:dyDescent="0.55000000000000004">
      <c r="A1" t="str">
        <f>CSV!A1</f>
        <v>生産データ: 260723-011</v>
      </c>
    </row>
    <row r="2" spans="1:70" x14ac:dyDescent="0.55000000000000004">
      <c r="A2" s="21" t="str">
        <f>CSV!A2</f>
        <v>マシン番号</v>
      </c>
      <c r="B2" s="21" t="str">
        <f>CSV!B2</f>
        <v>マシン名</v>
      </c>
      <c r="C2" s="21" t="str">
        <f>CSV!C2</f>
        <v>テーブル</v>
      </c>
      <c r="D2" s="21" t="str">
        <f>CSV!D2</f>
        <v>スロット</v>
      </c>
      <c r="E2" s="21" t="str">
        <f>CSV!E2</f>
        <v>サブスロット</v>
      </c>
      <c r="F2" s="21" t="str">
        <f>CSV!F2</f>
        <v>部品</v>
      </c>
      <c r="G2" s="21" t="str">
        <f>CSV!G2</f>
        <v>供給</v>
      </c>
      <c r="H2" s="21" t="str">
        <f>CSV!H2</f>
        <v>実装点</v>
      </c>
      <c r="I2" s="21" t="str">
        <f>CSV!I2</f>
        <v>000212220414_URS-43351-02_P6</v>
      </c>
      <c r="J2" s="21" t="str">
        <f>CSV!J2</f>
        <v>部品説明</v>
      </c>
      <c r="K2" s="21" t="str">
        <f>CSV!K2</f>
        <v>薄型シングル</v>
      </c>
      <c r="L2" s="21">
        <f>CSV!L2</f>
        <v>0</v>
      </c>
      <c r="M2" s="21">
        <f>CSV!M2</f>
        <v>0</v>
      </c>
      <c r="N2" s="21">
        <f>CSV!N2</f>
        <v>0</v>
      </c>
      <c r="O2" s="21">
        <f>CSV!O2</f>
        <v>0</v>
      </c>
      <c r="P2" s="21">
        <f>CSV!P2</f>
        <v>0</v>
      </c>
      <c r="Q2" s="21">
        <f>CSV!Q2</f>
        <v>0</v>
      </c>
      <c r="R2" s="21">
        <f>CSV!R2</f>
        <v>0</v>
      </c>
      <c r="S2" s="21">
        <f>CSV!S2</f>
        <v>0</v>
      </c>
      <c r="T2" s="21">
        <f>CSV!T2</f>
        <v>0</v>
      </c>
      <c r="U2" s="21">
        <f>CSV!U2</f>
        <v>0</v>
      </c>
      <c r="V2" s="21">
        <f>CSV!V2</f>
        <v>0</v>
      </c>
      <c r="W2" s="21">
        <f>CSV!W2</f>
        <v>0</v>
      </c>
      <c r="X2" s="21">
        <f>CSV!X2</f>
        <v>0</v>
      </c>
      <c r="Y2" s="21">
        <f>CSV!Y2</f>
        <v>0</v>
      </c>
      <c r="Z2" s="21">
        <f>CSV!Z2</f>
        <v>0</v>
      </c>
      <c r="AA2" s="21">
        <f>CSV!AA2</f>
        <v>0</v>
      </c>
      <c r="AB2" s="21">
        <f>CSV!AB2</f>
        <v>0</v>
      </c>
      <c r="AC2" s="21">
        <f>CSV!AC2</f>
        <v>0</v>
      </c>
      <c r="AD2" s="21">
        <f>CSV!AD2</f>
        <v>0</v>
      </c>
      <c r="AE2" s="21">
        <f>CSV!AE2</f>
        <v>0</v>
      </c>
      <c r="AF2" s="21">
        <f>CSV!AF2</f>
        <v>0</v>
      </c>
      <c r="AG2" s="21">
        <f>CSV!AG2</f>
        <v>0</v>
      </c>
      <c r="AH2" s="21">
        <f>CSV!AH2</f>
        <v>0</v>
      </c>
      <c r="AI2" s="21">
        <f>CSV!AI2</f>
        <v>0</v>
      </c>
      <c r="AJ2" s="21">
        <f>CSV!AJ2</f>
        <v>0</v>
      </c>
      <c r="AK2" s="21">
        <f>CSV!AK2</f>
        <v>0</v>
      </c>
      <c r="AL2" s="21">
        <f>CSV!AL2</f>
        <v>0</v>
      </c>
      <c r="AM2" s="21">
        <f>CSV!AM2</f>
        <v>0</v>
      </c>
      <c r="AN2" s="21">
        <f>CSV!AN2</f>
        <v>0</v>
      </c>
      <c r="AO2" s="21">
        <f>CSV!AO2</f>
        <v>0</v>
      </c>
      <c r="AP2" s="21">
        <f>CSV!AP2</f>
        <v>0</v>
      </c>
      <c r="AQ2" s="21">
        <f>CSV!AQ2</f>
        <v>0</v>
      </c>
      <c r="AR2" s="21">
        <f>CSV!AR2</f>
        <v>0</v>
      </c>
      <c r="AS2" s="21">
        <f>CSV!AS2</f>
        <v>0</v>
      </c>
      <c r="AT2" s="21">
        <f>CSV!AT2</f>
        <v>0</v>
      </c>
      <c r="AU2" s="21">
        <f>CSV!AU2</f>
        <v>0</v>
      </c>
      <c r="AV2" s="21">
        <f>CSV!AV2</f>
        <v>0</v>
      </c>
      <c r="AW2" s="21">
        <f>CSV!AW2</f>
        <v>0</v>
      </c>
      <c r="AX2" s="21">
        <f>CSV!AX2</f>
        <v>0</v>
      </c>
      <c r="AY2" s="21">
        <f>CSV!AY2</f>
        <v>0</v>
      </c>
      <c r="AZ2" s="21">
        <f>CSV!AZ2</f>
        <v>0</v>
      </c>
      <c r="BA2" s="21">
        <f>CSV!BA2</f>
        <v>0</v>
      </c>
      <c r="BB2" s="21">
        <f>CSV!BB2</f>
        <v>0</v>
      </c>
      <c r="BC2" s="21">
        <f>CSV!BC2</f>
        <v>0</v>
      </c>
      <c r="BD2" s="21">
        <f>CSV!BD2</f>
        <v>0</v>
      </c>
      <c r="BE2" s="21">
        <f>CSV!BE2</f>
        <v>0</v>
      </c>
      <c r="BF2" s="21">
        <f>CSV!BF2</f>
        <v>0</v>
      </c>
      <c r="BG2" s="21">
        <f>CSV!BG2</f>
        <v>0</v>
      </c>
      <c r="BH2" s="21">
        <f>CSV!BH2</f>
        <v>0</v>
      </c>
      <c r="BI2" s="21">
        <f>CSV!BI2</f>
        <v>0</v>
      </c>
      <c r="BJ2" s="21">
        <f>CSV!BJ2</f>
        <v>0</v>
      </c>
      <c r="BK2" s="21">
        <f>CSV!BK2</f>
        <v>0</v>
      </c>
      <c r="BL2" s="21">
        <f>CSV!BL2</f>
        <v>0</v>
      </c>
      <c r="BM2" s="21">
        <f>CSV!BM2</f>
        <v>0</v>
      </c>
      <c r="BN2" s="21">
        <f>CSV!BN2</f>
        <v>0</v>
      </c>
      <c r="BO2" s="21">
        <f>CSV!BO2</f>
        <v>0</v>
      </c>
      <c r="BP2" s="21">
        <f>CSV!BP2</f>
        <v>0</v>
      </c>
      <c r="BQ2" s="21">
        <f>CSV!BQ2</f>
        <v>0</v>
      </c>
      <c r="BR2" s="21">
        <f>CSV!BR2</f>
        <v>0</v>
      </c>
    </row>
    <row r="3" spans="1:70" x14ac:dyDescent="0.55000000000000004">
      <c r="A3" s="21" t="s">
        <v>10</v>
      </c>
      <c r="B3" s="21"/>
      <c r="C3" s="21"/>
      <c r="D3" s="21"/>
      <c r="E3" s="21"/>
      <c r="F3" s="21"/>
      <c r="G3" s="21"/>
      <c r="H3" s="21"/>
      <c r="I3" s="22">
        <v>24</v>
      </c>
      <c r="J3" s="22">
        <v>192</v>
      </c>
      <c r="K3" s="22">
        <v>48</v>
      </c>
      <c r="L3" s="22">
        <v>48</v>
      </c>
      <c r="M3" s="22">
        <v>144</v>
      </c>
      <c r="N3" s="22">
        <v>144</v>
      </c>
      <c r="O3" s="22">
        <v>168</v>
      </c>
      <c r="P3" s="22">
        <v>168</v>
      </c>
      <c r="Q3" s="22">
        <v>48</v>
      </c>
      <c r="R3" s="22">
        <v>24</v>
      </c>
      <c r="S3" s="22">
        <v>1</v>
      </c>
      <c r="T3" s="22">
        <v>1</v>
      </c>
      <c r="U3" s="22">
        <v>1</v>
      </c>
      <c r="V3" s="22">
        <v>1</v>
      </c>
      <c r="W3" s="22">
        <v>1</v>
      </c>
      <c r="X3" s="22">
        <v>96</v>
      </c>
      <c r="Y3" s="22">
        <v>96</v>
      </c>
      <c r="Z3" s="22">
        <v>96</v>
      </c>
      <c r="AA3" s="22">
        <v>96</v>
      </c>
      <c r="AB3" s="22">
        <v>12</v>
      </c>
      <c r="AC3" s="22">
        <v>96</v>
      </c>
      <c r="AD3" s="22">
        <v>96</v>
      </c>
      <c r="AE3" s="22">
        <v>1</v>
      </c>
      <c r="AF3" s="22">
        <v>1</v>
      </c>
      <c r="AG3" s="21">
        <v>1</v>
      </c>
      <c r="AH3" s="21">
        <v>1</v>
      </c>
      <c r="AI3" s="21">
        <v>1</v>
      </c>
      <c r="AJ3" s="21">
        <v>1</v>
      </c>
      <c r="AK3" s="21">
        <v>1</v>
      </c>
      <c r="AL3" s="21">
        <v>1</v>
      </c>
      <c r="AM3" s="21">
        <v>1</v>
      </c>
      <c r="AN3" s="21">
        <v>1</v>
      </c>
      <c r="AO3" s="21">
        <v>1</v>
      </c>
      <c r="AP3" s="21">
        <v>1</v>
      </c>
      <c r="AQ3" s="21">
        <v>1</v>
      </c>
      <c r="AR3" s="21">
        <v>1</v>
      </c>
      <c r="AS3" s="21">
        <v>1</v>
      </c>
      <c r="AT3" s="21">
        <v>1</v>
      </c>
      <c r="AU3" s="21">
        <v>1</v>
      </c>
      <c r="AV3" s="21">
        <v>1</v>
      </c>
      <c r="AW3" s="21">
        <v>1</v>
      </c>
      <c r="AX3" s="21">
        <v>1</v>
      </c>
      <c r="AY3" s="21">
        <v>1</v>
      </c>
      <c r="AZ3" s="21">
        <v>1</v>
      </c>
      <c r="BA3" s="21">
        <v>1</v>
      </c>
      <c r="BB3" s="21">
        <v>1</v>
      </c>
      <c r="BC3" s="21">
        <v>1</v>
      </c>
      <c r="BD3" s="21">
        <v>1</v>
      </c>
      <c r="BE3" s="21">
        <v>1</v>
      </c>
      <c r="BF3" s="21">
        <v>1</v>
      </c>
      <c r="BG3" s="21">
        <v>1</v>
      </c>
      <c r="BH3" s="21">
        <v>1</v>
      </c>
      <c r="BI3" s="21">
        <v>1</v>
      </c>
      <c r="BJ3" s="21">
        <v>1</v>
      </c>
      <c r="BK3" s="21">
        <v>1</v>
      </c>
      <c r="BL3" s="21">
        <v>1</v>
      </c>
      <c r="BM3" s="21">
        <v>1</v>
      </c>
      <c r="BN3" s="21">
        <v>1</v>
      </c>
      <c r="BO3" s="21">
        <v>1</v>
      </c>
      <c r="BP3" s="21">
        <v>1</v>
      </c>
      <c r="BQ3" s="21">
        <v>1</v>
      </c>
      <c r="BR3" s="21">
        <v>1</v>
      </c>
    </row>
    <row r="4" spans="1:70" x14ac:dyDescent="0.55000000000000004">
      <c r="A4" s="21" t="s">
        <v>21</v>
      </c>
      <c r="B4" s="21"/>
      <c r="C4" s="21"/>
      <c r="D4" s="21"/>
      <c r="E4" s="21"/>
      <c r="F4" s="21"/>
      <c r="G4" s="21"/>
      <c r="H4" s="21"/>
      <c r="I4" s="22">
        <v>1</v>
      </c>
      <c r="J4" s="22">
        <v>2</v>
      </c>
      <c r="K4" s="22">
        <v>2</v>
      </c>
      <c r="L4" s="22">
        <v>2</v>
      </c>
      <c r="M4" s="22">
        <v>2</v>
      </c>
      <c r="N4" s="22">
        <v>2</v>
      </c>
      <c r="O4" s="22">
        <v>2</v>
      </c>
      <c r="P4" s="22">
        <v>2</v>
      </c>
      <c r="Q4" s="22">
        <v>2</v>
      </c>
      <c r="R4" s="22">
        <v>1</v>
      </c>
      <c r="S4" s="22">
        <v>1</v>
      </c>
      <c r="T4" s="22">
        <v>1</v>
      </c>
      <c r="U4" s="22">
        <v>1</v>
      </c>
      <c r="V4" s="22">
        <v>1</v>
      </c>
      <c r="W4" s="22">
        <v>1</v>
      </c>
      <c r="X4" s="22">
        <v>2</v>
      </c>
      <c r="Y4" s="22">
        <v>2</v>
      </c>
      <c r="Z4" s="22">
        <v>2</v>
      </c>
      <c r="AA4" s="22">
        <v>2</v>
      </c>
      <c r="AB4" s="22">
        <v>1</v>
      </c>
      <c r="AC4" s="22">
        <v>2</v>
      </c>
      <c r="AD4" s="22">
        <v>2</v>
      </c>
      <c r="AE4" s="22">
        <v>1</v>
      </c>
      <c r="AF4" s="22">
        <v>1</v>
      </c>
      <c r="AG4" s="21">
        <v>1</v>
      </c>
      <c r="AH4" s="21">
        <v>1</v>
      </c>
      <c r="AI4" s="21">
        <v>1</v>
      </c>
      <c r="AJ4" s="21">
        <v>1</v>
      </c>
      <c r="AK4" s="21">
        <v>1</v>
      </c>
      <c r="AL4" s="21">
        <v>1</v>
      </c>
      <c r="AM4" s="21">
        <v>1</v>
      </c>
      <c r="AN4" s="21">
        <v>1</v>
      </c>
      <c r="AO4" s="21">
        <v>1</v>
      </c>
      <c r="AP4" s="21">
        <v>1</v>
      </c>
      <c r="AQ4" s="21">
        <v>1</v>
      </c>
      <c r="AR4" s="21">
        <v>1</v>
      </c>
      <c r="AS4" s="21">
        <v>1</v>
      </c>
      <c r="AT4" s="21">
        <v>1</v>
      </c>
      <c r="AU4" s="21">
        <v>1</v>
      </c>
      <c r="AV4" s="21">
        <v>1</v>
      </c>
      <c r="AW4" s="21">
        <v>1</v>
      </c>
      <c r="AX4" s="21">
        <v>1</v>
      </c>
      <c r="AY4" s="21">
        <v>1</v>
      </c>
      <c r="AZ4" s="21">
        <v>1</v>
      </c>
      <c r="BA4" s="21">
        <v>1</v>
      </c>
      <c r="BB4" s="21">
        <v>1</v>
      </c>
      <c r="BC4" s="21">
        <v>1</v>
      </c>
      <c r="BD4" s="21">
        <v>1</v>
      </c>
      <c r="BE4" s="21">
        <v>1</v>
      </c>
      <c r="BF4" s="21">
        <v>1</v>
      </c>
      <c r="BG4" s="21">
        <v>1</v>
      </c>
      <c r="BH4" s="21">
        <v>1</v>
      </c>
      <c r="BI4" s="21">
        <v>1</v>
      </c>
      <c r="BJ4" s="21">
        <v>1</v>
      </c>
      <c r="BK4" s="21">
        <v>1</v>
      </c>
      <c r="BL4" s="21">
        <v>1</v>
      </c>
      <c r="BM4" s="21">
        <v>1</v>
      </c>
      <c r="BN4" s="21">
        <v>1</v>
      </c>
      <c r="BO4" s="21">
        <v>1</v>
      </c>
      <c r="BP4" s="21">
        <v>1</v>
      </c>
      <c r="BQ4" s="21">
        <v>1</v>
      </c>
      <c r="BR4" s="21">
        <v>1</v>
      </c>
    </row>
    <row r="5" spans="1:70" x14ac:dyDescent="0.55000000000000004">
      <c r="A5" s="21" t="s">
        <v>20</v>
      </c>
      <c r="B5" s="21"/>
      <c r="C5" s="21"/>
      <c r="D5" s="21"/>
      <c r="E5" s="21"/>
      <c r="F5" s="21"/>
      <c r="G5" s="21"/>
      <c r="H5" s="21"/>
      <c r="I5" s="21">
        <f t="shared" ref="I5:AN5" si="0">I3/I4</f>
        <v>24</v>
      </c>
      <c r="J5" s="21">
        <f t="shared" si="0"/>
        <v>96</v>
      </c>
      <c r="K5" s="21">
        <f t="shared" si="0"/>
        <v>24</v>
      </c>
      <c r="L5" s="21">
        <f t="shared" si="0"/>
        <v>24</v>
      </c>
      <c r="M5" s="21">
        <f t="shared" si="0"/>
        <v>72</v>
      </c>
      <c r="N5" s="21">
        <f t="shared" si="0"/>
        <v>72</v>
      </c>
      <c r="O5" s="21">
        <f t="shared" si="0"/>
        <v>84</v>
      </c>
      <c r="P5" s="21">
        <f t="shared" si="0"/>
        <v>84</v>
      </c>
      <c r="Q5" s="21">
        <f t="shared" si="0"/>
        <v>24</v>
      </c>
      <c r="R5" s="21">
        <f t="shared" si="0"/>
        <v>24</v>
      </c>
      <c r="S5" s="21">
        <f t="shared" si="0"/>
        <v>1</v>
      </c>
      <c r="T5" s="21">
        <f t="shared" si="0"/>
        <v>1</v>
      </c>
      <c r="U5" s="21">
        <f t="shared" si="0"/>
        <v>1</v>
      </c>
      <c r="V5" s="21">
        <f t="shared" si="0"/>
        <v>1</v>
      </c>
      <c r="W5" s="21">
        <f t="shared" si="0"/>
        <v>1</v>
      </c>
      <c r="X5" s="21">
        <f t="shared" si="0"/>
        <v>48</v>
      </c>
      <c r="Y5" s="21">
        <f t="shared" si="0"/>
        <v>48</v>
      </c>
      <c r="Z5" s="21">
        <f t="shared" si="0"/>
        <v>48</v>
      </c>
      <c r="AA5" s="21">
        <f t="shared" si="0"/>
        <v>48</v>
      </c>
      <c r="AB5" s="21">
        <f t="shared" si="0"/>
        <v>12</v>
      </c>
      <c r="AC5" s="21">
        <f t="shared" si="0"/>
        <v>48</v>
      </c>
      <c r="AD5" s="21">
        <f t="shared" si="0"/>
        <v>48</v>
      </c>
      <c r="AE5" s="21">
        <f t="shared" si="0"/>
        <v>1</v>
      </c>
      <c r="AF5" s="21">
        <f t="shared" si="0"/>
        <v>1</v>
      </c>
      <c r="AG5" s="21">
        <f t="shared" si="0"/>
        <v>1</v>
      </c>
      <c r="AH5" s="21">
        <f t="shared" si="0"/>
        <v>1</v>
      </c>
      <c r="AI5" s="21">
        <f t="shared" si="0"/>
        <v>1</v>
      </c>
      <c r="AJ5" s="21">
        <f t="shared" si="0"/>
        <v>1</v>
      </c>
      <c r="AK5" s="21">
        <f t="shared" si="0"/>
        <v>1</v>
      </c>
      <c r="AL5" s="21">
        <f t="shared" si="0"/>
        <v>1</v>
      </c>
      <c r="AM5" s="21">
        <f t="shared" si="0"/>
        <v>1</v>
      </c>
      <c r="AN5" s="21">
        <f t="shared" si="0"/>
        <v>1</v>
      </c>
      <c r="AO5" s="21">
        <f t="shared" ref="AO5:BR5" si="1">AO3/AO4</f>
        <v>1</v>
      </c>
      <c r="AP5" s="21">
        <f t="shared" si="1"/>
        <v>1</v>
      </c>
      <c r="AQ5" s="21">
        <f t="shared" si="1"/>
        <v>1</v>
      </c>
      <c r="AR5" s="21">
        <f t="shared" si="1"/>
        <v>1</v>
      </c>
      <c r="AS5" s="21">
        <f t="shared" si="1"/>
        <v>1</v>
      </c>
      <c r="AT5" s="21">
        <f t="shared" si="1"/>
        <v>1</v>
      </c>
      <c r="AU5" s="21">
        <f t="shared" si="1"/>
        <v>1</v>
      </c>
      <c r="AV5" s="21">
        <f t="shared" si="1"/>
        <v>1</v>
      </c>
      <c r="AW5" s="21">
        <f t="shared" si="1"/>
        <v>1</v>
      </c>
      <c r="AX5" s="21">
        <f t="shared" si="1"/>
        <v>1</v>
      </c>
      <c r="AY5" s="21">
        <f t="shared" si="1"/>
        <v>1</v>
      </c>
      <c r="AZ5" s="21">
        <f t="shared" si="1"/>
        <v>1</v>
      </c>
      <c r="BA5" s="21">
        <f t="shared" si="1"/>
        <v>1</v>
      </c>
      <c r="BB5" s="21">
        <f t="shared" si="1"/>
        <v>1</v>
      </c>
      <c r="BC5" s="21">
        <f t="shared" si="1"/>
        <v>1</v>
      </c>
      <c r="BD5" s="21">
        <f t="shared" si="1"/>
        <v>1</v>
      </c>
      <c r="BE5" s="21">
        <f t="shared" si="1"/>
        <v>1</v>
      </c>
      <c r="BF5" s="21">
        <f t="shared" si="1"/>
        <v>1</v>
      </c>
      <c r="BG5" s="21">
        <f t="shared" si="1"/>
        <v>1</v>
      </c>
      <c r="BH5" s="21">
        <f t="shared" si="1"/>
        <v>1</v>
      </c>
      <c r="BI5" s="21">
        <f t="shared" si="1"/>
        <v>1</v>
      </c>
      <c r="BJ5" s="21">
        <f t="shared" si="1"/>
        <v>1</v>
      </c>
      <c r="BK5" s="21">
        <f t="shared" si="1"/>
        <v>1</v>
      </c>
      <c r="BL5" s="21">
        <f t="shared" si="1"/>
        <v>1</v>
      </c>
      <c r="BM5" s="21">
        <f t="shared" si="1"/>
        <v>1</v>
      </c>
      <c r="BN5" s="21">
        <f t="shared" si="1"/>
        <v>1</v>
      </c>
      <c r="BO5" s="21">
        <f t="shared" si="1"/>
        <v>1</v>
      </c>
      <c r="BP5" s="21">
        <f t="shared" si="1"/>
        <v>1</v>
      </c>
      <c r="BQ5" s="21">
        <f t="shared" si="1"/>
        <v>1</v>
      </c>
      <c r="BR5" s="21">
        <f t="shared" si="1"/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3D08-FF11-4DE2-AF2E-83645FCA5D08}">
  <sheetPr codeName="Sheet_Tray4"/>
  <dimension ref="A1:BR48"/>
  <sheetViews>
    <sheetView workbookViewId="0"/>
  </sheetViews>
  <sheetFormatPr defaultRowHeight="18" x14ac:dyDescent="0.55000000000000004"/>
  <cols>
    <col min="3" max="3" width="0" hidden="1" customWidth="1"/>
    <col min="5" max="5" width="0" hidden="1" customWidth="1"/>
  </cols>
  <sheetData>
    <row r="1" spans="1:70" x14ac:dyDescent="0.55000000000000004">
      <c r="A1" t="str">
        <f>CSV!A1</f>
        <v>生産データ: 260723-011</v>
      </c>
    </row>
    <row r="2" spans="1:70" x14ac:dyDescent="0.55000000000000004">
      <c r="A2" t="str">
        <f>CSV!A2</f>
        <v>マシン番号</v>
      </c>
      <c r="B2" t="str">
        <f>CSV!B2</f>
        <v>マシン名</v>
      </c>
      <c r="C2" t="str">
        <f>CSV!C2</f>
        <v>テーブル</v>
      </c>
      <c r="D2" t="str">
        <f>CSV!D2</f>
        <v>スロット</v>
      </c>
      <c r="E2" t="str">
        <f>CSV!E2</f>
        <v>サブスロット</v>
      </c>
      <c r="F2" t="str">
        <f>CSV!F2</f>
        <v>部品</v>
      </c>
      <c r="G2" t="str">
        <f>CSV!G2</f>
        <v>供給</v>
      </c>
      <c r="H2" t="str">
        <f>CSV!H2</f>
        <v>実装点</v>
      </c>
      <c r="I2" t="str">
        <f>CSV!I2</f>
        <v>000212220414_URS-43351-02_P6</v>
      </c>
      <c r="J2" t="str">
        <f>CSV!J2</f>
        <v>部品説明</v>
      </c>
      <c r="K2" t="str">
        <f>CSV!K2</f>
        <v>薄型シングル</v>
      </c>
      <c r="L2">
        <f>CSV!L2</f>
        <v>0</v>
      </c>
      <c r="M2">
        <f>CSV!M2</f>
        <v>0</v>
      </c>
      <c r="N2">
        <f>CSV!N2</f>
        <v>0</v>
      </c>
      <c r="O2">
        <f>CSV!O2</f>
        <v>0</v>
      </c>
      <c r="P2">
        <f>CSV!P2</f>
        <v>0</v>
      </c>
      <c r="Q2">
        <f>CSV!Q2</f>
        <v>0</v>
      </c>
      <c r="R2">
        <f>CSV!R2</f>
        <v>0</v>
      </c>
      <c r="S2">
        <f>CSV!S2</f>
        <v>0</v>
      </c>
      <c r="T2">
        <f>CSV!T2</f>
        <v>0</v>
      </c>
      <c r="U2">
        <f>CSV!U2</f>
        <v>0</v>
      </c>
      <c r="V2">
        <f>CSV!V2</f>
        <v>0</v>
      </c>
      <c r="W2">
        <f>CSV!W2</f>
        <v>0</v>
      </c>
      <c r="X2">
        <f>CSV!X2</f>
        <v>0</v>
      </c>
      <c r="Y2">
        <f>CSV!Y2</f>
        <v>0</v>
      </c>
      <c r="Z2">
        <f>CSV!Z2</f>
        <v>0</v>
      </c>
      <c r="AA2">
        <f>CSV!AA2</f>
        <v>0</v>
      </c>
      <c r="AB2">
        <f>CSV!AB2</f>
        <v>0</v>
      </c>
      <c r="AC2">
        <f>CSV!AC2</f>
        <v>0</v>
      </c>
      <c r="AD2">
        <f>CSV!AD2</f>
        <v>0</v>
      </c>
      <c r="AE2">
        <f>CSV!AE2</f>
        <v>0</v>
      </c>
      <c r="AF2">
        <f>CSV!AF2</f>
        <v>0</v>
      </c>
      <c r="AG2">
        <f>CSV!AG2</f>
        <v>0</v>
      </c>
      <c r="AH2">
        <f>CSV!AH2</f>
        <v>0</v>
      </c>
      <c r="AI2">
        <f>CSV!AI2</f>
        <v>0</v>
      </c>
      <c r="AJ2">
        <f>CSV!AJ2</f>
        <v>0</v>
      </c>
      <c r="AK2">
        <f>CSV!AK2</f>
        <v>0</v>
      </c>
      <c r="AL2">
        <f>CSV!AL2</f>
        <v>0</v>
      </c>
      <c r="AM2">
        <f>CSV!AM2</f>
        <v>0</v>
      </c>
      <c r="AN2">
        <f>CSV!AN2</f>
        <v>0</v>
      </c>
      <c r="AO2">
        <f>CSV!AO2</f>
        <v>0</v>
      </c>
      <c r="AP2">
        <f>CSV!AP2</f>
        <v>0</v>
      </c>
      <c r="AQ2">
        <f>CSV!AQ2</f>
        <v>0</v>
      </c>
      <c r="AR2">
        <f>CSV!AR2</f>
        <v>0</v>
      </c>
      <c r="AS2">
        <f>CSV!AS2</f>
        <v>0</v>
      </c>
      <c r="AT2">
        <f>CSV!AT2</f>
        <v>0</v>
      </c>
      <c r="AU2">
        <f>CSV!AU2</f>
        <v>0</v>
      </c>
      <c r="AV2">
        <f>CSV!AV2</f>
        <v>0</v>
      </c>
      <c r="AW2">
        <f>CSV!AW2</f>
        <v>0</v>
      </c>
      <c r="AX2">
        <f>CSV!AX2</f>
        <v>0</v>
      </c>
      <c r="AY2">
        <f>CSV!AY2</f>
        <v>0</v>
      </c>
      <c r="AZ2">
        <f>CSV!AZ2</f>
        <v>0</v>
      </c>
      <c r="BA2">
        <f>CSV!BA2</f>
        <v>0</v>
      </c>
      <c r="BB2">
        <f>CSV!BB2</f>
        <v>0</v>
      </c>
      <c r="BC2">
        <f>CSV!BC2</f>
        <v>0</v>
      </c>
      <c r="BD2">
        <f>CSV!BD2</f>
        <v>0</v>
      </c>
      <c r="BE2">
        <f>CSV!BE2</f>
        <v>0</v>
      </c>
      <c r="BF2">
        <f>CSV!BF2</f>
        <v>0</v>
      </c>
      <c r="BG2">
        <f>CSV!BG2</f>
        <v>0</v>
      </c>
      <c r="BH2">
        <f>CSV!BH2</f>
        <v>0</v>
      </c>
      <c r="BI2">
        <f>CSV!BI2</f>
        <v>0</v>
      </c>
      <c r="BJ2">
        <f>CSV!BJ2</f>
        <v>0</v>
      </c>
      <c r="BK2">
        <f>CSV!BK2</f>
        <v>0</v>
      </c>
      <c r="BL2">
        <f>CSV!BL2</f>
        <v>0</v>
      </c>
      <c r="BM2">
        <f>CSV!BM2</f>
        <v>0</v>
      </c>
      <c r="BN2">
        <f>CSV!BN2</f>
        <v>0</v>
      </c>
      <c r="BO2">
        <f>CSV!BO2</f>
        <v>0</v>
      </c>
      <c r="BP2">
        <f>CSV!BP2</f>
        <v>0</v>
      </c>
      <c r="BQ2">
        <f>CSV!BQ2</f>
        <v>0</v>
      </c>
      <c r="BR2">
        <f>CSV!BR2</f>
        <v>0</v>
      </c>
    </row>
    <row r="3" spans="1:70" x14ac:dyDescent="0.55000000000000004">
      <c r="B3" t="str">
        <f>CSV!B3</f>
        <v>NPM-7</v>
      </c>
      <c r="C3">
        <f>CSV!C3</f>
        <v>2</v>
      </c>
      <c r="D3">
        <f>CSV!D3</f>
        <v>141001</v>
      </c>
      <c r="F3">
        <f>CSV!F3</f>
        <v>9000034945</v>
      </c>
      <c r="I3">
        <f>CSV!I3*台数入力!I$5</f>
        <v>24</v>
      </c>
      <c r="J3" t="e">
        <f>CSV!J3*台数入力!J$5</f>
        <v>#VALUE!</v>
      </c>
      <c r="K3">
        <f>CSV!K3*台数入力!K$5</f>
        <v>0</v>
      </c>
      <c r="L3">
        <f>CSV!L3*台数入力!L$5</f>
        <v>0</v>
      </c>
      <c r="M3">
        <f>CSV!M3*台数入力!M$5</f>
        <v>0</v>
      </c>
      <c r="N3">
        <f>CSV!N3*台数入力!N$5</f>
        <v>0</v>
      </c>
      <c r="O3">
        <f>CSV!O3*台数入力!O$5</f>
        <v>0</v>
      </c>
      <c r="P3">
        <f>CSV!P3*台数入力!P$5</f>
        <v>0</v>
      </c>
      <c r="Q3">
        <f>CSV!Q3*台数入力!Q$5</f>
        <v>0</v>
      </c>
      <c r="R3">
        <f>CSV!R3*台数入力!R$5</f>
        <v>0</v>
      </c>
      <c r="S3">
        <f>CSV!S3*台数入力!S$5</f>
        <v>0</v>
      </c>
      <c r="T3">
        <f>CSV!T3*台数入力!T$5</f>
        <v>0</v>
      </c>
      <c r="U3">
        <f>CSV!U3*台数入力!U$5</f>
        <v>0</v>
      </c>
      <c r="V3">
        <f>CSV!V3*台数入力!V$5</f>
        <v>0</v>
      </c>
      <c r="W3">
        <f>CSV!W3*台数入力!W$5</f>
        <v>0</v>
      </c>
      <c r="X3">
        <f>CSV!X3*台数入力!X$5</f>
        <v>0</v>
      </c>
      <c r="Y3">
        <f>CSV!Y3*台数入力!Y$5</f>
        <v>0</v>
      </c>
      <c r="Z3">
        <f>CSV!Z3*台数入力!Z$5</f>
        <v>0</v>
      </c>
      <c r="AA3">
        <f>CSV!AA3*台数入力!AA$5</f>
        <v>0</v>
      </c>
      <c r="AB3">
        <f>CSV!AB3*台数入力!AB$5</f>
        <v>0</v>
      </c>
      <c r="AC3">
        <f>CSV!AC3*台数入力!AC$5</f>
        <v>0</v>
      </c>
      <c r="AD3">
        <f>CSV!AD3*台数入力!AD$5</f>
        <v>0</v>
      </c>
      <c r="AE3">
        <f>CSV!AE3*台数入力!AE$5</f>
        <v>0</v>
      </c>
      <c r="AF3">
        <f>CSV!AF3*台数入力!AF$5</f>
        <v>0</v>
      </c>
      <c r="AG3">
        <f>CSV!AG3*台数入力!AG$5</f>
        <v>0</v>
      </c>
      <c r="AH3">
        <f>CSV!AH3*台数入力!AH$5</f>
        <v>0</v>
      </c>
      <c r="AI3">
        <f>CSV!AI3*台数入力!AI$5</f>
        <v>0</v>
      </c>
      <c r="AJ3">
        <f>CSV!AJ3*台数入力!AJ$5</f>
        <v>0</v>
      </c>
      <c r="AK3">
        <f>CSV!AK3*台数入力!AK$5</f>
        <v>0</v>
      </c>
      <c r="AL3">
        <f>CSV!AL3*台数入力!AL$5</f>
        <v>0</v>
      </c>
      <c r="AM3">
        <f>CSV!AM3*台数入力!AM$5</f>
        <v>0</v>
      </c>
      <c r="AN3">
        <f>CSV!AN3*台数入力!AN$5</f>
        <v>0</v>
      </c>
      <c r="AO3">
        <f>CSV!AO3*台数入力!AO$5</f>
        <v>0</v>
      </c>
      <c r="AP3">
        <f>CSV!AP3*台数入力!AP$5</f>
        <v>0</v>
      </c>
      <c r="AQ3">
        <f>CSV!AQ3*台数入力!AQ$5</f>
        <v>0</v>
      </c>
      <c r="AR3">
        <f>CSV!AR3*台数入力!AR$5</f>
        <v>0</v>
      </c>
      <c r="AS3">
        <f>CSV!AS3*台数入力!AS$5</f>
        <v>0</v>
      </c>
      <c r="AT3">
        <f>CSV!AT3*台数入力!AT$5</f>
        <v>0</v>
      </c>
      <c r="AU3">
        <f>CSV!AU3*台数入力!AU$5</f>
        <v>0</v>
      </c>
      <c r="AV3">
        <f>CSV!AV3*台数入力!AV$5</f>
        <v>0</v>
      </c>
      <c r="AW3">
        <f>CSV!AW3*台数入力!AW$5</f>
        <v>0</v>
      </c>
      <c r="AX3">
        <f>CSV!AX3*台数入力!AX$5</f>
        <v>0</v>
      </c>
      <c r="AY3">
        <f>CSV!AY3*台数入力!AY$5</f>
        <v>0</v>
      </c>
      <c r="AZ3">
        <f>CSV!AZ3*台数入力!AZ$5</f>
        <v>0</v>
      </c>
      <c r="BA3">
        <f>CSV!BA3*台数入力!BA$5</f>
        <v>0</v>
      </c>
      <c r="BB3">
        <f>CSV!BB3*台数入力!BB$5</f>
        <v>0</v>
      </c>
      <c r="BC3">
        <f>CSV!BC3*台数入力!BC$5</f>
        <v>0</v>
      </c>
      <c r="BD3">
        <f>CSV!BD3*台数入力!BD$5</f>
        <v>0</v>
      </c>
      <c r="BE3">
        <f>CSV!BE3*台数入力!BE$5</f>
        <v>0</v>
      </c>
      <c r="BF3">
        <f>CSV!BF3*台数入力!BF$5</f>
        <v>0</v>
      </c>
      <c r="BG3">
        <f>CSV!BG3*台数入力!BG$5</f>
        <v>0</v>
      </c>
      <c r="BH3">
        <f>CSV!BH3*台数入力!BH$5</f>
        <v>0</v>
      </c>
      <c r="BI3">
        <f>CSV!BI3*台数入力!BI$5</f>
        <v>0</v>
      </c>
      <c r="BJ3">
        <f>CSV!BJ3*台数入力!BJ$5</f>
        <v>0</v>
      </c>
      <c r="BK3">
        <f>CSV!BK3*台数入力!BK$5</f>
        <v>0</v>
      </c>
      <c r="BL3">
        <f>CSV!BL3*台数入力!BL$5</f>
        <v>0</v>
      </c>
      <c r="BM3">
        <f>CSV!BM3*台数入力!BM$5</f>
        <v>0</v>
      </c>
      <c r="BN3">
        <f>CSV!BN3*台数入力!BN$5</f>
        <v>0</v>
      </c>
      <c r="BO3">
        <f>CSV!BO3*台数入力!BO$5</f>
        <v>0</v>
      </c>
      <c r="BP3">
        <f>CSV!BP3*台数入力!BP$5</f>
        <v>0</v>
      </c>
      <c r="BQ3">
        <f>CSV!BQ3*台数入力!BQ$5</f>
        <v>0</v>
      </c>
      <c r="BR3">
        <f>CSV!BR3*台数入力!BR$5</f>
        <v>0</v>
      </c>
    </row>
    <row r="4" spans="1:70" x14ac:dyDescent="0.55000000000000004">
      <c r="B4" t="str">
        <f>CSV!B4</f>
        <v>NPM-7</v>
      </c>
      <c r="C4">
        <f>CSV!C4</f>
        <v>2</v>
      </c>
      <c r="D4">
        <f>CSV!D4</f>
        <v>141002</v>
      </c>
      <c r="F4">
        <f>CSV!F4</f>
        <v>9000061644</v>
      </c>
      <c r="I4">
        <f>CSV!I4*台数入力!I$5</f>
        <v>24</v>
      </c>
      <c r="J4" t="e">
        <f>CSV!J4*台数入力!J$5</f>
        <v>#VALUE!</v>
      </c>
      <c r="K4">
        <f>CSV!K4*台数入力!K$5</f>
        <v>0</v>
      </c>
      <c r="L4">
        <f>CSV!L4*台数入力!L$5</f>
        <v>0</v>
      </c>
      <c r="M4">
        <f>CSV!M4*台数入力!M$5</f>
        <v>0</v>
      </c>
      <c r="N4">
        <f>CSV!N4*台数入力!N$5</f>
        <v>0</v>
      </c>
      <c r="O4">
        <f>CSV!O4*台数入力!O$5</f>
        <v>0</v>
      </c>
      <c r="P4">
        <f>CSV!P4*台数入力!P$5</f>
        <v>0</v>
      </c>
      <c r="Q4">
        <f>CSV!Q4*台数入力!Q$5</f>
        <v>0</v>
      </c>
      <c r="R4">
        <f>CSV!R4*台数入力!R$5</f>
        <v>0</v>
      </c>
      <c r="S4">
        <f>CSV!S4*台数入力!S$5</f>
        <v>0</v>
      </c>
      <c r="T4">
        <f>CSV!T4*台数入力!T$5</f>
        <v>0</v>
      </c>
      <c r="U4">
        <f>CSV!U4*台数入力!U$5</f>
        <v>0</v>
      </c>
      <c r="V4">
        <f>CSV!V4*台数入力!V$5</f>
        <v>0</v>
      </c>
      <c r="W4">
        <f>CSV!W4*台数入力!W$5</f>
        <v>0</v>
      </c>
      <c r="X4">
        <f>CSV!X4*台数入力!X$5</f>
        <v>0</v>
      </c>
      <c r="Y4">
        <f>CSV!Y4*台数入力!Y$5</f>
        <v>0</v>
      </c>
      <c r="Z4">
        <f>CSV!Z4*台数入力!Z$5</f>
        <v>0</v>
      </c>
      <c r="AA4">
        <f>CSV!AA4*台数入力!AA$5</f>
        <v>0</v>
      </c>
      <c r="AB4">
        <f>CSV!AB4*台数入力!AB$5</f>
        <v>0</v>
      </c>
      <c r="AC4">
        <f>CSV!AC4*台数入力!AC$5</f>
        <v>0</v>
      </c>
      <c r="AD4">
        <f>CSV!AD4*台数入力!AD$5</f>
        <v>0</v>
      </c>
      <c r="AE4">
        <f>CSV!AE4*台数入力!AE$5</f>
        <v>0</v>
      </c>
      <c r="AF4">
        <f>CSV!AF4*台数入力!AF$5</f>
        <v>0</v>
      </c>
      <c r="AG4">
        <f>CSV!AG4*台数入力!AG$5</f>
        <v>0</v>
      </c>
      <c r="AH4">
        <f>CSV!AH4*台数入力!AH$5</f>
        <v>0</v>
      </c>
      <c r="AI4">
        <f>CSV!AI4*台数入力!AI$5</f>
        <v>0</v>
      </c>
      <c r="AJ4">
        <f>CSV!AJ4*台数入力!AJ$5</f>
        <v>0</v>
      </c>
      <c r="AK4">
        <f>CSV!AK4*台数入力!AK$5</f>
        <v>0</v>
      </c>
      <c r="AL4">
        <f>CSV!AL4*台数入力!AL$5</f>
        <v>0</v>
      </c>
      <c r="AM4">
        <f>CSV!AM4*台数入力!AM$5</f>
        <v>0</v>
      </c>
      <c r="AN4">
        <f>CSV!AN4*台数入力!AN$5</f>
        <v>0</v>
      </c>
      <c r="AO4">
        <f>CSV!AO4*台数入力!AO$5</f>
        <v>0</v>
      </c>
      <c r="AP4">
        <f>CSV!AP4*台数入力!AP$5</f>
        <v>0</v>
      </c>
      <c r="AQ4">
        <f>CSV!AQ4*台数入力!AQ$5</f>
        <v>0</v>
      </c>
      <c r="AR4">
        <f>CSV!AR4*台数入力!AR$5</f>
        <v>0</v>
      </c>
      <c r="AS4">
        <f>CSV!AS4*台数入力!AS$5</f>
        <v>0</v>
      </c>
      <c r="AT4">
        <f>CSV!AT4*台数入力!AT$5</f>
        <v>0</v>
      </c>
      <c r="AU4">
        <f>CSV!AU4*台数入力!AU$5</f>
        <v>0</v>
      </c>
      <c r="AV4">
        <f>CSV!AV4*台数入力!AV$5</f>
        <v>0</v>
      </c>
      <c r="AW4">
        <f>CSV!AW4*台数入力!AW$5</f>
        <v>0</v>
      </c>
      <c r="AX4">
        <f>CSV!AX4*台数入力!AX$5</f>
        <v>0</v>
      </c>
      <c r="AY4">
        <f>CSV!AY4*台数入力!AY$5</f>
        <v>0</v>
      </c>
      <c r="AZ4">
        <f>CSV!AZ4*台数入力!AZ$5</f>
        <v>0</v>
      </c>
      <c r="BA4">
        <f>CSV!BA4*台数入力!BA$5</f>
        <v>0</v>
      </c>
      <c r="BB4">
        <f>CSV!BB4*台数入力!BB$5</f>
        <v>0</v>
      </c>
      <c r="BC4">
        <f>CSV!BC4*台数入力!BC$5</f>
        <v>0</v>
      </c>
      <c r="BD4">
        <f>CSV!BD4*台数入力!BD$5</f>
        <v>0</v>
      </c>
      <c r="BE4">
        <f>CSV!BE4*台数入力!BE$5</f>
        <v>0</v>
      </c>
      <c r="BF4">
        <f>CSV!BF4*台数入力!BF$5</f>
        <v>0</v>
      </c>
      <c r="BG4">
        <f>CSV!BG4*台数入力!BG$5</f>
        <v>0</v>
      </c>
      <c r="BH4">
        <f>CSV!BH4*台数入力!BH$5</f>
        <v>0</v>
      </c>
      <c r="BI4">
        <f>CSV!BI4*台数入力!BI$5</f>
        <v>0</v>
      </c>
      <c r="BJ4">
        <f>CSV!BJ4*台数入力!BJ$5</f>
        <v>0</v>
      </c>
      <c r="BK4">
        <f>CSV!BK4*台数入力!BK$5</f>
        <v>0</v>
      </c>
      <c r="BL4">
        <f>CSV!BL4*台数入力!BL$5</f>
        <v>0</v>
      </c>
      <c r="BM4">
        <f>CSV!BM4*台数入力!BM$5</f>
        <v>0</v>
      </c>
      <c r="BN4">
        <f>CSV!BN4*台数入力!BN$5</f>
        <v>0</v>
      </c>
      <c r="BO4">
        <f>CSV!BO4*台数入力!BO$5</f>
        <v>0</v>
      </c>
      <c r="BP4">
        <f>CSV!BP4*台数入力!BP$5</f>
        <v>0</v>
      </c>
      <c r="BQ4">
        <f>CSV!BQ4*台数入力!BQ$5</f>
        <v>0</v>
      </c>
      <c r="BR4">
        <f>CSV!BR4*台数入力!BR$5</f>
        <v>0</v>
      </c>
    </row>
    <row r="5" spans="1:70" x14ac:dyDescent="0.55000000000000004">
      <c r="B5" t="str">
        <f>CSV!B5</f>
        <v>NPM-7</v>
      </c>
      <c r="C5">
        <f>CSV!C5</f>
        <v>2</v>
      </c>
      <c r="D5">
        <f>CSV!D5</f>
        <v>141003</v>
      </c>
      <c r="F5">
        <f>CSV!F5</f>
        <v>9000061645</v>
      </c>
      <c r="I5">
        <f>CSV!I5*台数入力!I$5</f>
        <v>24</v>
      </c>
      <c r="J5" t="e">
        <f>CSV!J5*台数入力!J$5</f>
        <v>#VALUE!</v>
      </c>
      <c r="K5">
        <f>CSV!K5*台数入力!K$5</f>
        <v>0</v>
      </c>
      <c r="L5">
        <f>CSV!L5*台数入力!L$5</f>
        <v>0</v>
      </c>
      <c r="M5">
        <f>CSV!M5*台数入力!M$5</f>
        <v>0</v>
      </c>
      <c r="N5">
        <f>CSV!N5*台数入力!N$5</f>
        <v>0</v>
      </c>
      <c r="O5">
        <f>CSV!O5*台数入力!O$5</f>
        <v>0</v>
      </c>
      <c r="P5">
        <f>CSV!P5*台数入力!P$5</f>
        <v>0</v>
      </c>
      <c r="Q5">
        <f>CSV!Q5*台数入力!Q$5</f>
        <v>0</v>
      </c>
      <c r="R5">
        <f>CSV!R5*台数入力!R$5</f>
        <v>0</v>
      </c>
      <c r="S5">
        <f>CSV!S5*台数入力!S$5</f>
        <v>0</v>
      </c>
      <c r="T5">
        <f>CSV!T5*台数入力!T$5</f>
        <v>0</v>
      </c>
      <c r="U5">
        <f>CSV!U5*台数入力!U$5</f>
        <v>0</v>
      </c>
      <c r="V5">
        <f>CSV!V5*台数入力!V$5</f>
        <v>0</v>
      </c>
      <c r="W5">
        <f>CSV!W5*台数入力!W$5</f>
        <v>0</v>
      </c>
      <c r="X5">
        <f>CSV!X5*台数入力!X$5</f>
        <v>0</v>
      </c>
      <c r="Y5">
        <f>CSV!Y5*台数入力!Y$5</f>
        <v>0</v>
      </c>
      <c r="Z5">
        <f>CSV!Z5*台数入力!Z$5</f>
        <v>0</v>
      </c>
      <c r="AA5">
        <f>CSV!AA5*台数入力!AA$5</f>
        <v>0</v>
      </c>
      <c r="AB5">
        <f>CSV!AB5*台数入力!AB$5</f>
        <v>0</v>
      </c>
      <c r="AC5">
        <f>CSV!AC5*台数入力!AC$5</f>
        <v>0</v>
      </c>
      <c r="AD5">
        <f>CSV!AD5*台数入力!AD$5</f>
        <v>0</v>
      </c>
      <c r="AE5">
        <f>CSV!AE5*台数入力!AE$5</f>
        <v>0</v>
      </c>
      <c r="AF5">
        <f>CSV!AF5*台数入力!AF$5</f>
        <v>0</v>
      </c>
      <c r="AG5">
        <f>CSV!AG5*台数入力!AG$5</f>
        <v>0</v>
      </c>
      <c r="AH5">
        <f>CSV!AH5*台数入力!AH$5</f>
        <v>0</v>
      </c>
      <c r="AI5">
        <f>CSV!AI5*台数入力!AI$5</f>
        <v>0</v>
      </c>
      <c r="AJ5">
        <f>CSV!AJ5*台数入力!AJ$5</f>
        <v>0</v>
      </c>
      <c r="AK5">
        <f>CSV!AK5*台数入力!AK$5</f>
        <v>0</v>
      </c>
      <c r="AL5">
        <f>CSV!AL5*台数入力!AL$5</f>
        <v>0</v>
      </c>
      <c r="AM5">
        <f>CSV!AM5*台数入力!AM$5</f>
        <v>0</v>
      </c>
      <c r="AN5">
        <f>CSV!AN5*台数入力!AN$5</f>
        <v>0</v>
      </c>
      <c r="AO5">
        <f>CSV!AO5*台数入力!AO$5</f>
        <v>0</v>
      </c>
      <c r="AP5">
        <f>CSV!AP5*台数入力!AP$5</f>
        <v>0</v>
      </c>
      <c r="AQ5">
        <f>CSV!AQ5*台数入力!AQ$5</f>
        <v>0</v>
      </c>
      <c r="AR5">
        <f>CSV!AR5*台数入力!AR$5</f>
        <v>0</v>
      </c>
      <c r="AS5">
        <f>CSV!AS5*台数入力!AS$5</f>
        <v>0</v>
      </c>
      <c r="AT5">
        <f>CSV!AT5*台数入力!AT$5</f>
        <v>0</v>
      </c>
      <c r="AU5">
        <f>CSV!AU5*台数入力!AU$5</f>
        <v>0</v>
      </c>
      <c r="AV5">
        <f>CSV!AV5*台数入力!AV$5</f>
        <v>0</v>
      </c>
      <c r="AW5">
        <f>CSV!AW5*台数入力!AW$5</f>
        <v>0</v>
      </c>
      <c r="AX5">
        <f>CSV!AX5*台数入力!AX$5</f>
        <v>0</v>
      </c>
      <c r="AY5">
        <f>CSV!AY5*台数入力!AY$5</f>
        <v>0</v>
      </c>
      <c r="AZ5">
        <f>CSV!AZ5*台数入力!AZ$5</f>
        <v>0</v>
      </c>
      <c r="BA5">
        <f>CSV!BA5*台数入力!BA$5</f>
        <v>0</v>
      </c>
      <c r="BB5">
        <f>CSV!BB5*台数入力!BB$5</f>
        <v>0</v>
      </c>
      <c r="BC5">
        <f>CSV!BC5*台数入力!BC$5</f>
        <v>0</v>
      </c>
      <c r="BD5">
        <f>CSV!BD5*台数入力!BD$5</f>
        <v>0</v>
      </c>
      <c r="BE5">
        <f>CSV!BE5*台数入力!BE$5</f>
        <v>0</v>
      </c>
      <c r="BF5">
        <f>CSV!BF5*台数入力!BF$5</f>
        <v>0</v>
      </c>
      <c r="BG5">
        <f>CSV!BG5*台数入力!BG$5</f>
        <v>0</v>
      </c>
      <c r="BH5">
        <f>CSV!BH5*台数入力!BH$5</f>
        <v>0</v>
      </c>
      <c r="BI5">
        <f>CSV!BI5*台数入力!BI$5</f>
        <v>0</v>
      </c>
      <c r="BJ5">
        <f>CSV!BJ5*台数入力!BJ$5</f>
        <v>0</v>
      </c>
      <c r="BK5">
        <f>CSV!BK5*台数入力!BK$5</f>
        <v>0</v>
      </c>
      <c r="BL5">
        <f>CSV!BL5*台数入力!BL$5</f>
        <v>0</v>
      </c>
      <c r="BM5">
        <f>CSV!BM5*台数入力!BM$5</f>
        <v>0</v>
      </c>
      <c r="BN5">
        <f>CSV!BN5*台数入力!BN$5</f>
        <v>0</v>
      </c>
      <c r="BO5">
        <f>CSV!BO5*台数入力!BO$5</f>
        <v>0</v>
      </c>
      <c r="BP5">
        <f>CSV!BP5*台数入力!BP$5</f>
        <v>0</v>
      </c>
      <c r="BQ5">
        <f>CSV!BQ5*台数入力!BQ$5</f>
        <v>0</v>
      </c>
      <c r="BR5">
        <f>CSV!BR5*台数入力!BR$5</f>
        <v>0</v>
      </c>
    </row>
    <row r="6" spans="1:70" x14ac:dyDescent="0.55000000000000004">
      <c r="B6" t="str">
        <f>CSV!B6</f>
        <v>NPM-7</v>
      </c>
      <c r="C6">
        <f>CSV!C6</f>
        <v>2</v>
      </c>
      <c r="D6">
        <f>CSV!D6</f>
        <v>141004</v>
      </c>
      <c r="F6">
        <f>CSV!F6</f>
        <v>0</v>
      </c>
      <c r="I6">
        <f>CSV!I6*台数入力!I$5</f>
        <v>0</v>
      </c>
      <c r="J6">
        <f>CSV!J6*台数入力!J$5</f>
        <v>0</v>
      </c>
      <c r="K6">
        <f>CSV!K6*台数入力!K$5</f>
        <v>0</v>
      </c>
      <c r="L6">
        <f>CSV!L6*台数入力!L$5</f>
        <v>0</v>
      </c>
      <c r="M6">
        <f>CSV!M6*台数入力!M$5</f>
        <v>0</v>
      </c>
      <c r="N6">
        <f>CSV!N6*台数入力!N$5</f>
        <v>0</v>
      </c>
      <c r="O6">
        <f>CSV!O6*台数入力!O$5</f>
        <v>0</v>
      </c>
      <c r="P6">
        <f>CSV!P6*台数入力!P$5</f>
        <v>0</v>
      </c>
      <c r="Q6">
        <f>CSV!Q6*台数入力!Q$5</f>
        <v>0</v>
      </c>
      <c r="R6">
        <f>CSV!R6*台数入力!R$5</f>
        <v>0</v>
      </c>
      <c r="S6">
        <f>CSV!S6*台数入力!S$5</f>
        <v>0</v>
      </c>
      <c r="T6">
        <f>CSV!T6*台数入力!T$5</f>
        <v>0</v>
      </c>
      <c r="U6">
        <f>CSV!U6*台数入力!U$5</f>
        <v>0</v>
      </c>
      <c r="V6">
        <f>CSV!V6*台数入力!V$5</f>
        <v>0</v>
      </c>
      <c r="W6">
        <f>CSV!W6*台数入力!W$5</f>
        <v>0</v>
      </c>
      <c r="X6">
        <f>CSV!X6*台数入力!X$5</f>
        <v>0</v>
      </c>
      <c r="Y6">
        <f>CSV!Y6*台数入力!Y$5</f>
        <v>0</v>
      </c>
      <c r="Z6">
        <f>CSV!Z6*台数入力!Z$5</f>
        <v>0</v>
      </c>
      <c r="AA6">
        <f>CSV!AA6*台数入力!AA$5</f>
        <v>0</v>
      </c>
      <c r="AB6">
        <f>CSV!AB6*台数入力!AB$5</f>
        <v>0</v>
      </c>
      <c r="AC6">
        <f>CSV!AC6*台数入力!AC$5</f>
        <v>0</v>
      </c>
      <c r="AD6">
        <f>CSV!AD6*台数入力!AD$5</f>
        <v>0</v>
      </c>
      <c r="AE6">
        <f>CSV!AE6*台数入力!AE$5</f>
        <v>0</v>
      </c>
      <c r="AF6">
        <f>CSV!AF6*台数入力!AF$5</f>
        <v>0</v>
      </c>
      <c r="AG6">
        <f>CSV!AG6*台数入力!AG$5</f>
        <v>0</v>
      </c>
      <c r="AH6">
        <f>CSV!AH6*台数入力!AH$5</f>
        <v>0</v>
      </c>
      <c r="AI6">
        <f>CSV!AI6*台数入力!AI$5</f>
        <v>0</v>
      </c>
      <c r="AJ6">
        <f>CSV!AJ6*台数入力!AJ$5</f>
        <v>0</v>
      </c>
      <c r="AK6">
        <f>CSV!AK6*台数入力!AK$5</f>
        <v>0</v>
      </c>
      <c r="AL6">
        <f>CSV!AL6*台数入力!AL$5</f>
        <v>0</v>
      </c>
      <c r="AM6">
        <f>CSV!AM6*台数入力!AM$5</f>
        <v>0</v>
      </c>
      <c r="AN6">
        <f>CSV!AN6*台数入力!AN$5</f>
        <v>0</v>
      </c>
      <c r="AO6">
        <f>CSV!AO6*台数入力!AO$5</f>
        <v>0</v>
      </c>
      <c r="AP6">
        <f>CSV!AP6*台数入力!AP$5</f>
        <v>0</v>
      </c>
      <c r="AQ6">
        <f>CSV!AQ6*台数入力!AQ$5</f>
        <v>0</v>
      </c>
      <c r="AR6">
        <f>CSV!AR6*台数入力!AR$5</f>
        <v>0</v>
      </c>
      <c r="AS6">
        <f>CSV!AS6*台数入力!AS$5</f>
        <v>0</v>
      </c>
      <c r="AT6">
        <f>CSV!AT6*台数入力!AT$5</f>
        <v>0</v>
      </c>
      <c r="AU6">
        <f>CSV!AU6*台数入力!AU$5</f>
        <v>0</v>
      </c>
      <c r="AV6">
        <f>CSV!AV6*台数入力!AV$5</f>
        <v>0</v>
      </c>
      <c r="AW6">
        <f>CSV!AW6*台数入力!AW$5</f>
        <v>0</v>
      </c>
      <c r="AX6">
        <f>CSV!AX6*台数入力!AX$5</f>
        <v>0</v>
      </c>
      <c r="AY6">
        <f>CSV!AY6*台数入力!AY$5</f>
        <v>0</v>
      </c>
      <c r="AZ6">
        <f>CSV!AZ6*台数入力!AZ$5</f>
        <v>0</v>
      </c>
      <c r="BA6">
        <f>CSV!BA6*台数入力!BA$5</f>
        <v>0</v>
      </c>
      <c r="BB6">
        <f>CSV!BB6*台数入力!BB$5</f>
        <v>0</v>
      </c>
      <c r="BC6">
        <f>CSV!BC6*台数入力!BC$5</f>
        <v>0</v>
      </c>
      <c r="BD6">
        <f>CSV!BD6*台数入力!BD$5</f>
        <v>0</v>
      </c>
      <c r="BE6">
        <f>CSV!BE6*台数入力!BE$5</f>
        <v>0</v>
      </c>
      <c r="BF6">
        <f>CSV!BF6*台数入力!BF$5</f>
        <v>0</v>
      </c>
      <c r="BG6">
        <f>CSV!BG6*台数入力!BG$5</f>
        <v>0</v>
      </c>
      <c r="BH6">
        <f>CSV!BH6*台数入力!BH$5</f>
        <v>0</v>
      </c>
      <c r="BI6">
        <f>CSV!BI6*台数入力!BI$5</f>
        <v>0</v>
      </c>
      <c r="BJ6">
        <f>CSV!BJ6*台数入力!BJ$5</f>
        <v>0</v>
      </c>
      <c r="BK6">
        <f>CSV!BK6*台数入力!BK$5</f>
        <v>0</v>
      </c>
      <c r="BL6">
        <f>CSV!BL6*台数入力!BL$5</f>
        <v>0</v>
      </c>
      <c r="BM6">
        <f>CSV!BM6*台数入力!BM$5</f>
        <v>0</v>
      </c>
      <c r="BN6">
        <f>CSV!BN6*台数入力!BN$5</f>
        <v>0</v>
      </c>
      <c r="BO6">
        <f>CSV!BO6*台数入力!BO$5</f>
        <v>0</v>
      </c>
      <c r="BP6">
        <f>CSV!BP6*台数入力!BP$5</f>
        <v>0</v>
      </c>
      <c r="BQ6">
        <f>CSV!BQ6*台数入力!BQ$5</f>
        <v>0</v>
      </c>
      <c r="BR6">
        <f>CSV!BR6*台数入力!BR$5</f>
        <v>0</v>
      </c>
    </row>
    <row r="7" spans="1:70" x14ac:dyDescent="0.55000000000000004">
      <c r="B7" t="str">
        <f>CSV!B7</f>
        <v>NPM-7</v>
      </c>
      <c r="C7">
        <f>CSV!C7</f>
        <v>2</v>
      </c>
      <c r="D7">
        <f>CSV!D7</f>
        <v>141005</v>
      </c>
      <c r="F7">
        <f>CSV!F7</f>
        <v>9000043828</v>
      </c>
      <c r="I7">
        <f>CSV!I7*台数入力!I$5</f>
        <v>24</v>
      </c>
      <c r="J7" t="e">
        <f>CSV!J7*台数入力!J$5</f>
        <v>#VALUE!</v>
      </c>
      <c r="K7">
        <f>CSV!K7*台数入力!K$5</f>
        <v>0</v>
      </c>
      <c r="L7">
        <f>CSV!L7*台数入力!L$5</f>
        <v>0</v>
      </c>
      <c r="M7">
        <f>CSV!M7*台数入力!M$5</f>
        <v>0</v>
      </c>
      <c r="N7">
        <f>CSV!N7*台数入力!N$5</f>
        <v>0</v>
      </c>
      <c r="O7">
        <f>CSV!O7*台数入力!O$5</f>
        <v>0</v>
      </c>
      <c r="P7">
        <f>CSV!P7*台数入力!P$5</f>
        <v>0</v>
      </c>
      <c r="Q7">
        <f>CSV!Q7*台数入力!Q$5</f>
        <v>0</v>
      </c>
      <c r="R7">
        <f>CSV!R7*台数入力!R$5</f>
        <v>0</v>
      </c>
      <c r="S7">
        <f>CSV!S7*台数入力!S$5</f>
        <v>0</v>
      </c>
      <c r="T7">
        <f>CSV!T7*台数入力!T$5</f>
        <v>0</v>
      </c>
      <c r="U7">
        <f>CSV!U7*台数入力!U$5</f>
        <v>0</v>
      </c>
      <c r="V7">
        <f>CSV!V7*台数入力!V$5</f>
        <v>0</v>
      </c>
      <c r="W7">
        <f>CSV!W7*台数入力!W$5</f>
        <v>0</v>
      </c>
      <c r="X7">
        <f>CSV!X7*台数入力!X$5</f>
        <v>0</v>
      </c>
      <c r="Y7">
        <f>CSV!Y7*台数入力!Y$5</f>
        <v>0</v>
      </c>
      <c r="Z7">
        <f>CSV!Z7*台数入力!Z$5</f>
        <v>0</v>
      </c>
      <c r="AA7">
        <f>CSV!AA7*台数入力!AA$5</f>
        <v>0</v>
      </c>
      <c r="AB7">
        <f>CSV!AB7*台数入力!AB$5</f>
        <v>0</v>
      </c>
      <c r="AC7">
        <f>CSV!AC7*台数入力!AC$5</f>
        <v>0</v>
      </c>
      <c r="AD7">
        <f>CSV!AD7*台数入力!AD$5</f>
        <v>0</v>
      </c>
      <c r="AE7">
        <f>CSV!AE7*台数入力!AE$5</f>
        <v>0</v>
      </c>
      <c r="AF7">
        <f>CSV!AF7*台数入力!AF$5</f>
        <v>0</v>
      </c>
      <c r="AG7">
        <f>CSV!AG7*台数入力!AG$5</f>
        <v>0</v>
      </c>
      <c r="AH7">
        <f>CSV!AH7*台数入力!AH$5</f>
        <v>0</v>
      </c>
      <c r="AI7">
        <f>CSV!AI7*台数入力!AI$5</f>
        <v>0</v>
      </c>
      <c r="AJ7">
        <f>CSV!AJ7*台数入力!AJ$5</f>
        <v>0</v>
      </c>
      <c r="AK7">
        <f>CSV!AK7*台数入力!AK$5</f>
        <v>0</v>
      </c>
      <c r="AL7">
        <f>CSV!AL7*台数入力!AL$5</f>
        <v>0</v>
      </c>
      <c r="AM7">
        <f>CSV!AM7*台数入力!AM$5</f>
        <v>0</v>
      </c>
      <c r="AN7">
        <f>CSV!AN7*台数入力!AN$5</f>
        <v>0</v>
      </c>
      <c r="AO7">
        <f>CSV!AO7*台数入力!AO$5</f>
        <v>0</v>
      </c>
      <c r="AP7">
        <f>CSV!AP7*台数入力!AP$5</f>
        <v>0</v>
      </c>
      <c r="AQ7">
        <f>CSV!AQ7*台数入力!AQ$5</f>
        <v>0</v>
      </c>
      <c r="AR7">
        <f>CSV!AR7*台数入力!AR$5</f>
        <v>0</v>
      </c>
      <c r="AS7">
        <f>CSV!AS7*台数入力!AS$5</f>
        <v>0</v>
      </c>
      <c r="AT7">
        <f>CSV!AT7*台数入力!AT$5</f>
        <v>0</v>
      </c>
      <c r="AU7">
        <f>CSV!AU7*台数入力!AU$5</f>
        <v>0</v>
      </c>
      <c r="AV7">
        <f>CSV!AV7*台数入力!AV$5</f>
        <v>0</v>
      </c>
      <c r="AW7">
        <f>CSV!AW7*台数入力!AW$5</f>
        <v>0</v>
      </c>
      <c r="AX7">
        <f>CSV!AX7*台数入力!AX$5</f>
        <v>0</v>
      </c>
      <c r="AY7">
        <f>CSV!AY7*台数入力!AY$5</f>
        <v>0</v>
      </c>
      <c r="AZ7">
        <f>CSV!AZ7*台数入力!AZ$5</f>
        <v>0</v>
      </c>
      <c r="BA7">
        <f>CSV!BA7*台数入力!BA$5</f>
        <v>0</v>
      </c>
      <c r="BB7">
        <f>CSV!BB7*台数入力!BB$5</f>
        <v>0</v>
      </c>
      <c r="BC7">
        <f>CSV!BC7*台数入力!BC$5</f>
        <v>0</v>
      </c>
      <c r="BD7">
        <f>CSV!BD7*台数入力!BD$5</f>
        <v>0</v>
      </c>
      <c r="BE7">
        <f>CSV!BE7*台数入力!BE$5</f>
        <v>0</v>
      </c>
      <c r="BF7">
        <f>CSV!BF7*台数入力!BF$5</f>
        <v>0</v>
      </c>
      <c r="BG7">
        <f>CSV!BG7*台数入力!BG$5</f>
        <v>0</v>
      </c>
      <c r="BH7">
        <f>CSV!BH7*台数入力!BH$5</f>
        <v>0</v>
      </c>
      <c r="BI7">
        <f>CSV!BI7*台数入力!BI$5</f>
        <v>0</v>
      </c>
      <c r="BJ7">
        <f>CSV!BJ7*台数入力!BJ$5</f>
        <v>0</v>
      </c>
      <c r="BK7">
        <f>CSV!BK7*台数入力!BK$5</f>
        <v>0</v>
      </c>
      <c r="BL7">
        <f>CSV!BL7*台数入力!BL$5</f>
        <v>0</v>
      </c>
      <c r="BM7">
        <f>CSV!BM7*台数入力!BM$5</f>
        <v>0</v>
      </c>
      <c r="BN7">
        <f>CSV!BN7*台数入力!BN$5</f>
        <v>0</v>
      </c>
      <c r="BO7">
        <f>CSV!BO7*台数入力!BO$5</f>
        <v>0</v>
      </c>
      <c r="BP7">
        <f>CSV!BP7*台数入力!BP$5</f>
        <v>0</v>
      </c>
      <c r="BQ7">
        <f>CSV!BQ7*台数入力!BQ$5</f>
        <v>0</v>
      </c>
      <c r="BR7">
        <f>CSV!BR7*台数入力!BR$5</f>
        <v>0</v>
      </c>
    </row>
    <row r="8" spans="1:70" x14ac:dyDescent="0.55000000000000004">
      <c r="B8" t="str">
        <f>CSV!B8</f>
        <v>NPM-7</v>
      </c>
      <c r="C8">
        <f>CSV!C8</f>
        <v>2</v>
      </c>
      <c r="D8">
        <f>CSV!D8</f>
        <v>141006</v>
      </c>
      <c r="F8">
        <f>CSV!F8</f>
        <v>0</v>
      </c>
      <c r="I8">
        <f>CSV!I8*台数入力!I$5</f>
        <v>0</v>
      </c>
      <c r="J8">
        <f>CSV!J8*台数入力!J$5</f>
        <v>0</v>
      </c>
      <c r="K8">
        <f>CSV!K8*台数入力!K$5</f>
        <v>0</v>
      </c>
      <c r="L8">
        <f>CSV!L8*台数入力!L$5</f>
        <v>0</v>
      </c>
      <c r="M8">
        <f>CSV!M8*台数入力!M$5</f>
        <v>0</v>
      </c>
      <c r="N8">
        <f>CSV!N8*台数入力!N$5</f>
        <v>0</v>
      </c>
      <c r="O8">
        <f>CSV!O8*台数入力!O$5</f>
        <v>0</v>
      </c>
      <c r="P8">
        <f>CSV!P8*台数入力!P$5</f>
        <v>0</v>
      </c>
      <c r="Q8">
        <f>CSV!Q8*台数入力!Q$5</f>
        <v>0</v>
      </c>
      <c r="R8">
        <f>CSV!R8*台数入力!R$5</f>
        <v>0</v>
      </c>
      <c r="S8">
        <f>CSV!S8*台数入力!S$5</f>
        <v>0</v>
      </c>
      <c r="T8">
        <f>CSV!T8*台数入力!T$5</f>
        <v>0</v>
      </c>
      <c r="U8">
        <f>CSV!U8*台数入力!U$5</f>
        <v>0</v>
      </c>
      <c r="V8">
        <f>CSV!V8*台数入力!V$5</f>
        <v>0</v>
      </c>
      <c r="W8">
        <f>CSV!W8*台数入力!W$5</f>
        <v>0</v>
      </c>
      <c r="X8">
        <f>CSV!X8*台数入力!X$5</f>
        <v>0</v>
      </c>
      <c r="Y8">
        <f>CSV!Y8*台数入力!Y$5</f>
        <v>0</v>
      </c>
      <c r="Z8">
        <f>CSV!Z8*台数入力!Z$5</f>
        <v>0</v>
      </c>
      <c r="AA8">
        <f>CSV!AA8*台数入力!AA$5</f>
        <v>0</v>
      </c>
      <c r="AB8">
        <f>CSV!AB8*台数入力!AB$5</f>
        <v>0</v>
      </c>
      <c r="AC8">
        <f>CSV!AC8*台数入力!AC$5</f>
        <v>0</v>
      </c>
      <c r="AD8">
        <f>CSV!AD8*台数入力!AD$5</f>
        <v>0</v>
      </c>
      <c r="AE8">
        <f>CSV!AE8*台数入力!AE$5</f>
        <v>0</v>
      </c>
      <c r="AF8">
        <f>CSV!AF8*台数入力!AF$5</f>
        <v>0</v>
      </c>
      <c r="AG8">
        <f>CSV!AG8*台数入力!AG$5</f>
        <v>0</v>
      </c>
      <c r="AH8">
        <f>CSV!AH8*台数入力!AH$5</f>
        <v>0</v>
      </c>
      <c r="AI8">
        <f>CSV!AI8*台数入力!AI$5</f>
        <v>0</v>
      </c>
      <c r="AJ8">
        <f>CSV!AJ8*台数入力!AJ$5</f>
        <v>0</v>
      </c>
      <c r="AK8">
        <f>CSV!AK8*台数入力!AK$5</f>
        <v>0</v>
      </c>
      <c r="AL8">
        <f>CSV!AL8*台数入力!AL$5</f>
        <v>0</v>
      </c>
      <c r="AM8">
        <f>CSV!AM8*台数入力!AM$5</f>
        <v>0</v>
      </c>
      <c r="AN8">
        <f>CSV!AN8*台数入力!AN$5</f>
        <v>0</v>
      </c>
      <c r="AO8">
        <f>CSV!AO8*台数入力!AO$5</f>
        <v>0</v>
      </c>
      <c r="AP8">
        <f>CSV!AP8*台数入力!AP$5</f>
        <v>0</v>
      </c>
      <c r="AQ8">
        <f>CSV!AQ8*台数入力!AQ$5</f>
        <v>0</v>
      </c>
      <c r="AR8">
        <f>CSV!AR8*台数入力!AR$5</f>
        <v>0</v>
      </c>
      <c r="AS8">
        <f>CSV!AS8*台数入力!AS$5</f>
        <v>0</v>
      </c>
      <c r="AT8">
        <f>CSV!AT8*台数入力!AT$5</f>
        <v>0</v>
      </c>
      <c r="AU8">
        <f>CSV!AU8*台数入力!AU$5</f>
        <v>0</v>
      </c>
      <c r="AV8">
        <f>CSV!AV8*台数入力!AV$5</f>
        <v>0</v>
      </c>
      <c r="AW8">
        <f>CSV!AW8*台数入力!AW$5</f>
        <v>0</v>
      </c>
      <c r="AX8">
        <f>CSV!AX8*台数入力!AX$5</f>
        <v>0</v>
      </c>
      <c r="AY8">
        <f>CSV!AY8*台数入力!AY$5</f>
        <v>0</v>
      </c>
      <c r="AZ8">
        <f>CSV!AZ8*台数入力!AZ$5</f>
        <v>0</v>
      </c>
      <c r="BA8">
        <f>CSV!BA8*台数入力!BA$5</f>
        <v>0</v>
      </c>
      <c r="BB8">
        <f>CSV!BB8*台数入力!BB$5</f>
        <v>0</v>
      </c>
      <c r="BC8">
        <f>CSV!BC8*台数入力!BC$5</f>
        <v>0</v>
      </c>
      <c r="BD8">
        <f>CSV!BD8*台数入力!BD$5</f>
        <v>0</v>
      </c>
      <c r="BE8">
        <f>CSV!BE8*台数入力!BE$5</f>
        <v>0</v>
      </c>
      <c r="BF8">
        <f>CSV!BF8*台数入力!BF$5</f>
        <v>0</v>
      </c>
      <c r="BG8">
        <f>CSV!BG8*台数入力!BG$5</f>
        <v>0</v>
      </c>
      <c r="BH8">
        <f>CSV!BH8*台数入力!BH$5</f>
        <v>0</v>
      </c>
      <c r="BI8">
        <f>CSV!BI8*台数入力!BI$5</f>
        <v>0</v>
      </c>
      <c r="BJ8">
        <f>CSV!BJ8*台数入力!BJ$5</f>
        <v>0</v>
      </c>
      <c r="BK8">
        <f>CSV!BK8*台数入力!BK$5</f>
        <v>0</v>
      </c>
      <c r="BL8">
        <f>CSV!BL8*台数入力!BL$5</f>
        <v>0</v>
      </c>
      <c r="BM8">
        <f>CSV!BM8*台数入力!BM$5</f>
        <v>0</v>
      </c>
      <c r="BN8">
        <f>CSV!BN8*台数入力!BN$5</f>
        <v>0</v>
      </c>
      <c r="BO8">
        <f>CSV!BO8*台数入力!BO$5</f>
        <v>0</v>
      </c>
      <c r="BP8">
        <f>CSV!BP8*台数入力!BP$5</f>
        <v>0</v>
      </c>
      <c r="BQ8">
        <f>CSV!BQ8*台数入力!BQ$5</f>
        <v>0</v>
      </c>
      <c r="BR8">
        <f>CSV!BR8*台数入力!BR$5</f>
        <v>0</v>
      </c>
    </row>
    <row r="9" spans="1:70" x14ac:dyDescent="0.55000000000000004">
      <c r="B9" t="str">
        <f>CSV!B9</f>
        <v>NPM-7</v>
      </c>
      <c r="C9">
        <f>CSV!C9</f>
        <v>2</v>
      </c>
      <c r="D9">
        <f>CSV!D9</f>
        <v>141007</v>
      </c>
      <c r="F9">
        <f>CSV!F9</f>
        <v>0</v>
      </c>
      <c r="I9">
        <f>CSV!I9*台数入力!I$5</f>
        <v>0</v>
      </c>
      <c r="J9">
        <f>CSV!J9*台数入力!J$5</f>
        <v>0</v>
      </c>
      <c r="K9">
        <f>CSV!K9*台数入力!K$5</f>
        <v>0</v>
      </c>
      <c r="L9">
        <f>CSV!L9*台数入力!L$5</f>
        <v>0</v>
      </c>
      <c r="M9">
        <f>CSV!M9*台数入力!M$5</f>
        <v>0</v>
      </c>
      <c r="N9">
        <f>CSV!N9*台数入力!N$5</f>
        <v>0</v>
      </c>
      <c r="O9">
        <f>CSV!O9*台数入力!O$5</f>
        <v>0</v>
      </c>
      <c r="P9">
        <f>CSV!P9*台数入力!P$5</f>
        <v>0</v>
      </c>
      <c r="Q9">
        <f>CSV!Q9*台数入力!Q$5</f>
        <v>0</v>
      </c>
      <c r="R9">
        <f>CSV!R9*台数入力!R$5</f>
        <v>0</v>
      </c>
      <c r="S9">
        <f>CSV!S9*台数入力!S$5</f>
        <v>0</v>
      </c>
      <c r="T9">
        <f>CSV!T9*台数入力!T$5</f>
        <v>0</v>
      </c>
      <c r="U9">
        <f>CSV!U9*台数入力!U$5</f>
        <v>0</v>
      </c>
      <c r="V9">
        <f>CSV!V9*台数入力!V$5</f>
        <v>0</v>
      </c>
      <c r="W9">
        <f>CSV!W9*台数入力!W$5</f>
        <v>0</v>
      </c>
      <c r="X9">
        <f>CSV!X9*台数入力!X$5</f>
        <v>0</v>
      </c>
      <c r="Y9">
        <f>CSV!Y9*台数入力!Y$5</f>
        <v>0</v>
      </c>
      <c r="Z9">
        <f>CSV!Z9*台数入力!Z$5</f>
        <v>0</v>
      </c>
      <c r="AA9">
        <f>CSV!AA9*台数入力!AA$5</f>
        <v>0</v>
      </c>
      <c r="AB9">
        <f>CSV!AB9*台数入力!AB$5</f>
        <v>0</v>
      </c>
      <c r="AC9">
        <f>CSV!AC9*台数入力!AC$5</f>
        <v>0</v>
      </c>
      <c r="AD9">
        <f>CSV!AD9*台数入力!AD$5</f>
        <v>0</v>
      </c>
      <c r="AE9">
        <f>CSV!AE9*台数入力!AE$5</f>
        <v>0</v>
      </c>
      <c r="AF9">
        <f>CSV!AF9*台数入力!AF$5</f>
        <v>0</v>
      </c>
      <c r="AG9">
        <f>CSV!AG9*台数入力!AG$5</f>
        <v>0</v>
      </c>
      <c r="AH9">
        <f>CSV!AH9*台数入力!AH$5</f>
        <v>0</v>
      </c>
      <c r="AI9">
        <f>CSV!AI9*台数入力!AI$5</f>
        <v>0</v>
      </c>
      <c r="AJ9">
        <f>CSV!AJ9*台数入力!AJ$5</f>
        <v>0</v>
      </c>
      <c r="AK9">
        <f>CSV!AK9*台数入力!AK$5</f>
        <v>0</v>
      </c>
      <c r="AL9">
        <f>CSV!AL9*台数入力!AL$5</f>
        <v>0</v>
      </c>
      <c r="AM9">
        <f>CSV!AM9*台数入力!AM$5</f>
        <v>0</v>
      </c>
      <c r="AN9">
        <f>CSV!AN9*台数入力!AN$5</f>
        <v>0</v>
      </c>
      <c r="AO9">
        <f>CSV!AO9*台数入力!AO$5</f>
        <v>0</v>
      </c>
      <c r="AP9">
        <f>CSV!AP9*台数入力!AP$5</f>
        <v>0</v>
      </c>
      <c r="AQ9">
        <f>CSV!AQ9*台数入力!AQ$5</f>
        <v>0</v>
      </c>
      <c r="AR9">
        <f>CSV!AR9*台数入力!AR$5</f>
        <v>0</v>
      </c>
      <c r="AS9">
        <f>CSV!AS9*台数入力!AS$5</f>
        <v>0</v>
      </c>
      <c r="AT9">
        <f>CSV!AT9*台数入力!AT$5</f>
        <v>0</v>
      </c>
      <c r="AU9">
        <f>CSV!AU9*台数入力!AU$5</f>
        <v>0</v>
      </c>
      <c r="AV9">
        <f>CSV!AV9*台数入力!AV$5</f>
        <v>0</v>
      </c>
      <c r="AW9">
        <f>CSV!AW9*台数入力!AW$5</f>
        <v>0</v>
      </c>
      <c r="AX9">
        <f>CSV!AX9*台数入力!AX$5</f>
        <v>0</v>
      </c>
      <c r="AY9">
        <f>CSV!AY9*台数入力!AY$5</f>
        <v>0</v>
      </c>
      <c r="AZ9">
        <f>CSV!AZ9*台数入力!AZ$5</f>
        <v>0</v>
      </c>
      <c r="BA9">
        <f>CSV!BA9*台数入力!BA$5</f>
        <v>0</v>
      </c>
      <c r="BB9">
        <f>CSV!BB9*台数入力!BB$5</f>
        <v>0</v>
      </c>
      <c r="BC9">
        <f>CSV!BC9*台数入力!BC$5</f>
        <v>0</v>
      </c>
      <c r="BD9">
        <f>CSV!BD9*台数入力!BD$5</f>
        <v>0</v>
      </c>
      <c r="BE9">
        <f>CSV!BE9*台数入力!BE$5</f>
        <v>0</v>
      </c>
      <c r="BF9">
        <f>CSV!BF9*台数入力!BF$5</f>
        <v>0</v>
      </c>
      <c r="BG9">
        <f>CSV!BG9*台数入力!BG$5</f>
        <v>0</v>
      </c>
      <c r="BH9">
        <f>CSV!BH9*台数入力!BH$5</f>
        <v>0</v>
      </c>
      <c r="BI9">
        <f>CSV!BI9*台数入力!BI$5</f>
        <v>0</v>
      </c>
      <c r="BJ9">
        <f>CSV!BJ9*台数入力!BJ$5</f>
        <v>0</v>
      </c>
      <c r="BK9">
        <f>CSV!BK9*台数入力!BK$5</f>
        <v>0</v>
      </c>
      <c r="BL9">
        <f>CSV!BL9*台数入力!BL$5</f>
        <v>0</v>
      </c>
      <c r="BM9">
        <f>CSV!BM9*台数入力!BM$5</f>
        <v>0</v>
      </c>
      <c r="BN9">
        <f>CSV!BN9*台数入力!BN$5</f>
        <v>0</v>
      </c>
      <c r="BO9">
        <f>CSV!BO9*台数入力!BO$5</f>
        <v>0</v>
      </c>
      <c r="BP9">
        <f>CSV!BP9*台数入力!BP$5</f>
        <v>0</v>
      </c>
      <c r="BQ9">
        <f>CSV!BQ9*台数入力!BQ$5</f>
        <v>0</v>
      </c>
      <c r="BR9">
        <f>CSV!BR9*台数入力!BR$5</f>
        <v>0</v>
      </c>
    </row>
    <row r="10" spans="1:70" x14ac:dyDescent="0.55000000000000004">
      <c r="B10" t="str">
        <f>CSV!B10</f>
        <v>NPM-7</v>
      </c>
      <c r="C10">
        <f>CSV!C10</f>
        <v>2</v>
      </c>
      <c r="D10">
        <f>CSV!D10</f>
        <v>141008</v>
      </c>
      <c r="F10">
        <f>CSV!F10</f>
        <v>0</v>
      </c>
      <c r="I10">
        <f>CSV!I10*台数入力!I$5</f>
        <v>0</v>
      </c>
      <c r="J10">
        <f>CSV!J10*台数入力!J$5</f>
        <v>0</v>
      </c>
      <c r="K10">
        <f>CSV!K10*台数入力!K$5</f>
        <v>0</v>
      </c>
      <c r="L10">
        <f>CSV!L10*台数入力!L$5</f>
        <v>0</v>
      </c>
      <c r="M10">
        <f>CSV!M10*台数入力!M$5</f>
        <v>0</v>
      </c>
      <c r="N10">
        <f>CSV!N10*台数入力!N$5</f>
        <v>0</v>
      </c>
      <c r="O10">
        <f>CSV!O10*台数入力!O$5</f>
        <v>0</v>
      </c>
      <c r="P10">
        <f>CSV!P10*台数入力!P$5</f>
        <v>0</v>
      </c>
      <c r="Q10">
        <f>CSV!Q10*台数入力!Q$5</f>
        <v>0</v>
      </c>
      <c r="R10">
        <f>CSV!R10*台数入力!R$5</f>
        <v>0</v>
      </c>
      <c r="S10">
        <f>CSV!S10*台数入力!S$5</f>
        <v>0</v>
      </c>
      <c r="T10">
        <f>CSV!T10*台数入力!T$5</f>
        <v>0</v>
      </c>
      <c r="U10">
        <f>CSV!U10*台数入力!U$5</f>
        <v>0</v>
      </c>
      <c r="V10">
        <f>CSV!V10*台数入力!V$5</f>
        <v>0</v>
      </c>
      <c r="W10">
        <f>CSV!W10*台数入力!W$5</f>
        <v>0</v>
      </c>
      <c r="X10">
        <f>CSV!X10*台数入力!X$5</f>
        <v>0</v>
      </c>
      <c r="Y10">
        <f>CSV!Y10*台数入力!Y$5</f>
        <v>0</v>
      </c>
      <c r="Z10">
        <f>CSV!Z10*台数入力!Z$5</f>
        <v>0</v>
      </c>
      <c r="AA10">
        <f>CSV!AA10*台数入力!AA$5</f>
        <v>0</v>
      </c>
      <c r="AB10">
        <f>CSV!AB10*台数入力!AB$5</f>
        <v>0</v>
      </c>
      <c r="AC10">
        <f>CSV!AC10*台数入力!AC$5</f>
        <v>0</v>
      </c>
      <c r="AD10">
        <f>CSV!AD10*台数入力!AD$5</f>
        <v>0</v>
      </c>
      <c r="AE10">
        <f>CSV!AE10*台数入力!AE$5</f>
        <v>0</v>
      </c>
      <c r="AF10">
        <f>CSV!AF10*台数入力!AF$5</f>
        <v>0</v>
      </c>
      <c r="AG10">
        <f>CSV!AG10*台数入力!AG$5</f>
        <v>0</v>
      </c>
      <c r="AH10">
        <f>CSV!AH10*台数入力!AH$5</f>
        <v>0</v>
      </c>
      <c r="AI10">
        <f>CSV!AI10*台数入力!AI$5</f>
        <v>0</v>
      </c>
      <c r="AJ10">
        <f>CSV!AJ10*台数入力!AJ$5</f>
        <v>0</v>
      </c>
      <c r="AK10">
        <f>CSV!AK10*台数入力!AK$5</f>
        <v>0</v>
      </c>
      <c r="AL10">
        <f>CSV!AL10*台数入力!AL$5</f>
        <v>0</v>
      </c>
      <c r="AM10">
        <f>CSV!AM10*台数入力!AM$5</f>
        <v>0</v>
      </c>
      <c r="AN10">
        <f>CSV!AN10*台数入力!AN$5</f>
        <v>0</v>
      </c>
      <c r="AO10">
        <f>CSV!AO10*台数入力!AO$5</f>
        <v>0</v>
      </c>
      <c r="AP10">
        <f>CSV!AP10*台数入力!AP$5</f>
        <v>0</v>
      </c>
      <c r="AQ10">
        <f>CSV!AQ10*台数入力!AQ$5</f>
        <v>0</v>
      </c>
      <c r="AR10">
        <f>CSV!AR10*台数入力!AR$5</f>
        <v>0</v>
      </c>
      <c r="AS10">
        <f>CSV!AS10*台数入力!AS$5</f>
        <v>0</v>
      </c>
      <c r="AT10">
        <f>CSV!AT10*台数入力!AT$5</f>
        <v>0</v>
      </c>
      <c r="AU10">
        <f>CSV!AU10*台数入力!AU$5</f>
        <v>0</v>
      </c>
      <c r="AV10">
        <f>CSV!AV10*台数入力!AV$5</f>
        <v>0</v>
      </c>
      <c r="AW10">
        <f>CSV!AW10*台数入力!AW$5</f>
        <v>0</v>
      </c>
      <c r="AX10">
        <f>CSV!AX10*台数入力!AX$5</f>
        <v>0</v>
      </c>
      <c r="AY10">
        <f>CSV!AY10*台数入力!AY$5</f>
        <v>0</v>
      </c>
      <c r="AZ10">
        <f>CSV!AZ10*台数入力!AZ$5</f>
        <v>0</v>
      </c>
      <c r="BA10">
        <f>CSV!BA10*台数入力!BA$5</f>
        <v>0</v>
      </c>
      <c r="BB10">
        <f>CSV!BB10*台数入力!BB$5</f>
        <v>0</v>
      </c>
      <c r="BC10">
        <f>CSV!BC10*台数入力!BC$5</f>
        <v>0</v>
      </c>
      <c r="BD10">
        <f>CSV!BD10*台数入力!BD$5</f>
        <v>0</v>
      </c>
      <c r="BE10">
        <f>CSV!BE10*台数入力!BE$5</f>
        <v>0</v>
      </c>
      <c r="BF10">
        <f>CSV!BF10*台数入力!BF$5</f>
        <v>0</v>
      </c>
      <c r="BG10">
        <f>CSV!BG10*台数入力!BG$5</f>
        <v>0</v>
      </c>
      <c r="BH10">
        <f>CSV!BH10*台数入力!BH$5</f>
        <v>0</v>
      </c>
      <c r="BI10">
        <f>CSV!BI10*台数入力!BI$5</f>
        <v>0</v>
      </c>
      <c r="BJ10">
        <f>CSV!BJ10*台数入力!BJ$5</f>
        <v>0</v>
      </c>
      <c r="BK10">
        <f>CSV!BK10*台数入力!BK$5</f>
        <v>0</v>
      </c>
      <c r="BL10">
        <f>CSV!BL10*台数入力!BL$5</f>
        <v>0</v>
      </c>
      <c r="BM10">
        <f>CSV!BM10*台数入力!BM$5</f>
        <v>0</v>
      </c>
      <c r="BN10">
        <f>CSV!BN10*台数入力!BN$5</f>
        <v>0</v>
      </c>
      <c r="BO10">
        <f>CSV!BO10*台数入力!BO$5</f>
        <v>0</v>
      </c>
      <c r="BP10">
        <f>CSV!BP10*台数入力!BP$5</f>
        <v>0</v>
      </c>
      <c r="BQ10">
        <f>CSV!BQ10*台数入力!BQ$5</f>
        <v>0</v>
      </c>
      <c r="BR10">
        <f>CSV!BR10*台数入力!BR$5</f>
        <v>0</v>
      </c>
    </row>
    <row r="11" spans="1:70" x14ac:dyDescent="0.55000000000000004">
      <c r="B11" t="str">
        <f>CSV!B11</f>
        <v>NPM-7</v>
      </c>
      <c r="C11">
        <f>CSV!C11</f>
        <v>2</v>
      </c>
      <c r="D11">
        <f>CSV!D11</f>
        <v>141009</v>
      </c>
      <c r="F11">
        <f>CSV!F11</f>
        <v>0</v>
      </c>
      <c r="I11">
        <f>CSV!I11*台数入力!I$5</f>
        <v>0</v>
      </c>
      <c r="J11">
        <f>CSV!J11*台数入力!J$5</f>
        <v>0</v>
      </c>
      <c r="K11">
        <f>CSV!K11*台数入力!K$5</f>
        <v>0</v>
      </c>
      <c r="L11">
        <f>CSV!L11*台数入力!L$5</f>
        <v>0</v>
      </c>
      <c r="M11">
        <f>CSV!M11*台数入力!M$5</f>
        <v>0</v>
      </c>
      <c r="N11">
        <f>CSV!N11*台数入力!N$5</f>
        <v>0</v>
      </c>
      <c r="O11">
        <f>CSV!O11*台数入力!O$5</f>
        <v>0</v>
      </c>
      <c r="P11">
        <f>CSV!P11*台数入力!P$5</f>
        <v>0</v>
      </c>
      <c r="Q11">
        <f>CSV!Q11*台数入力!Q$5</f>
        <v>0</v>
      </c>
      <c r="R11">
        <f>CSV!R11*台数入力!R$5</f>
        <v>0</v>
      </c>
      <c r="S11">
        <f>CSV!S11*台数入力!S$5</f>
        <v>0</v>
      </c>
      <c r="T11">
        <f>CSV!T11*台数入力!T$5</f>
        <v>0</v>
      </c>
      <c r="U11">
        <f>CSV!U11*台数入力!U$5</f>
        <v>0</v>
      </c>
      <c r="V11">
        <f>CSV!V11*台数入力!V$5</f>
        <v>0</v>
      </c>
      <c r="W11">
        <f>CSV!W11*台数入力!W$5</f>
        <v>0</v>
      </c>
      <c r="X11">
        <f>CSV!X11*台数入力!X$5</f>
        <v>0</v>
      </c>
      <c r="Y11">
        <f>CSV!Y11*台数入力!Y$5</f>
        <v>0</v>
      </c>
      <c r="Z11">
        <f>CSV!Z11*台数入力!Z$5</f>
        <v>0</v>
      </c>
      <c r="AA11">
        <f>CSV!AA11*台数入力!AA$5</f>
        <v>0</v>
      </c>
      <c r="AB11">
        <f>CSV!AB11*台数入力!AB$5</f>
        <v>0</v>
      </c>
      <c r="AC11">
        <f>CSV!AC11*台数入力!AC$5</f>
        <v>0</v>
      </c>
      <c r="AD11">
        <f>CSV!AD11*台数入力!AD$5</f>
        <v>0</v>
      </c>
      <c r="AE11">
        <f>CSV!AE11*台数入力!AE$5</f>
        <v>0</v>
      </c>
      <c r="AF11">
        <f>CSV!AF11*台数入力!AF$5</f>
        <v>0</v>
      </c>
      <c r="AG11">
        <f>CSV!AG11*台数入力!AG$5</f>
        <v>0</v>
      </c>
      <c r="AH11">
        <f>CSV!AH11*台数入力!AH$5</f>
        <v>0</v>
      </c>
      <c r="AI11">
        <f>CSV!AI11*台数入力!AI$5</f>
        <v>0</v>
      </c>
      <c r="AJ11">
        <f>CSV!AJ11*台数入力!AJ$5</f>
        <v>0</v>
      </c>
      <c r="AK11">
        <f>CSV!AK11*台数入力!AK$5</f>
        <v>0</v>
      </c>
      <c r="AL11">
        <f>CSV!AL11*台数入力!AL$5</f>
        <v>0</v>
      </c>
      <c r="AM11">
        <f>CSV!AM11*台数入力!AM$5</f>
        <v>0</v>
      </c>
      <c r="AN11">
        <f>CSV!AN11*台数入力!AN$5</f>
        <v>0</v>
      </c>
      <c r="AO11">
        <f>CSV!AO11*台数入力!AO$5</f>
        <v>0</v>
      </c>
      <c r="AP11">
        <f>CSV!AP11*台数入力!AP$5</f>
        <v>0</v>
      </c>
      <c r="AQ11">
        <f>CSV!AQ11*台数入力!AQ$5</f>
        <v>0</v>
      </c>
      <c r="AR11">
        <f>CSV!AR11*台数入力!AR$5</f>
        <v>0</v>
      </c>
      <c r="AS11">
        <f>CSV!AS11*台数入力!AS$5</f>
        <v>0</v>
      </c>
      <c r="AT11">
        <f>CSV!AT11*台数入力!AT$5</f>
        <v>0</v>
      </c>
      <c r="AU11">
        <f>CSV!AU11*台数入力!AU$5</f>
        <v>0</v>
      </c>
      <c r="AV11">
        <f>CSV!AV11*台数入力!AV$5</f>
        <v>0</v>
      </c>
      <c r="AW11">
        <f>CSV!AW11*台数入力!AW$5</f>
        <v>0</v>
      </c>
      <c r="AX11">
        <f>CSV!AX11*台数入力!AX$5</f>
        <v>0</v>
      </c>
      <c r="AY11">
        <f>CSV!AY11*台数入力!AY$5</f>
        <v>0</v>
      </c>
      <c r="AZ11">
        <f>CSV!AZ11*台数入力!AZ$5</f>
        <v>0</v>
      </c>
      <c r="BA11">
        <f>CSV!BA11*台数入力!BA$5</f>
        <v>0</v>
      </c>
      <c r="BB11">
        <f>CSV!BB11*台数入力!BB$5</f>
        <v>0</v>
      </c>
      <c r="BC11">
        <f>CSV!BC11*台数入力!BC$5</f>
        <v>0</v>
      </c>
      <c r="BD11">
        <f>CSV!BD11*台数入力!BD$5</f>
        <v>0</v>
      </c>
      <c r="BE11">
        <f>CSV!BE11*台数入力!BE$5</f>
        <v>0</v>
      </c>
      <c r="BF11">
        <f>CSV!BF11*台数入力!BF$5</f>
        <v>0</v>
      </c>
      <c r="BG11">
        <f>CSV!BG11*台数入力!BG$5</f>
        <v>0</v>
      </c>
      <c r="BH11">
        <f>CSV!BH11*台数入力!BH$5</f>
        <v>0</v>
      </c>
      <c r="BI11">
        <f>CSV!BI11*台数入力!BI$5</f>
        <v>0</v>
      </c>
      <c r="BJ11">
        <f>CSV!BJ11*台数入力!BJ$5</f>
        <v>0</v>
      </c>
      <c r="BK11">
        <f>CSV!BK11*台数入力!BK$5</f>
        <v>0</v>
      </c>
      <c r="BL11">
        <f>CSV!BL11*台数入力!BL$5</f>
        <v>0</v>
      </c>
      <c r="BM11">
        <f>CSV!BM11*台数入力!BM$5</f>
        <v>0</v>
      </c>
      <c r="BN11">
        <f>CSV!BN11*台数入力!BN$5</f>
        <v>0</v>
      </c>
      <c r="BO11">
        <f>CSV!BO11*台数入力!BO$5</f>
        <v>0</v>
      </c>
      <c r="BP11">
        <f>CSV!BP11*台数入力!BP$5</f>
        <v>0</v>
      </c>
      <c r="BQ11">
        <f>CSV!BQ11*台数入力!BQ$5</f>
        <v>0</v>
      </c>
      <c r="BR11">
        <f>CSV!BR11*台数入力!BR$5</f>
        <v>0</v>
      </c>
    </row>
    <row r="12" spans="1:70" x14ac:dyDescent="0.55000000000000004">
      <c r="B12" t="str">
        <f>CSV!B12</f>
        <v>NPM-7</v>
      </c>
      <c r="C12">
        <f>CSV!C12</f>
        <v>2</v>
      </c>
      <c r="D12">
        <f>CSV!D12</f>
        <v>141010</v>
      </c>
      <c r="F12">
        <f>CSV!F12</f>
        <v>0</v>
      </c>
      <c r="I12">
        <f>CSV!I12*台数入力!I$5</f>
        <v>0</v>
      </c>
      <c r="J12">
        <f>CSV!J12*台数入力!J$5</f>
        <v>0</v>
      </c>
      <c r="K12">
        <f>CSV!K12*台数入力!K$5</f>
        <v>0</v>
      </c>
      <c r="L12">
        <f>CSV!L12*台数入力!L$5</f>
        <v>0</v>
      </c>
      <c r="M12">
        <f>CSV!M12*台数入力!M$5</f>
        <v>0</v>
      </c>
      <c r="N12">
        <f>CSV!N12*台数入力!N$5</f>
        <v>0</v>
      </c>
      <c r="O12">
        <f>CSV!O12*台数入力!O$5</f>
        <v>0</v>
      </c>
      <c r="P12">
        <f>CSV!P12*台数入力!P$5</f>
        <v>0</v>
      </c>
      <c r="Q12">
        <f>CSV!Q12*台数入力!Q$5</f>
        <v>0</v>
      </c>
      <c r="R12">
        <f>CSV!R12*台数入力!R$5</f>
        <v>0</v>
      </c>
      <c r="S12">
        <f>CSV!S12*台数入力!S$5</f>
        <v>0</v>
      </c>
      <c r="T12">
        <f>CSV!T12*台数入力!T$5</f>
        <v>0</v>
      </c>
      <c r="U12">
        <f>CSV!U12*台数入力!U$5</f>
        <v>0</v>
      </c>
      <c r="V12">
        <f>CSV!V12*台数入力!V$5</f>
        <v>0</v>
      </c>
      <c r="W12">
        <f>CSV!W12*台数入力!W$5</f>
        <v>0</v>
      </c>
      <c r="X12">
        <f>CSV!X12*台数入力!X$5</f>
        <v>0</v>
      </c>
      <c r="Y12">
        <f>CSV!Y12*台数入力!Y$5</f>
        <v>0</v>
      </c>
      <c r="Z12">
        <f>CSV!Z12*台数入力!Z$5</f>
        <v>0</v>
      </c>
      <c r="AA12">
        <f>CSV!AA12*台数入力!AA$5</f>
        <v>0</v>
      </c>
      <c r="AB12">
        <f>CSV!AB12*台数入力!AB$5</f>
        <v>0</v>
      </c>
      <c r="AC12">
        <f>CSV!AC12*台数入力!AC$5</f>
        <v>0</v>
      </c>
      <c r="AD12">
        <f>CSV!AD12*台数入力!AD$5</f>
        <v>0</v>
      </c>
      <c r="AE12">
        <f>CSV!AE12*台数入力!AE$5</f>
        <v>0</v>
      </c>
      <c r="AF12">
        <f>CSV!AF12*台数入力!AF$5</f>
        <v>0</v>
      </c>
      <c r="AG12">
        <f>CSV!AG12*台数入力!AG$5</f>
        <v>0</v>
      </c>
      <c r="AH12">
        <f>CSV!AH12*台数入力!AH$5</f>
        <v>0</v>
      </c>
      <c r="AI12">
        <f>CSV!AI12*台数入力!AI$5</f>
        <v>0</v>
      </c>
      <c r="AJ12">
        <f>CSV!AJ12*台数入力!AJ$5</f>
        <v>0</v>
      </c>
      <c r="AK12">
        <f>CSV!AK12*台数入力!AK$5</f>
        <v>0</v>
      </c>
      <c r="AL12">
        <f>CSV!AL12*台数入力!AL$5</f>
        <v>0</v>
      </c>
      <c r="AM12">
        <f>CSV!AM12*台数入力!AM$5</f>
        <v>0</v>
      </c>
      <c r="AN12">
        <f>CSV!AN12*台数入力!AN$5</f>
        <v>0</v>
      </c>
      <c r="AO12">
        <f>CSV!AO12*台数入力!AO$5</f>
        <v>0</v>
      </c>
      <c r="AP12">
        <f>CSV!AP12*台数入力!AP$5</f>
        <v>0</v>
      </c>
      <c r="AQ12">
        <f>CSV!AQ12*台数入力!AQ$5</f>
        <v>0</v>
      </c>
      <c r="AR12">
        <f>CSV!AR12*台数入力!AR$5</f>
        <v>0</v>
      </c>
      <c r="AS12">
        <f>CSV!AS12*台数入力!AS$5</f>
        <v>0</v>
      </c>
      <c r="AT12">
        <f>CSV!AT12*台数入力!AT$5</f>
        <v>0</v>
      </c>
      <c r="AU12">
        <f>CSV!AU12*台数入力!AU$5</f>
        <v>0</v>
      </c>
      <c r="AV12">
        <f>CSV!AV12*台数入力!AV$5</f>
        <v>0</v>
      </c>
      <c r="AW12">
        <f>CSV!AW12*台数入力!AW$5</f>
        <v>0</v>
      </c>
      <c r="AX12">
        <f>CSV!AX12*台数入力!AX$5</f>
        <v>0</v>
      </c>
      <c r="AY12">
        <f>CSV!AY12*台数入力!AY$5</f>
        <v>0</v>
      </c>
      <c r="AZ12">
        <f>CSV!AZ12*台数入力!AZ$5</f>
        <v>0</v>
      </c>
      <c r="BA12">
        <f>CSV!BA12*台数入力!BA$5</f>
        <v>0</v>
      </c>
      <c r="BB12">
        <f>CSV!BB12*台数入力!BB$5</f>
        <v>0</v>
      </c>
      <c r="BC12">
        <f>CSV!BC12*台数入力!BC$5</f>
        <v>0</v>
      </c>
      <c r="BD12">
        <f>CSV!BD12*台数入力!BD$5</f>
        <v>0</v>
      </c>
      <c r="BE12">
        <f>CSV!BE12*台数入力!BE$5</f>
        <v>0</v>
      </c>
      <c r="BF12">
        <f>CSV!BF12*台数入力!BF$5</f>
        <v>0</v>
      </c>
      <c r="BG12">
        <f>CSV!BG12*台数入力!BG$5</f>
        <v>0</v>
      </c>
      <c r="BH12">
        <f>CSV!BH12*台数入力!BH$5</f>
        <v>0</v>
      </c>
      <c r="BI12">
        <f>CSV!BI12*台数入力!BI$5</f>
        <v>0</v>
      </c>
      <c r="BJ12">
        <f>CSV!BJ12*台数入力!BJ$5</f>
        <v>0</v>
      </c>
      <c r="BK12">
        <f>CSV!BK12*台数入力!BK$5</f>
        <v>0</v>
      </c>
      <c r="BL12">
        <f>CSV!BL12*台数入力!BL$5</f>
        <v>0</v>
      </c>
      <c r="BM12">
        <f>CSV!BM12*台数入力!BM$5</f>
        <v>0</v>
      </c>
      <c r="BN12">
        <f>CSV!BN12*台数入力!BN$5</f>
        <v>0</v>
      </c>
      <c r="BO12">
        <f>CSV!BO12*台数入力!BO$5</f>
        <v>0</v>
      </c>
      <c r="BP12">
        <f>CSV!BP12*台数入力!BP$5</f>
        <v>0</v>
      </c>
      <c r="BQ12">
        <f>CSV!BQ12*台数入力!BQ$5</f>
        <v>0</v>
      </c>
      <c r="BR12">
        <f>CSV!BR12*台数入力!BR$5</f>
        <v>0</v>
      </c>
    </row>
    <row r="13" spans="1:70" x14ac:dyDescent="0.55000000000000004">
      <c r="B13" t="str">
        <f>CSV!B13</f>
        <v>NPM-7</v>
      </c>
      <c r="C13">
        <f>CSV!C13</f>
        <v>2</v>
      </c>
      <c r="D13">
        <f>CSV!D13</f>
        <v>141011</v>
      </c>
      <c r="F13">
        <f>CSV!F13</f>
        <v>0</v>
      </c>
      <c r="I13">
        <f>CSV!I13*台数入力!I$5</f>
        <v>0</v>
      </c>
      <c r="J13">
        <f>CSV!J13*台数入力!J$5</f>
        <v>0</v>
      </c>
      <c r="K13">
        <f>CSV!K13*台数入力!K$5</f>
        <v>0</v>
      </c>
      <c r="L13">
        <f>CSV!L13*台数入力!L$5</f>
        <v>0</v>
      </c>
      <c r="M13">
        <f>CSV!M13*台数入力!M$5</f>
        <v>0</v>
      </c>
      <c r="N13">
        <f>CSV!N13*台数入力!N$5</f>
        <v>0</v>
      </c>
      <c r="O13">
        <f>CSV!O13*台数入力!O$5</f>
        <v>0</v>
      </c>
      <c r="P13">
        <f>CSV!P13*台数入力!P$5</f>
        <v>0</v>
      </c>
      <c r="Q13">
        <f>CSV!Q13*台数入力!Q$5</f>
        <v>0</v>
      </c>
      <c r="R13">
        <f>CSV!R13*台数入力!R$5</f>
        <v>0</v>
      </c>
      <c r="S13">
        <f>CSV!S13*台数入力!S$5</f>
        <v>0</v>
      </c>
      <c r="T13">
        <f>CSV!T13*台数入力!T$5</f>
        <v>0</v>
      </c>
      <c r="U13">
        <f>CSV!U13*台数入力!U$5</f>
        <v>0</v>
      </c>
      <c r="V13">
        <f>CSV!V13*台数入力!V$5</f>
        <v>0</v>
      </c>
      <c r="W13">
        <f>CSV!W13*台数入力!W$5</f>
        <v>0</v>
      </c>
      <c r="X13">
        <f>CSV!X13*台数入力!X$5</f>
        <v>0</v>
      </c>
      <c r="Y13">
        <f>CSV!Y13*台数入力!Y$5</f>
        <v>0</v>
      </c>
      <c r="Z13">
        <f>CSV!Z13*台数入力!Z$5</f>
        <v>0</v>
      </c>
      <c r="AA13">
        <f>CSV!AA13*台数入力!AA$5</f>
        <v>0</v>
      </c>
      <c r="AB13">
        <f>CSV!AB13*台数入力!AB$5</f>
        <v>0</v>
      </c>
      <c r="AC13">
        <f>CSV!AC13*台数入力!AC$5</f>
        <v>0</v>
      </c>
      <c r="AD13">
        <f>CSV!AD13*台数入力!AD$5</f>
        <v>0</v>
      </c>
      <c r="AE13">
        <f>CSV!AE13*台数入力!AE$5</f>
        <v>0</v>
      </c>
      <c r="AF13">
        <f>CSV!AF13*台数入力!AF$5</f>
        <v>0</v>
      </c>
      <c r="AG13">
        <f>CSV!AG13*台数入力!AG$5</f>
        <v>0</v>
      </c>
      <c r="AH13">
        <f>CSV!AH13*台数入力!AH$5</f>
        <v>0</v>
      </c>
      <c r="AI13">
        <f>CSV!AI13*台数入力!AI$5</f>
        <v>0</v>
      </c>
      <c r="AJ13">
        <f>CSV!AJ13*台数入力!AJ$5</f>
        <v>0</v>
      </c>
      <c r="AK13">
        <f>CSV!AK13*台数入力!AK$5</f>
        <v>0</v>
      </c>
      <c r="AL13">
        <f>CSV!AL13*台数入力!AL$5</f>
        <v>0</v>
      </c>
      <c r="AM13">
        <f>CSV!AM13*台数入力!AM$5</f>
        <v>0</v>
      </c>
      <c r="AN13">
        <f>CSV!AN13*台数入力!AN$5</f>
        <v>0</v>
      </c>
      <c r="AO13">
        <f>CSV!AO13*台数入力!AO$5</f>
        <v>0</v>
      </c>
      <c r="AP13">
        <f>CSV!AP13*台数入力!AP$5</f>
        <v>0</v>
      </c>
      <c r="AQ13">
        <f>CSV!AQ13*台数入力!AQ$5</f>
        <v>0</v>
      </c>
      <c r="AR13">
        <f>CSV!AR13*台数入力!AR$5</f>
        <v>0</v>
      </c>
      <c r="AS13">
        <f>CSV!AS13*台数入力!AS$5</f>
        <v>0</v>
      </c>
      <c r="AT13">
        <f>CSV!AT13*台数入力!AT$5</f>
        <v>0</v>
      </c>
      <c r="AU13">
        <f>CSV!AU13*台数入力!AU$5</f>
        <v>0</v>
      </c>
      <c r="AV13">
        <f>CSV!AV13*台数入力!AV$5</f>
        <v>0</v>
      </c>
      <c r="AW13">
        <f>CSV!AW13*台数入力!AW$5</f>
        <v>0</v>
      </c>
      <c r="AX13">
        <f>CSV!AX13*台数入力!AX$5</f>
        <v>0</v>
      </c>
      <c r="AY13">
        <f>CSV!AY13*台数入力!AY$5</f>
        <v>0</v>
      </c>
      <c r="AZ13">
        <f>CSV!AZ13*台数入力!AZ$5</f>
        <v>0</v>
      </c>
      <c r="BA13">
        <f>CSV!BA13*台数入力!BA$5</f>
        <v>0</v>
      </c>
      <c r="BB13">
        <f>CSV!BB13*台数入力!BB$5</f>
        <v>0</v>
      </c>
      <c r="BC13">
        <f>CSV!BC13*台数入力!BC$5</f>
        <v>0</v>
      </c>
      <c r="BD13">
        <f>CSV!BD13*台数入力!BD$5</f>
        <v>0</v>
      </c>
      <c r="BE13">
        <f>CSV!BE13*台数入力!BE$5</f>
        <v>0</v>
      </c>
      <c r="BF13">
        <f>CSV!BF13*台数入力!BF$5</f>
        <v>0</v>
      </c>
      <c r="BG13">
        <f>CSV!BG13*台数入力!BG$5</f>
        <v>0</v>
      </c>
      <c r="BH13">
        <f>CSV!BH13*台数入力!BH$5</f>
        <v>0</v>
      </c>
      <c r="BI13">
        <f>CSV!BI13*台数入力!BI$5</f>
        <v>0</v>
      </c>
      <c r="BJ13">
        <f>CSV!BJ13*台数入力!BJ$5</f>
        <v>0</v>
      </c>
      <c r="BK13">
        <f>CSV!BK13*台数入力!BK$5</f>
        <v>0</v>
      </c>
      <c r="BL13">
        <f>CSV!BL13*台数入力!BL$5</f>
        <v>0</v>
      </c>
      <c r="BM13">
        <f>CSV!BM13*台数入力!BM$5</f>
        <v>0</v>
      </c>
      <c r="BN13">
        <f>CSV!BN13*台数入力!BN$5</f>
        <v>0</v>
      </c>
      <c r="BO13">
        <f>CSV!BO13*台数入力!BO$5</f>
        <v>0</v>
      </c>
      <c r="BP13">
        <f>CSV!BP13*台数入力!BP$5</f>
        <v>0</v>
      </c>
      <c r="BQ13">
        <f>CSV!BQ13*台数入力!BQ$5</f>
        <v>0</v>
      </c>
      <c r="BR13">
        <f>CSV!BR13*台数入力!BR$5</f>
        <v>0</v>
      </c>
    </row>
    <row r="14" spans="1:70" x14ac:dyDescent="0.55000000000000004">
      <c r="B14" t="str">
        <f>CSV!B14</f>
        <v>NPM-7</v>
      </c>
      <c r="C14">
        <f>CSV!C14</f>
        <v>2</v>
      </c>
      <c r="D14">
        <f>CSV!D14</f>
        <v>141012</v>
      </c>
      <c r="F14">
        <f>CSV!F14</f>
        <v>0</v>
      </c>
      <c r="I14">
        <f>CSV!I14*台数入力!I$5</f>
        <v>0</v>
      </c>
      <c r="J14">
        <f>CSV!J14*台数入力!J$5</f>
        <v>0</v>
      </c>
      <c r="K14">
        <f>CSV!K14*台数入力!K$5</f>
        <v>0</v>
      </c>
      <c r="L14">
        <f>CSV!L14*台数入力!L$5</f>
        <v>0</v>
      </c>
      <c r="M14">
        <f>CSV!M14*台数入力!M$5</f>
        <v>0</v>
      </c>
      <c r="N14">
        <f>CSV!N14*台数入力!N$5</f>
        <v>0</v>
      </c>
      <c r="O14">
        <f>CSV!O14*台数入力!O$5</f>
        <v>0</v>
      </c>
      <c r="P14">
        <f>CSV!P14*台数入力!P$5</f>
        <v>0</v>
      </c>
      <c r="Q14">
        <f>CSV!Q14*台数入力!Q$5</f>
        <v>0</v>
      </c>
      <c r="R14">
        <f>CSV!R14*台数入力!R$5</f>
        <v>0</v>
      </c>
      <c r="S14">
        <f>CSV!S14*台数入力!S$5</f>
        <v>0</v>
      </c>
      <c r="T14">
        <f>CSV!T14*台数入力!T$5</f>
        <v>0</v>
      </c>
      <c r="U14">
        <f>CSV!U14*台数入力!U$5</f>
        <v>0</v>
      </c>
      <c r="V14">
        <f>CSV!V14*台数入力!V$5</f>
        <v>0</v>
      </c>
      <c r="W14">
        <f>CSV!W14*台数入力!W$5</f>
        <v>0</v>
      </c>
      <c r="X14">
        <f>CSV!X14*台数入力!X$5</f>
        <v>0</v>
      </c>
      <c r="Y14">
        <f>CSV!Y14*台数入力!Y$5</f>
        <v>0</v>
      </c>
      <c r="Z14">
        <f>CSV!Z14*台数入力!Z$5</f>
        <v>0</v>
      </c>
      <c r="AA14">
        <f>CSV!AA14*台数入力!AA$5</f>
        <v>0</v>
      </c>
      <c r="AB14">
        <f>CSV!AB14*台数入力!AB$5</f>
        <v>0</v>
      </c>
      <c r="AC14">
        <f>CSV!AC14*台数入力!AC$5</f>
        <v>0</v>
      </c>
      <c r="AD14">
        <f>CSV!AD14*台数入力!AD$5</f>
        <v>0</v>
      </c>
      <c r="AE14">
        <f>CSV!AE14*台数入力!AE$5</f>
        <v>0</v>
      </c>
      <c r="AF14">
        <f>CSV!AF14*台数入力!AF$5</f>
        <v>0</v>
      </c>
      <c r="AG14">
        <f>CSV!AG14*台数入力!AG$5</f>
        <v>0</v>
      </c>
      <c r="AH14">
        <f>CSV!AH14*台数入力!AH$5</f>
        <v>0</v>
      </c>
      <c r="AI14">
        <f>CSV!AI14*台数入力!AI$5</f>
        <v>0</v>
      </c>
      <c r="AJ14">
        <f>CSV!AJ14*台数入力!AJ$5</f>
        <v>0</v>
      </c>
      <c r="AK14">
        <f>CSV!AK14*台数入力!AK$5</f>
        <v>0</v>
      </c>
      <c r="AL14">
        <f>CSV!AL14*台数入力!AL$5</f>
        <v>0</v>
      </c>
      <c r="AM14">
        <f>CSV!AM14*台数入力!AM$5</f>
        <v>0</v>
      </c>
      <c r="AN14">
        <f>CSV!AN14*台数入力!AN$5</f>
        <v>0</v>
      </c>
      <c r="AO14">
        <f>CSV!AO14*台数入力!AO$5</f>
        <v>0</v>
      </c>
      <c r="AP14">
        <f>CSV!AP14*台数入力!AP$5</f>
        <v>0</v>
      </c>
      <c r="AQ14">
        <f>CSV!AQ14*台数入力!AQ$5</f>
        <v>0</v>
      </c>
      <c r="AR14">
        <f>CSV!AR14*台数入力!AR$5</f>
        <v>0</v>
      </c>
      <c r="AS14">
        <f>CSV!AS14*台数入力!AS$5</f>
        <v>0</v>
      </c>
      <c r="AT14">
        <f>CSV!AT14*台数入力!AT$5</f>
        <v>0</v>
      </c>
      <c r="AU14">
        <f>CSV!AU14*台数入力!AU$5</f>
        <v>0</v>
      </c>
      <c r="AV14">
        <f>CSV!AV14*台数入力!AV$5</f>
        <v>0</v>
      </c>
      <c r="AW14">
        <f>CSV!AW14*台数入力!AW$5</f>
        <v>0</v>
      </c>
      <c r="AX14">
        <f>CSV!AX14*台数入力!AX$5</f>
        <v>0</v>
      </c>
      <c r="AY14">
        <f>CSV!AY14*台数入力!AY$5</f>
        <v>0</v>
      </c>
      <c r="AZ14">
        <f>CSV!AZ14*台数入力!AZ$5</f>
        <v>0</v>
      </c>
      <c r="BA14">
        <f>CSV!BA14*台数入力!BA$5</f>
        <v>0</v>
      </c>
      <c r="BB14">
        <f>CSV!BB14*台数入力!BB$5</f>
        <v>0</v>
      </c>
      <c r="BC14">
        <f>CSV!BC14*台数入力!BC$5</f>
        <v>0</v>
      </c>
      <c r="BD14">
        <f>CSV!BD14*台数入力!BD$5</f>
        <v>0</v>
      </c>
      <c r="BE14">
        <f>CSV!BE14*台数入力!BE$5</f>
        <v>0</v>
      </c>
      <c r="BF14">
        <f>CSV!BF14*台数入力!BF$5</f>
        <v>0</v>
      </c>
      <c r="BG14">
        <f>CSV!BG14*台数入力!BG$5</f>
        <v>0</v>
      </c>
      <c r="BH14">
        <f>CSV!BH14*台数入力!BH$5</f>
        <v>0</v>
      </c>
      <c r="BI14">
        <f>CSV!BI14*台数入力!BI$5</f>
        <v>0</v>
      </c>
      <c r="BJ14">
        <f>CSV!BJ14*台数入力!BJ$5</f>
        <v>0</v>
      </c>
      <c r="BK14">
        <f>CSV!BK14*台数入力!BK$5</f>
        <v>0</v>
      </c>
      <c r="BL14">
        <f>CSV!BL14*台数入力!BL$5</f>
        <v>0</v>
      </c>
      <c r="BM14">
        <f>CSV!BM14*台数入力!BM$5</f>
        <v>0</v>
      </c>
      <c r="BN14">
        <f>CSV!BN14*台数入力!BN$5</f>
        <v>0</v>
      </c>
      <c r="BO14">
        <f>CSV!BO14*台数入力!BO$5</f>
        <v>0</v>
      </c>
      <c r="BP14">
        <f>CSV!BP14*台数入力!BP$5</f>
        <v>0</v>
      </c>
      <c r="BQ14">
        <f>CSV!BQ14*台数入力!BQ$5</f>
        <v>0</v>
      </c>
      <c r="BR14">
        <f>CSV!BR14*台数入力!BR$5</f>
        <v>0</v>
      </c>
    </row>
    <row r="15" spans="1:70" x14ac:dyDescent="0.55000000000000004">
      <c r="B15" t="str">
        <f>CSV!B15</f>
        <v>NPM-7</v>
      </c>
      <c r="C15">
        <f>CSV!C15</f>
        <v>2</v>
      </c>
      <c r="D15">
        <f>CSV!D15</f>
        <v>141013</v>
      </c>
      <c r="F15">
        <f>CSV!F15</f>
        <v>0</v>
      </c>
      <c r="I15">
        <f>CSV!I15*台数入力!I$5</f>
        <v>0</v>
      </c>
      <c r="J15">
        <f>CSV!J15*台数入力!J$5</f>
        <v>0</v>
      </c>
      <c r="K15">
        <f>CSV!K15*台数入力!K$5</f>
        <v>0</v>
      </c>
      <c r="L15">
        <f>CSV!L15*台数入力!L$5</f>
        <v>0</v>
      </c>
      <c r="M15">
        <f>CSV!M15*台数入力!M$5</f>
        <v>0</v>
      </c>
      <c r="N15">
        <f>CSV!N15*台数入力!N$5</f>
        <v>0</v>
      </c>
      <c r="O15">
        <f>CSV!O15*台数入力!O$5</f>
        <v>0</v>
      </c>
      <c r="P15">
        <f>CSV!P15*台数入力!P$5</f>
        <v>0</v>
      </c>
      <c r="Q15">
        <f>CSV!Q15*台数入力!Q$5</f>
        <v>0</v>
      </c>
      <c r="R15">
        <f>CSV!R15*台数入力!R$5</f>
        <v>0</v>
      </c>
      <c r="S15">
        <f>CSV!S15*台数入力!S$5</f>
        <v>0</v>
      </c>
      <c r="T15">
        <f>CSV!T15*台数入力!T$5</f>
        <v>0</v>
      </c>
      <c r="U15">
        <f>CSV!U15*台数入力!U$5</f>
        <v>0</v>
      </c>
      <c r="V15">
        <f>CSV!V15*台数入力!V$5</f>
        <v>0</v>
      </c>
      <c r="W15">
        <f>CSV!W15*台数入力!W$5</f>
        <v>0</v>
      </c>
      <c r="X15">
        <f>CSV!X15*台数入力!X$5</f>
        <v>0</v>
      </c>
      <c r="Y15">
        <f>CSV!Y15*台数入力!Y$5</f>
        <v>0</v>
      </c>
      <c r="Z15">
        <f>CSV!Z15*台数入力!Z$5</f>
        <v>0</v>
      </c>
      <c r="AA15">
        <f>CSV!AA15*台数入力!AA$5</f>
        <v>0</v>
      </c>
      <c r="AB15">
        <f>CSV!AB15*台数入力!AB$5</f>
        <v>0</v>
      </c>
      <c r="AC15">
        <f>CSV!AC15*台数入力!AC$5</f>
        <v>0</v>
      </c>
      <c r="AD15">
        <f>CSV!AD15*台数入力!AD$5</f>
        <v>0</v>
      </c>
      <c r="AE15">
        <f>CSV!AE15*台数入力!AE$5</f>
        <v>0</v>
      </c>
      <c r="AF15">
        <f>CSV!AF15*台数入力!AF$5</f>
        <v>0</v>
      </c>
      <c r="AG15">
        <f>CSV!AG15*台数入力!AG$5</f>
        <v>0</v>
      </c>
      <c r="AH15">
        <f>CSV!AH15*台数入力!AH$5</f>
        <v>0</v>
      </c>
      <c r="AI15">
        <f>CSV!AI15*台数入力!AI$5</f>
        <v>0</v>
      </c>
      <c r="AJ15">
        <f>CSV!AJ15*台数入力!AJ$5</f>
        <v>0</v>
      </c>
      <c r="AK15">
        <f>CSV!AK15*台数入力!AK$5</f>
        <v>0</v>
      </c>
      <c r="AL15">
        <f>CSV!AL15*台数入力!AL$5</f>
        <v>0</v>
      </c>
      <c r="AM15">
        <f>CSV!AM15*台数入力!AM$5</f>
        <v>0</v>
      </c>
      <c r="AN15">
        <f>CSV!AN15*台数入力!AN$5</f>
        <v>0</v>
      </c>
      <c r="AO15">
        <f>CSV!AO15*台数入力!AO$5</f>
        <v>0</v>
      </c>
      <c r="AP15">
        <f>CSV!AP15*台数入力!AP$5</f>
        <v>0</v>
      </c>
      <c r="AQ15">
        <f>CSV!AQ15*台数入力!AQ$5</f>
        <v>0</v>
      </c>
      <c r="AR15">
        <f>CSV!AR15*台数入力!AR$5</f>
        <v>0</v>
      </c>
      <c r="AS15">
        <f>CSV!AS15*台数入力!AS$5</f>
        <v>0</v>
      </c>
      <c r="AT15">
        <f>CSV!AT15*台数入力!AT$5</f>
        <v>0</v>
      </c>
      <c r="AU15">
        <f>CSV!AU15*台数入力!AU$5</f>
        <v>0</v>
      </c>
      <c r="AV15">
        <f>CSV!AV15*台数入力!AV$5</f>
        <v>0</v>
      </c>
      <c r="AW15">
        <f>CSV!AW15*台数入力!AW$5</f>
        <v>0</v>
      </c>
      <c r="AX15">
        <f>CSV!AX15*台数入力!AX$5</f>
        <v>0</v>
      </c>
      <c r="AY15">
        <f>CSV!AY15*台数入力!AY$5</f>
        <v>0</v>
      </c>
      <c r="AZ15">
        <f>CSV!AZ15*台数入力!AZ$5</f>
        <v>0</v>
      </c>
      <c r="BA15">
        <f>CSV!BA15*台数入力!BA$5</f>
        <v>0</v>
      </c>
      <c r="BB15">
        <f>CSV!BB15*台数入力!BB$5</f>
        <v>0</v>
      </c>
      <c r="BC15">
        <f>CSV!BC15*台数入力!BC$5</f>
        <v>0</v>
      </c>
      <c r="BD15">
        <f>CSV!BD15*台数入力!BD$5</f>
        <v>0</v>
      </c>
      <c r="BE15">
        <f>CSV!BE15*台数入力!BE$5</f>
        <v>0</v>
      </c>
      <c r="BF15">
        <f>CSV!BF15*台数入力!BF$5</f>
        <v>0</v>
      </c>
      <c r="BG15">
        <f>CSV!BG15*台数入力!BG$5</f>
        <v>0</v>
      </c>
      <c r="BH15">
        <f>CSV!BH15*台数入力!BH$5</f>
        <v>0</v>
      </c>
      <c r="BI15">
        <f>CSV!BI15*台数入力!BI$5</f>
        <v>0</v>
      </c>
      <c r="BJ15">
        <f>CSV!BJ15*台数入力!BJ$5</f>
        <v>0</v>
      </c>
      <c r="BK15">
        <f>CSV!BK15*台数入力!BK$5</f>
        <v>0</v>
      </c>
      <c r="BL15">
        <f>CSV!BL15*台数入力!BL$5</f>
        <v>0</v>
      </c>
      <c r="BM15">
        <f>CSV!BM15*台数入力!BM$5</f>
        <v>0</v>
      </c>
      <c r="BN15">
        <f>CSV!BN15*台数入力!BN$5</f>
        <v>0</v>
      </c>
      <c r="BO15">
        <f>CSV!BO15*台数入力!BO$5</f>
        <v>0</v>
      </c>
      <c r="BP15">
        <f>CSV!BP15*台数入力!BP$5</f>
        <v>0</v>
      </c>
      <c r="BQ15">
        <f>CSV!BQ15*台数入力!BQ$5</f>
        <v>0</v>
      </c>
      <c r="BR15">
        <f>CSV!BR15*台数入力!BR$5</f>
        <v>0</v>
      </c>
    </row>
    <row r="16" spans="1:70" x14ac:dyDescent="0.55000000000000004">
      <c r="B16" t="str">
        <f>CSV!B16</f>
        <v>NPM-7</v>
      </c>
      <c r="C16">
        <f>CSV!C16</f>
        <v>2</v>
      </c>
      <c r="D16">
        <f>CSV!D16</f>
        <v>141014</v>
      </c>
      <c r="F16">
        <f>CSV!F16</f>
        <v>0</v>
      </c>
      <c r="I16">
        <f>CSV!I16*台数入力!I$5</f>
        <v>0</v>
      </c>
      <c r="J16">
        <f>CSV!J16*台数入力!J$5</f>
        <v>0</v>
      </c>
      <c r="K16">
        <f>CSV!K16*台数入力!K$5</f>
        <v>0</v>
      </c>
      <c r="L16">
        <f>CSV!L16*台数入力!L$5</f>
        <v>0</v>
      </c>
      <c r="M16">
        <f>CSV!M16*台数入力!M$5</f>
        <v>0</v>
      </c>
      <c r="N16">
        <f>CSV!N16*台数入力!N$5</f>
        <v>0</v>
      </c>
      <c r="O16">
        <f>CSV!O16*台数入力!O$5</f>
        <v>0</v>
      </c>
      <c r="P16">
        <f>CSV!P16*台数入力!P$5</f>
        <v>0</v>
      </c>
      <c r="Q16">
        <f>CSV!Q16*台数入力!Q$5</f>
        <v>0</v>
      </c>
      <c r="R16">
        <f>CSV!R16*台数入力!R$5</f>
        <v>0</v>
      </c>
      <c r="S16">
        <f>CSV!S16*台数入力!S$5</f>
        <v>0</v>
      </c>
      <c r="T16">
        <f>CSV!T16*台数入力!T$5</f>
        <v>0</v>
      </c>
      <c r="U16">
        <f>CSV!U16*台数入力!U$5</f>
        <v>0</v>
      </c>
      <c r="V16">
        <f>CSV!V16*台数入力!V$5</f>
        <v>0</v>
      </c>
      <c r="W16">
        <f>CSV!W16*台数入力!W$5</f>
        <v>0</v>
      </c>
      <c r="X16">
        <f>CSV!X16*台数入力!X$5</f>
        <v>0</v>
      </c>
      <c r="Y16">
        <f>CSV!Y16*台数入力!Y$5</f>
        <v>0</v>
      </c>
      <c r="Z16">
        <f>CSV!Z16*台数入力!Z$5</f>
        <v>0</v>
      </c>
      <c r="AA16">
        <f>CSV!AA16*台数入力!AA$5</f>
        <v>0</v>
      </c>
      <c r="AB16">
        <f>CSV!AB16*台数入力!AB$5</f>
        <v>0</v>
      </c>
      <c r="AC16">
        <f>CSV!AC16*台数入力!AC$5</f>
        <v>0</v>
      </c>
      <c r="AD16">
        <f>CSV!AD16*台数入力!AD$5</f>
        <v>0</v>
      </c>
      <c r="AE16">
        <f>CSV!AE16*台数入力!AE$5</f>
        <v>0</v>
      </c>
      <c r="AF16">
        <f>CSV!AF16*台数入力!AF$5</f>
        <v>0</v>
      </c>
      <c r="AG16">
        <f>CSV!AG16*台数入力!AG$5</f>
        <v>0</v>
      </c>
      <c r="AH16">
        <f>CSV!AH16*台数入力!AH$5</f>
        <v>0</v>
      </c>
      <c r="AI16">
        <f>CSV!AI16*台数入力!AI$5</f>
        <v>0</v>
      </c>
      <c r="AJ16">
        <f>CSV!AJ16*台数入力!AJ$5</f>
        <v>0</v>
      </c>
      <c r="AK16">
        <f>CSV!AK16*台数入力!AK$5</f>
        <v>0</v>
      </c>
      <c r="AL16">
        <f>CSV!AL16*台数入力!AL$5</f>
        <v>0</v>
      </c>
      <c r="AM16">
        <f>CSV!AM16*台数入力!AM$5</f>
        <v>0</v>
      </c>
      <c r="AN16">
        <f>CSV!AN16*台数入力!AN$5</f>
        <v>0</v>
      </c>
      <c r="AO16">
        <f>CSV!AO16*台数入力!AO$5</f>
        <v>0</v>
      </c>
      <c r="AP16">
        <f>CSV!AP16*台数入力!AP$5</f>
        <v>0</v>
      </c>
      <c r="AQ16">
        <f>CSV!AQ16*台数入力!AQ$5</f>
        <v>0</v>
      </c>
      <c r="AR16">
        <f>CSV!AR16*台数入力!AR$5</f>
        <v>0</v>
      </c>
      <c r="AS16">
        <f>CSV!AS16*台数入力!AS$5</f>
        <v>0</v>
      </c>
      <c r="AT16">
        <f>CSV!AT16*台数入力!AT$5</f>
        <v>0</v>
      </c>
      <c r="AU16">
        <f>CSV!AU16*台数入力!AU$5</f>
        <v>0</v>
      </c>
      <c r="AV16">
        <f>CSV!AV16*台数入力!AV$5</f>
        <v>0</v>
      </c>
      <c r="AW16">
        <f>CSV!AW16*台数入力!AW$5</f>
        <v>0</v>
      </c>
      <c r="AX16">
        <f>CSV!AX16*台数入力!AX$5</f>
        <v>0</v>
      </c>
      <c r="AY16">
        <f>CSV!AY16*台数入力!AY$5</f>
        <v>0</v>
      </c>
      <c r="AZ16">
        <f>CSV!AZ16*台数入力!AZ$5</f>
        <v>0</v>
      </c>
      <c r="BA16">
        <f>CSV!BA16*台数入力!BA$5</f>
        <v>0</v>
      </c>
      <c r="BB16">
        <f>CSV!BB16*台数入力!BB$5</f>
        <v>0</v>
      </c>
      <c r="BC16">
        <f>CSV!BC16*台数入力!BC$5</f>
        <v>0</v>
      </c>
      <c r="BD16">
        <f>CSV!BD16*台数入力!BD$5</f>
        <v>0</v>
      </c>
      <c r="BE16">
        <f>CSV!BE16*台数入力!BE$5</f>
        <v>0</v>
      </c>
      <c r="BF16">
        <f>CSV!BF16*台数入力!BF$5</f>
        <v>0</v>
      </c>
      <c r="BG16">
        <f>CSV!BG16*台数入力!BG$5</f>
        <v>0</v>
      </c>
      <c r="BH16">
        <f>CSV!BH16*台数入力!BH$5</f>
        <v>0</v>
      </c>
      <c r="BI16">
        <f>CSV!BI16*台数入力!BI$5</f>
        <v>0</v>
      </c>
      <c r="BJ16">
        <f>CSV!BJ16*台数入力!BJ$5</f>
        <v>0</v>
      </c>
      <c r="BK16">
        <f>CSV!BK16*台数入力!BK$5</f>
        <v>0</v>
      </c>
      <c r="BL16">
        <f>CSV!BL16*台数入力!BL$5</f>
        <v>0</v>
      </c>
      <c r="BM16">
        <f>CSV!BM16*台数入力!BM$5</f>
        <v>0</v>
      </c>
      <c r="BN16">
        <f>CSV!BN16*台数入力!BN$5</f>
        <v>0</v>
      </c>
      <c r="BO16">
        <f>CSV!BO16*台数入力!BO$5</f>
        <v>0</v>
      </c>
      <c r="BP16">
        <f>CSV!BP16*台数入力!BP$5</f>
        <v>0</v>
      </c>
      <c r="BQ16">
        <f>CSV!BQ16*台数入力!BQ$5</f>
        <v>0</v>
      </c>
      <c r="BR16">
        <f>CSV!BR16*台数入力!BR$5</f>
        <v>0</v>
      </c>
    </row>
    <row r="17" spans="2:70" x14ac:dyDescent="0.55000000000000004">
      <c r="B17" t="str">
        <f>CSV!B17</f>
        <v>NPM-7</v>
      </c>
      <c r="C17">
        <f>CSV!C17</f>
        <v>2</v>
      </c>
      <c r="D17">
        <f>CSV!D17</f>
        <v>141015</v>
      </c>
      <c r="F17">
        <f>CSV!F17</f>
        <v>0</v>
      </c>
      <c r="I17">
        <f>CSV!I17*台数入力!I$5</f>
        <v>0</v>
      </c>
      <c r="J17">
        <f>CSV!J17*台数入力!J$5</f>
        <v>0</v>
      </c>
      <c r="K17">
        <f>CSV!K17*台数入力!K$5</f>
        <v>0</v>
      </c>
      <c r="L17">
        <f>CSV!L17*台数入力!L$5</f>
        <v>0</v>
      </c>
      <c r="M17">
        <f>CSV!M17*台数入力!M$5</f>
        <v>0</v>
      </c>
      <c r="N17">
        <f>CSV!N17*台数入力!N$5</f>
        <v>0</v>
      </c>
      <c r="O17">
        <f>CSV!O17*台数入力!O$5</f>
        <v>0</v>
      </c>
      <c r="P17">
        <f>CSV!P17*台数入力!P$5</f>
        <v>0</v>
      </c>
      <c r="Q17">
        <f>CSV!Q17*台数入力!Q$5</f>
        <v>0</v>
      </c>
      <c r="R17">
        <f>CSV!R17*台数入力!R$5</f>
        <v>0</v>
      </c>
      <c r="S17">
        <f>CSV!S17*台数入力!S$5</f>
        <v>0</v>
      </c>
      <c r="T17">
        <f>CSV!T17*台数入力!T$5</f>
        <v>0</v>
      </c>
      <c r="U17">
        <f>CSV!U17*台数入力!U$5</f>
        <v>0</v>
      </c>
      <c r="V17">
        <f>CSV!V17*台数入力!V$5</f>
        <v>0</v>
      </c>
      <c r="W17">
        <f>CSV!W17*台数入力!W$5</f>
        <v>0</v>
      </c>
      <c r="X17">
        <f>CSV!X17*台数入力!X$5</f>
        <v>0</v>
      </c>
      <c r="Y17">
        <f>CSV!Y17*台数入力!Y$5</f>
        <v>0</v>
      </c>
      <c r="Z17">
        <f>CSV!Z17*台数入力!Z$5</f>
        <v>0</v>
      </c>
      <c r="AA17">
        <f>CSV!AA17*台数入力!AA$5</f>
        <v>0</v>
      </c>
      <c r="AB17">
        <f>CSV!AB17*台数入力!AB$5</f>
        <v>0</v>
      </c>
      <c r="AC17">
        <f>CSV!AC17*台数入力!AC$5</f>
        <v>0</v>
      </c>
      <c r="AD17">
        <f>CSV!AD17*台数入力!AD$5</f>
        <v>0</v>
      </c>
      <c r="AE17">
        <f>CSV!AE17*台数入力!AE$5</f>
        <v>0</v>
      </c>
      <c r="AF17">
        <f>CSV!AF17*台数入力!AF$5</f>
        <v>0</v>
      </c>
      <c r="AG17">
        <f>CSV!AG17*台数入力!AG$5</f>
        <v>0</v>
      </c>
      <c r="AH17">
        <f>CSV!AH17*台数入力!AH$5</f>
        <v>0</v>
      </c>
      <c r="AI17">
        <f>CSV!AI17*台数入力!AI$5</f>
        <v>0</v>
      </c>
      <c r="AJ17">
        <f>CSV!AJ17*台数入力!AJ$5</f>
        <v>0</v>
      </c>
      <c r="AK17">
        <f>CSV!AK17*台数入力!AK$5</f>
        <v>0</v>
      </c>
      <c r="AL17">
        <f>CSV!AL17*台数入力!AL$5</f>
        <v>0</v>
      </c>
      <c r="AM17">
        <f>CSV!AM17*台数入力!AM$5</f>
        <v>0</v>
      </c>
      <c r="AN17">
        <f>CSV!AN17*台数入力!AN$5</f>
        <v>0</v>
      </c>
      <c r="AO17">
        <f>CSV!AO17*台数入力!AO$5</f>
        <v>0</v>
      </c>
      <c r="AP17">
        <f>CSV!AP17*台数入力!AP$5</f>
        <v>0</v>
      </c>
      <c r="AQ17">
        <f>CSV!AQ17*台数入力!AQ$5</f>
        <v>0</v>
      </c>
      <c r="AR17">
        <f>CSV!AR17*台数入力!AR$5</f>
        <v>0</v>
      </c>
      <c r="AS17">
        <f>CSV!AS17*台数入力!AS$5</f>
        <v>0</v>
      </c>
      <c r="AT17">
        <f>CSV!AT17*台数入力!AT$5</f>
        <v>0</v>
      </c>
      <c r="AU17">
        <f>CSV!AU17*台数入力!AU$5</f>
        <v>0</v>
      </c>
      <c r="AV17">
        <f>CSV!AV17*台数入力!AV$5</f>
        <v>0</v>
      </c>
      <c r="AW17">
        <f>CSV!AW17*台数入力!AW$5</f>
        <v>0</v>
      </c>
      <c r="AX17">
        <f>CSV!AX17*台数入力!AX$5</f>
        <v>0</v>
      </c>
      <c r="AY17">
        <f>CSV!AY17*台数入力!AY$5</f>
        <v>0</v>
      </c>
      <c r="AZ17">
        <f>CSV!AZ17*台数入力!AZ$5</f>
        <v>0</v>
      </c>
      <c r="BA17">
        <f>CSV!BA17*台数入力!BA$5</f>
        <v>0</v>
      </c>
      <c r="BB17">
        <f>CSV!BB17*台数入力!BB$5</f>
        <v>0</v>
      </c>
      <c r="BC17">
        <f>CSV!BC17*台数入力!BC$5</f>
        <v>0</v>
      </c>
      <c r="BD17">
        <f>CSV!BD17*台数入力!BD$5</f>
        <v>0</v>
      </c>
      <c r="BE17">
        <f>CSV!BE17*台数入力!BE$5</f>
        <v>0</v>
      </c>
      <c r="BF17">
        <f>CSV!BF17*台数入力!BF$5</f>
        <v>0</v>
      </c>
      <c r="BG17">
        <f>CSV!BG17*台数入力!BG$5</f>
        <v>0</v>
      </c>
      <c r="BH17">
        <f>CSV!BH17*台数入力!BH$5</f>
        <v>0</v>
      </c>
      <c r="BI17">
        <f>CSV!BI17*台数入力!BI$5</f>
        <v>0</v>
      </c>
      <c r="BJ17">
        <f>CSV!BJ17*台数入力!BJ$5</f>
        <v>0</v>
      </c>
      <c r="BK17">
        <f>CSV!BK17*台数入力!BK$5</f>
        <v>0</v>
      </c>
      <c r="BL17">
        <f>CSV!BL17*台数入力!BL$5</f>
        <v>0</v>
      </c>
      <c r="BM17">
        <f>CSV!BM17*台数入力!BM$5</f>
        <v>0</v>
      </c>
      <c r="BN17">
        <f>CSV!BN17*台数入力!BN$5</f>
        <v>0</v>
      </c>
      <c r="BO17">
        <f>CSV!BO17*台数入力!BO$5</f>
        <v>0</v>
      </c>
      <c r="BP17">
        <f>CSV!BP17*台数入力!BP$5</f>
        <v>0</v>
      </c>
      <c r="BQ17">
        <f>CSV!BQ17*台数入力!BQ$5</f>
        <v>0</v>
      </c>
      <c r="BR17">
        <f>CSV!BR17*台数入力!BR$5</f>
        <v>0</v>
      </c>
    </row>
    <row r="18" spans="2:70" x14ac:dyDescent="0.55000000000000004">
      <c r="B18" t="str">
        <f>CSV!B18</f>
        <v>NPM-7</v>
      </c>
      <c r="C18">
        <f>CSV!C18</f>
        <v>2</v>
      </c>
      <c r="D18">
        <f>CSV!D18</f>
        <v>141016</v>
      </c>
      <c r="F18">
        <f>CSV!F18</f>
        <v>0</v>
      </c>
      <c r="I18">
        <f>CSV!I18*台数入力!I$5</f>
        <v>0</v>
      </c>
      <c r="J18">
        <f>CSV!J18*台数入力!J$5</f>
        <v>0</v>
      </c>
      <c r="K18">
        <f>CSV!K18*台数入力!K$5</f>
        <v>0</v>
      </c>
      <c r="L18">
        <f>CSV!L18*台数入力!L$5</f>
        <v>0</v>
      </c>
      <c r="M18">
        <f>CSV!M18*台数入力!M$5</f>
        <v>0</v>
      </c>
      <c r="N18">
        <f>CSV!N18*台数入力!N$5</f>
        <v>0</v>
      </c>
      <c r="O18">
        <f>CSV!O18*台数入力!O$5</f>
        <v>0</v>
      </c>
      <c r="P18">
        <f>CSV!P18*台数入力!P$5</f>
        <v>0</v>
      </c>
      <c r="Q18">
        <f>CSV!Q18*台数入力!Q$5</f>
        <v>0</v>
      </c>
      <c r="R18">
        <f>CSV!R18*台数入力!R$5</f>
        <v>0</v>
      </c>
      <c r="S18">
        <f>CSV!S18*台数入力!S$5</f>
        <v>0</v>
      </c>
      <c r="T18">
        <f>CSV!T18*台数入力!T$5</f>
        <v>0</v>
      </c>
      <c r="U18">
        <f>CSV!U18*台数入力!U$5</f>
        <v>0</v>
      </c>
      <c r="V18">
        <f>CSV!V18*台数入力!V$5</f>
        <v>0</v>
      </c>
      <c r="W18">
        <f>CSV!W18*台数入力!W$5</f>
        <v>0</v>
      </c>
      <c r="X18">
        <f>CSV!X18*台数入力!X$5</f>
        <v>0</v>
      </c>
      <c r="Y18">
        <f>CSV!Y18*台数入力!Y$5</f>
        <v>0</v>
      </c>
      <c r="Z18">
        <f>CSV!Z18*台数入力!Z$5</f>
        <v>0</v>
      </c>
      <c r="AA18">
        <f>CSV!AA18*台数入力!AA$5</f>
        <v>0</v>
      </c>
      <c r="AB18">
        <f>CSV!AB18*台数入力!AB$5</f>
        <v>0</v>
      </c>
      <c r="AC18">
        <f>CSV!AC18*台数入力!AC$5</f>
        <v>0</v>
      </c>
      <c r="AD18">
        <f>CSV!AD18*台数入力!AD$5</f>
        <v>0</v>
      </c>
      <c r="AE18">
        <f>CSV!AE18*台数入力!AE$5</f>
        <v>0</v>
      </c>
      <c r="AF18">
        <f>CSV!AF18*台数入力!AF$5</f>
        <v>0</v>
      </c>
      <c r="AG18">
        <f>CSV!AG18*台数入力!AG$5</f>
        <v>0</v>
      </c>
      <c r="AH18">
        <f>CSV!AH18*台数入力!AH$5</f>
        <v>0</v>
      </c>
      <c r="AI18">
        <f>CSV!AI18*台数入力!AI$5</f>
        <v>0</v>
      </c>
      <c r="AJ18">
        <f>CSV!AJ18*台数入力!AJ$5</f>
        <v>0</v>
      </c>
      <c r="AK18">
        <f>CSV!AK18*台数入力!AK$5</f>
        <v>0</v>
      </c>
      <c r="AL18">
        <f>CSV!AL18*台数入力!AL$5</f>
        <v>0</v>
      </c>
      <c r="AM18">
        <f>CSV!AM18*台数入力!AM$5</f>
        <v>0</v>
      </c>
      <c r="AN18">
        <f>CSV!AN18*台数入力!AN$5</f>
        <v>0</v>
      </c>
      <c r="AO18">
        <f>CSV!AO18*台数入力!AO$5</f>
        <v>0</v>
      </c>
      <c r="AP18">
        <f>CSV!AP18*台数入力!AP$5</f>
        <v>0</v>
      </c>
      <c r="AQ18">
        <f>CSV!AQ18*台数入力!AQ$5</f>
        <v>0</v>
      </c>
      <c r="AR18">
        <f>CSV!AR18*台数入力!AR$5</f>
        <v>0</v>
      </c>
      <c r="AS18">
        <f>CSV!AS18*台数入力!AS$5</f>
        <v>0</v>
      </c>
      <c r="AT18">
        <f>CSV!AT18*台数入力!AT$5</f>
        <v>0</v>
      </c>
      <c r="AU18">
        <f>CSV!AU18*台数入力!AU$5</f>
        <v>0</v>
      </c>
      <c r="AV18">
        <f>CSV!AV18*台数入力!AV$5</f>
        <v>0</v>
      </c>
      <c r="AW18">
        <f>CSV!AW18*台数入力!AW$5</f>
        <v>0</v>
      </c>
      <c r="AX18">
        <f>CSV!AX18*台数入力!AX$5</f>
        <v>0</v>
      </c>
      <c r="AY18">
        <f>CSV!AY18*台数入力!AY$5</f>
        <v>0</v>
      </c>
      <c r="AZ18">
        <f>CSV!AZ18*台数入力!AZ$5</f>
        <v>0</v>
      </c>
      <c r="BA18">
        <f>CSV!BA18*台数入力!BA$5</f>
        <v>0</v>
      </c>
      <c r="BB18">
        <f>CSV!BB18*台数入力!BB$5</f>
        <v>0</v>
      </c>
      <c r="BC18">
        <f>CSV!BC18*台数入力!BC$5</f>
        <v>0</v>
      </c>
      <c r="BD18">
        <f>CSV!BD18*台数入力!BD$5</f>
        <v>0</v>
      </c>
      <c r="BE18">
        <f>CSV!BE18*台数入力!BE$5</f>
        <v>0</v>
      </c>
      <c r="BF18">
        <f>CSV!BF18*台数入力!BF$5</f>
        <v>0</v>
      </c>
      <c r="BG18">
        <f>CSV!BG18*台数入力!BG$5</f>
        <v>0</v>
      </c>
      <c r="BH18">
        <f>CSV!BH18*台数入力!BH$5</f>
        <v>0</v>
      </c>
      <c r="BI18">
        <f>CSV!BI18*台数入力!BI$5</f>
        <v>0</v>
      </c>
      <c r="BJ18">
        <f>CSV!BJ18*台数入力!BJ$5</f>
        <v>0</v>
      </c>
      <c r="BK18">
        <f>CSV!BK18*台数入力!BK$5</f>
        <v>0</v>
      </c>
      <c r="BL18">
        <f>CSV!BL18*台数入力!BL$5</f>
        <v>0</v>
      </c>
      <c r="BM18">
        <f>CSV!BM18*台数入力!BM$5</f>
        <v>0</v>
      </c>
      <c r="BN18">
        <f>CSV!BN18*台数入力!BN$5</f>
        <v>0</v>
      </c>
      <c r="BO18">
        <f>CSV!BO18*台数入力!BO$5</f>
        <v>0</v>
      </c>
      <c r="BP18">
        <f>CSV!BP18*台数入力!BP$5</f>
        <v>0</v>
      </c>
      <c r="BQ18">
        <f>CSV!BQ18*台数入力!BQ$5</f>
        <v>0</v>
      </c>
      <c r="BR18">
        <f>CSV!BR18*台数入力!BR$5</f>
        <v>0</v>
      </c>
    </row>
    <row r="19" spans="2:70" x14ac:dyDescent="0.55000000000000004">
      <c r="B19" t="str">
        <f>CSV!B19</f>
        <v>NPM-7</v>
      </c>
      <c r="C19">
        <f>CSV!C19</f>
        <v>2</v>
      </c>
      <c r="D19">
        <f>CSV!D19</f>
        <v>141017</v>
      </c>
      <c r="F19">
        <f>CSV!F19</f>
        <v>0</v>
      </c>
      <c r="I19">
        <f>CSV!I19*台数入力!I$5</f>
        <v>0</v>
      </c>
      <c r="J19">
        <f>CSV!J19*台数入力!J$5</f>
        <v>0</v>
      </c>
      <c r="K19">
        <f>CSV!K19*台数入力!K$5</f>
        <v>0</v>
      </c>
      <c r="L19">
        <f>CSV!L19*台数入力!L$5</f>
        <v>0</v>
      </c>
      <c r="M19">
        <f>CSV!M19*台数入力!M$5</f>
        <v>0</v>
      </c>
      <c r="N19">
        <f>CSV!N19*台数入力!N$5</f>
        <v>0</v>
      </c>
      <c r="O19">
        <f>CSV!O19*台数入力!O$5</f>
        <v>0</v>
      </c>
      <c r="P19">
        <f>CSV!P19*台数入力!P$5</f>
        <v>0</v>
      </c>
      <c r="Q19">
        <f>CSV!Q19*台数入力!Q$5</f>
        <v>0</v>
      </c>
      <c r="R19">
        <f>CSV!R19*台数入力!R$5</f>
        <v>0</v>
      </c>
      <c r="S19">
        <f>CSV!S19*台数入力!S$5</f>
        <v>0</v>
      </c>
      <c r="T19">
        <f>CSV!T19*台数入力!T$5</f>
        <v>0</v>
      </c>
      <c r="U19">
        <f>CSV!U19*台数入力!U$5</f>
        <v>0</v>
      </c>
      <c r="V19">
        <f>CSV!V19*台数入力!V$5</f>
        <v>0</v>
      </c>
      <c r="W19">
        <f>CSV!W19*台数入力!W$5</f>
        <v>0</v>
      </c>
      <c r="X19">
        <f>CSV!X19*台数入力!X$5</f>
        <v>0</v>
      </c>
      <c r="Y19">
        <f>CSV!Y19*台数入力!Y$5</f>
        <v>0</v>
      </c>
      <c r="Z19">
        <f>CSV!Z19*台数入力!Z$5</f>
        <v>0</v>
      </c>
      <c r="AA19">
        <f>CSV!AA19*台数入力!AA$5</f>
        <v>0</v>
      </c>
      <c r="AB19">
        <f>CSV!AB19*台数入力!AB$5</f>
        <v>0</v>
      </c>
      <c r="AC19">
        <f>CSV!AC19*台数入力!AC$5</f>
        <v>0</v>
      </c>
      <c r="AD19">
        <f>CSV!AD19*台数入力!AD$5</f>
        <v>0</v>
      </c>
      <c r="AE19">
        <f>CSV!AE19*台数入力!AE$5</f>
        <v>0</v>
      </c>
      <c r="AF19">
        <f>CSV!AF19*台数入力!AF$5</f>
        <v>0</v>
      </c>
      <c r="AG19">
        <f>CSV!AG19*台数入力!AG$5</f>
        <v>0</v>
      </c>
      <c r="AH19">
        <f>CSV!AH19*台数入力!AH$5</f>
        <v>0</v>
      </c>
      <c r="AI19">
        <f>CSV!AI19*台数入力!AI$5</f>
        <v>0</v>
      </c>
      <c r="AJ19">
        <f>CSV!AJ19*台数入力!AJ$5</f>
        <v>0</v>
      </c>
      <c r="AK19">
        <f>CSV!AK19*台数入力!AK$5</f>
        <v>0</v>
      </c>
      <c r="AL19">
        <f>CSV!AL19*台数入力!AL$5</f>
        <v>0</v>
      </c>
      <c r="AM19">
        <f>CSV!AM19*台数入力!AM$5</f>
        <v>0</v>
      </c>
      <c r="AN19">
        <f>CSV!AN19*台数入力!AN$5</f>
        <v>0</v>
      </c>
      <c r="AO19">
        <f>CSV!AO19*台数入力!AO$5</f>
        <v>0</v>
      </c>
      <c r="AP19">
        <f>CSV!AP19*台数入力!AP$5</f>
        <v>0</v>
      </c>
      <c r="AQ19">
        <f>CSV!AQ19*台数入力!AQ$5</f>
        <v>0</v>
      </c>
      <c r="AR19">
        <f>CSV!AR19*台数入力!AR$5</f>
        <v>0</v>
      </c>
      <c r="AS19">
        <f>CSV!AS19*台数入力!AS$5</f>
        <v>0</v>
      </c>
      <c r="AT19">
        <f>CSV!AT19*台数入力!AT$5</f>
        <v>0</v>
      </c>
      <c r="AU19">
        <f>CSV!AU19*台数入力!AU$5</f>
        <v>0</v>
      </c>
      <c r="AV19">
        <f>CSV!AV19*台数入力!AV$5</f>
        <v>0</v>
      </c>
      <c r="AW19">
        <f>CSV!AW19*台数入力!AW$5</f>
        <v>0</v>
      </c>
      <c r="AX19">
        <f>CSV!AX19*台数入力!AX$5</f>
        <v>0</v>
      </c>
      <c r="AY19">
        <f>CSV!AY19*台数入力!AY$5</f>
        <v>0</v>
      </c>
      <c r="AZ19">
        <f>CSV!AZ19*台数入力!AZ$5</f>
        <v>0</v>
      </c>
      <c r="BA19">
        <f>CSV!BA19*台数入力!BA$5</f>
        <v>0</v>
      </c>
      <c r="BB19">
        <f>CSV!BB19*台数入力!BB$5</f>
        <v>0</v>
      </c>
      <c r="BC19">
        <f>CSV!BC19*台数入力!BC$5</f>
        <v>0</v>
      </c>
      <c r="BD19">
        <f>CSV!BD19*台数入力!BD$5</f>
        <v>0</v>
      </c>
      <c r="BE19">
        <f>CSV!BE19*台数入力!BE$5</f>
        <v>0</v>
      </c>
      <c r="BF19">
        <f>CSV!BF19*台数入力!BF$5</f>
        <v>0</v>
      </c>
      <c r="BG19">
        <f>CSV!BG19*台数入力!BG$5</f>
        <v>0</v>
      </c>
      <c r="BH19">
        <f>CSV!BH19*台数入力!BH$5</f>
        <v>0</v>
      </c>
      <c r="BI19">
        <f>CSV!BI19*台数入力!BI$5</f>
        <v>0</v>
      </c>
      <c r="BJ19">
        <f>CSV!BJ19*台数入力!BJ$5</f>
        <v>0</v>
      </c>
      <c r="BK19">
        <f>CSV!BK19*台数入力!BK$5</f>
        <v>0</v>
      </c>
      <c r="BL19">
        <f>CSV!BL19*台数入力!BL$5</f>
        <v>0</v>
      </c>
      <c r="BM19">
        <f>CSV!BM19*台数入力!BM$5</f>
        <v>0</v>
      </c>
      <c r="BN19">
        <f>CSV!BN19*台数入力!BN$5</f>
        <v>0</v>
      </c>
      <c r="BO19">
        <f>CSV!BO19*台数入力!BO$5</f>
        <v>0</v>
      </c>
      <c r="BP19">
        <f>CSV!BP19*台数入力!BP$5</f>
        <v>0</v>
      </c>
      <c r="BQ19">
        <f>CSV!BQ19*台数入力!BQ$5</f>
        <v>0</v>
      </c>
      <c r="BR19">
        <f>CSV!BR19*台数入力!BR$5</f>
        <v>0</v>
      </c>
    </row>
    <row r="20" spans="2:70" x14ac:dyDescent="0.55000000000000004">
      <c r="B20" t="str">
        <f>CSV!B20</f>
        <v>NPM-7</v>
      </c>
      <c r="C20">
        <f>CSV!C20</f>
        <v>2</v>
      </c>
      <c r="D20">
        <f>CSV!D20</f>
        <v>141018</v>
      </c>
      <c r="F20">
        <f>CSV!F20</f>
        <v>0</v>
      </c>
      <c r="I20">
        <f>CSV!I20*台数入力!I$5</f>
        <v>0</v>
      </c>
      <c r="J20">
        <f>CSV!J20*台数入力!J$5</f>
        <v>0</v>
      </c>
      <c r="K20">
        <f>CSV!K20*台数入力!K$5</f>
        <v>0</v>
      </c>
      <c r="L20">
        <f>CSV!L20*台数入力!L$5</f>
        <v>0</v>
      </c>
      <c r="M20">
        <f>CSV!M20*台数入力!M$5</f>
        <v>0</v>
      </c>
      <c r="N20">
        <f>CSV!N20*台数入力!N$5</f>
        <v>0</v>
      </c>
      <c r="O20">
        <f>CSV!O20*台数入力!O$5</f>
        <v>0</v>
      </c>
      <c r="P20">
        <f>CSV!P20*台数入力!P$5</f>
        <v>0</v>
      </c>
      <c r="Q20">
        <f>CSV!Q20*台数入力!Q$5</f>
        <v>0</v>
      </c>
      <c r="R20">
        <f>CSV!R20*台数入力!R$5</f>
        <v>0</v>
      </c>
      <c r="S20">
        <f>CSV!S20*台数入力!S$5</f>
        <v>0</v>
      </c>
      <c r="T20">
        <f>CSV!T20*台数入力!T$5</f>
        <v>0</v>
      </c>
      <c r="U20">
        <f>CSV!U20*台数入力!U$5</f>
        <v>0</v>
      </c>
      <c r="V20">
        <f>CSV!V20*台数入力!V$5</f>
        <v>0</v>
      </c>
      <c r="W20">
        <f>CSV!W20*台数入力!W$5</f>
        <v>0</v>
      </c>
      <c r="X20">
        <f>CSV!X20*台数入力!X$5</f>
        <v>0</v>
      </c>
      <c r="Y20">
        <f>CSV!Y20*台数入力!Y$5</f>
        <v>0</v>
      </c>
      <c r="Z20">
        <f>CSV!Z20*台数入力!Z$5</f>
        <v>0</v>
      </c>
      <c r="AA20">
        <f>CSV!AA20*台数入力!AA$5</f>
        <v>0</v>
      </c>
      <c r="AB20">
        <f>CSV!AB20*台数入力!AB$5</f>
        <v>0</v>
      </c>
      <c r="AC20">
        <f>CSV!AC20*台数入力!AC$5</f>
        <v>0</v>
      </c>
      <c r="AD20">
        <f>CSV!AD20*台数入力!AD$5</f>
        <v>0</v>
      </c>
      <c r="AE20">
        <f>CSV!AE20*台数入力!AE$5</f>
        <v>0</v>
      </c>
      <c r="AF20">
        <f>CSV!AF20*台数入力!AF$5</f>
        <v>0</v>
      </c>
      <c r="AG20">
        <f>CSV!AG20*台数入力!AG$5</f>
        <v>0</v>
      </c>
      <c r="AH20">
        <f>CSV!AH20*台数入力!AH$5</f>
        <v>0</v>
      </c>
      <c r="AI20">
        <f>CSV!AI20*台数入力!AI$5</f>
        <v>0</v>
      </c>
      <c r="AJ20">
        <f>CSV!AJ20*台数入力!AJ$5</f>
        <v>0</v>
      </c>
      <c r="AK20">
        <f>CSV!AK20*台数入力!AK$5</f>
        <v>0</v>
      </c>
      <c r="AL20">
        <f>CSV!AL20*台数入力!AL$5</f>
        <v>0</v>
      </c>
      <c r="AM20">
        <f>CSV!AM20*台数入力!AM$5</f>
        <v>0</v>
      </c>
      <c r="AN20">
        <f>CSV!AN20*台数入力!AN$5</f>
        <v>0</v>
      </c>
      <c r="AO20">
        <f>CSV!AO20*台数入力!AO$5</f>
        <v>0</v>
      </c>
      <c r="AP20">
        <f>CSV!AP20*台数入力!AP$5</f>
        <v>0</v>
      </c>
      <c r="AQ20">
        <f>CSV!AQ20*台数入力!AQ$5</f>
        <v>0</v>
      </c>
      <c r="AR20">
        <f>CSV!AR20*台数入力!AR$5</f>
        <v>0</v>
      </c>
      <c r="AS20">
        <f>CSV!AS20*台数入力!AS$5</f>
        <v>0</v>
      </c>
      <c r="AT20">
        <f>CSV!AT20*台数入力!AT$5</f>
        <v>0</v>
      </c>
      <c r="AU20">
        <f>CSV!AU20*台数入力!AU$5</f>
        <v>0</v>
      </c>
      <c r="AV20">
        <f>CSV!AV20*台数入力!AV$5</f>
        <v>0</v>
      </c>
      <c r="AW20">
        <f>CSV!AW20*台数入力!AW$5</f>
        <v>0</v>
      </c>
      <c r="AX20">
        <f>CSV!AX20*台数入力!AX$5</f>
        <v>0</v>
      </c>
      <c r="AY20">
        <f>CSV!AY20*台数入力!AY$5</f>
        <v>0</v>
      </c>
      <c r="AZ20">
        <f>CSV!AZ20*台数入力!AZ$5</f>
        <v>0</v>
      </c>
      <c r="BA20">
        <f>CSV!BA20*台数入力!BA$5</f>
        <v>0</v>
      </c>
      <c r="BB20">
        <f>CSV!BB20*台数入力!BB$5</f>
        <v>0</v>
      </c>
      <c r="BC20">
        <f>CSV!BC20*台数入力!BC$5</f>
        <v>0</v>
      </c>
      <c r="BD20">
        <f>CSV!BD20*台数入力!BD$5</f>
        <v>0</v>
      </c>
      <c r="BE20">
        <f>CSV!BE20*台数入力!BE$5</f>
        <v>0</v>
      </c>
      <c r="BF20">
        <f>CSV!BF20*台数入力!BF$5</f>
        <v>0</v>
      </c>
      <c r="BG20">
        <f>CSV!BG20*台数入力!BG$5</f>
        <v>0</v>
      </c>
      <c r="BH20">
        <f>CSV!BH20*台数入力!BH$5</f>
        <v>0</v>
      </c>
      <c r="BI20">
        <f>CSV!BI20*台数入力!BI$5</f>
        <v>0</v>
      </c>
      <c r="BJ20">
        <f>CSV!BJ20*台数入力!BJ$5</f>
        <v>0</v>
      </c>
      <c r="BK20">
        <f>CSV!BK20*台数入力!BK$5</f>
        <v>0</v>
      </c>
      <c r="BL20">
        <f>CSV!BL20*台数入力!BL$5</f>
        <v>0</v>
      </c>
      <c r="BM20">
        <f>CSV!BM20*台数入力!BM$5</f>
        <v>0</v>
      </c>
      <c r="BN20">
        <f>CSV!BN20*台数入力!BN$5</f>
        <v>0</v>
      </c>
      <c r="BO20">
        <f>CSV!BO20*台数入力!BO$5</f>
        <v>0</v>
      </c>
      <c r="BP20">
        <f>CSV!BP20*台数入力!BP$5</f>
        <v>0</v>
      </c>
      <c r="BQ20">
        <f>CSV!BQ20*台数入力!BQ$5</f>
        <v>0</v>
      </c>
      <c r="BR20">
        <f>CSV!BR20*台数入力!BR$5</f>
        <v>0</v>
      </c>
    </row>
    <row r="21" spans="2:70" x14ac:dyDescent="0.55000000000000004">
      <c r="B21" t="str">
        <f>CSV!B21</f>
        <v>NPM-7</v>
      </c>
      <c r="C21">
        <f>CSV!C21</f>
        <v>2</v>
      </c>
      <c r="D21">
        <f>CSV!D21</f>
        <v>141019</v>
      </c>
      <c r="F21">
        <f>CSV!F21</f>
        <v>0</v>
      </c>
      <c r="I21">
        <f>CSV!I21*台数入力!I$5</f>
        <v>0</v>
      </c>
      <c r="J21">
        <f>CSV!J21*台数入力!J$5</f>
        <v>0</v>
      </c>
      <c r="K21">
        <f>CSV!K21*台数入力!K$5</f>
        <v>0</v>
      </c>
      <c r="L21">
        <f>CSV!L21*台数入力!L$5</f>
        <v>0</v>
      </c>
      <c r="M21">
        <f>CSV!M21*台数入力!M$5</f>
        <v>0</v>
      </c>
      <c r="N21">
        <f>CSV!N21*台数入力!N$5</f>
        <v>0</v>
      </c>
      <c r="O21">
        <f>CSV!O21*台数入力!O$5</f>
        <v>0</v>
      </c>
      <c r="P21">
        <f>CSV!P21*台数入力!P$5</f>
        <v>0</v>
      </c>
      <c r="Q21">
        <f>CSV!Q21*台数入力!Q$5</f>
        <v>0</v>
      </c>
      <c r="R21">
        <f>CSV!R21*台数入力!R$5</f>
        <v>0</v>
      </c>
      <c r="S21">
        <f>CSV!S21*台数入力!S$5</f>
        <v>0</v>
      </c>
      <c r="T21">
        <f>CSV!T21*台数入力!T$5</f>
        <v>0</v>
      </c>
      <c r="U21">
        <f>CSV!U21*台数入力!U$5</f>
        <v>0</v>
      </c>
      <c r="V21">
        <f>CSV!V21*台数入力!V$5</f>
        <v>0</v>
      </c>
      <c r="W21">
        <f>CSV!W21*台数入力!W$5</f>
        <v>0</v>
      </c>
      <c r="X21">
        <f>CSV!X21*台数入力!X$5</f>
        <v>0</v>
      </c>
      <c r="Y21">
        <f>CSV!Y21*台数入力!Y$5</f>
        <v>0</v>
      </c>
      <c r="Z21">
        <f>CSV!Z21*台数入力!Z$5</f>
        <v>0</v>
      </c>
      <c r="AA21">
        <f>CSV!AA21*台数入力!AA$5</f>
        <v>0</v>
      </c>
      <c r="AB21">
        <f>CSV!AB21*台数入力!AB$5</f>
        <v>0</v>
      </c>
      <c r="AC21">
        <f>CSV!AC21*台数入力!AC$5</f>
        <v>0</v>
      </c>
      <c r="AD21">
        <f>CSV!AD21*台数入力!AD$5</f>
        <v>0</v>
      </c>
      <c r="AE21">
        <f>CSV!AE21*台数入力!AE$5</f>
        <v>0</v>
      </c>
      <c r="AF21">
        <f>CSV!AF21*台数入力!AF$5</f>
        <v>0</v>
      </c>
      <c r="AG21">
        <f>CSV!AG21*台数入力!AG$5</f>
        <v>0</v>
      </c>
      <c r="AH21">
        <f>CSV!AH21*台数入力!AH$5</f>
        <v>0</v>
      </c>
      <c r="AI21">
        <f>CSV!AI21*台数入力!AI$5</f>
        <v>0</v>
      </c>
      <c r="AJ21">
        <f>CSV!AJ21*台数入力!AJ$5</f>
        <v>0</v>
      </c>
      <c r="AK21">
        <f>CSV!AK21*台数入力!AK$5</f>
        <v>0</v>
      </c>
      <c r="AL21">
        <f>CSV!AL21*台数入力!AL$5</f>
        <v>0</v>
      </c>
      <c r="AM21">
        <f>CSV!AM21*台数入力!AM$5</f>
        <v>0</v>
      </c>
      <c r="AN21">
        <f>CSV!AN21*台数入力!AN$5</f>
        <v>0</v>
      </c>
      <c r="AO21">
        <f>CSV!AO21*台数入力!AO$5</f>
        <v>0</v>
      </c>
      <c r="AP21">
        <f>CSV!AP21*台数入力!AP$5</f>
        <v>0</v>
      </c>
      <c r="AQ21">
        <f>CSV!AQ21*台数入力!AQ$5</f>
        <v>0</v>
      </c>
      <c r="AR21">
        <f>CSV!AR21*台数入力!AR$5</f>
        <v>0</v>
      </c>
      <c r="AS21">
        <f>CSV!AS21*台数入力!AS$5</f>
        <v>0</v>
      </c>
      <c r="AT21">
        <f>CSV!AT21*台数入力!AT$5</f>
        <v>0</v>
      </c>
      <c r="AU21">
        <f>CSV!AU21*台数入力!AU$5</f>
        <v>0</v>
      </c>
      <c r="AV21">
        <f>CSV!AV21*台数入力!AV$5</f>
        <v>0</v>
      </c>
      <c r="AW21">
        <f>CSV!AW21*台数入力!AW$5</f>
        <v>0</v>
      </c>
      <c r="AX21">
        <f>CSV!AX21*台数入力!AX$5</f>
        <v>0</v>
      </c>
      <c r="AY21">
        <f>CSV!AY21*台数入力!AY$5</f>
        <v>0</v>
      </c>
      <c r="AZ21">
        <f>CSV!AZ21*台数入力!AZ$5</f>
        <v>0</v>
      </c>
      <c r="BA21">
        <f>CSV!BA21*台数入力!BA$5</f>
        <v>0</v>
      </c>
      <c r="BB21">
        <f>CSV!BB21*台数入力!BB$5</f>
        <v>0</v>
      </c>
      <c r="BC21">
        <f>CSV!BC21*台数入力!BC$5</f>
        <v>0</v>
      </c>
      <c r="BD21">
        <f>CSV!BD21*台数入力!BD$5</f>
        <v>0</v>
      </c>
      <c r="BE21">
        <f>CSV!BE21*台数入力!BE$5</f>
        <v>0</v>
      </c>
      <c r="BF21">
        <f>CSV!BF21*台数入力!BF$5</f>
        <v>0</v>
      </c>
      <c r="BG21">
        <f>CSV!BG21*台数入力!BG$5</f>
        <v>0</v>
      </c>
      <c r="BH21">
        <f>CSV!BH21*台数入力!BH$5</f>
        <v>0</v>
      </c>
      <c r="BI21">
        <f>CSV!BI21*台数入力!BI$5</f>
        <v>0</v>
      </c>
      <c r="BJ21">
        <f>CSV!BJ21*台数入力!BJ$5</f>
        <v>0</v>
      </c>
      <c r="BK21">
        <f>CSV!BK21*台数入力!BK$5</f>
        <v>0</v>
      </c>
      <c r="BL21">
        <f>CSV!BL21*台数入力!BL$5</f>
        <v>0</v>
      </c>
      <c r="BM21">
        <f>CSV!BM21*台数入力!BM$5</f>
        <v>0</v>
      </c>
      <c r="BN21">
        <f>CSV!BN21*台数入力!BN$5</f>
        <v>0</v>
      </c>
      <c r="BO21">
        <f>CSV!BO21*台数入力!BO$5</f>
        <v>0</v>
      </c>
      <c r="BP21">
        <f>CSV!BP21*台数入力!BP$5</f>
        <v>0</v>
      </c>
      <c r="BQ21">
        <f>CSV!BQ21*台数入力!BQ$5</f>
        <v>0</v>
      </c>
      <c r="BR21">
        <f>CSV!BR21*台数入力!BR$5</f>
        <v>0</v>
      </c>
    </row>
    <row r="22" spans="2:70" x14ac:dyDescent="0.55000000000000004">
      <c r="B22" t="str">
        <f>CSV!B22</f>
        <v>NPM-7</v>
      </c>
      <c r="C22">
        <f>CSV!C22</f>
        <v>2</v>
      </c>
      <c r="D22">
        <f>CSV!D22</f>
        <v>141020</v>
      </c>
      <c r="F22">
        <f>CSV!F22</f>
        <v>0</v>
      </c>
      <c r="I22">
        <f>CSV!I22*台数入力!I$5</f>
        <v>0</v>
      </c>
      <c r="J22">
        <f>CSV!J22*台数入力!J$5</f>
        <v>0</v>
      </c>
      <c r="K22">
        <f>CSV!K22*台数入力!K$5</f>
        <v>0</v>
      </c>
      <c r="L22">
        <f>CSV!L22*台数入力!L$5</f>
        <v>0</v>
      </c>
      <c r="M22">
        <f>CSV!M22*台数入力!M$5</f>
        <v>0</v>
      </c>
      <c r="N22">
        <f>CSV!N22*台数入力!N$5</f>
        <v>0</v>
      </c>
      <c r="O22">
        <f>CSV!O22*台数入力!O$5</f>
        <v>0</v>
      </c>
      <c r="P22">
        <f>CSV!P22*台数入力!P$5</f>
        <v>0</v>
      </c>
      <c r="Q22">
        <f>CSV!Q22*台数入力!Q$5</f>
        <v>0</v>
      </c>
      <c r="R22">
        <f>CSV!R22*台数入力!R$5</f>
        <v>0</v>
      </c>
      <c r="S22">
        <f>CSV!S22*台数入力!S$5</f>
        <v>0</v>
      </c>
      <c r="T22">
        <f>CSV!T22*台数入力!T$5</f>
        <v>0</v>
      </c>
      <c r="U22">
        <f>CSV!U22*台数入力!U$5</f>
        <v>0</v>
      </c>
      <c r="V22">
        <f>CSV!V22*台数入力!V$5</f>
        <v>0</v>
      </c>
      <c r="W22">
        <f>CSV!W22*台数入力!W$5</f>
        <v>0</v>
      </c>
      <c r="X22">
        <f>CSV!X22*台数入力!X$5</f>
        <v>0</v>
      </c>
      <c r="Y22">
        <f>CSV!Y22*台数入力!Y$5</f>
        <v>0</v>
      </c>
      <c r="Z22">
        <f>CSV!Z22*台数入力!Z$5</f>
        <v>0</v>
      </c>
      <c r="AA22">
        <f>CSV!AA22*台数入力!AA$5</f>
        <v>0</v>
      </c>
      <c r="AB22">
        <f>CSV!AB22*台数入力!AB$5</f>
        <v>0</v>
      </c>
      <c r="AC22">
        <f>CSV!AC22*台数入力!AC$5</f>
        <v>0</v>
      </c>
      <c r="AD22">
        <f>CSV!AD22*台数入力!AD$5</f>
        <v>0</v>
      </c>
      <c r="AE22">
        <f>CSV!AE22*台数入力!AE$5</f>
        <v>0</v>
      </c>
      <c r="AF22">
        <f>CSV!AF22*台数入力!AF$5</f>
        <v>0</v>
      </c>
      <c r="AG22">
        <f>CSV!AG22*台数入力!AG$5</f>
        <v>0</v>
      </c>
      <c r="AH22">
        <f>CSV!AH22*台数入力!AH$5</f>
        <v>0</v>
      </c>
      <c r="AI22">
        <f>CSV!AI22*台数入力!AI$5</f>
        <v>0</v>
      </c>
      <c r="AJ22">
        <f>CSV!AJ22*台数入力!AJ$5</f>
        <v>0</v>
      </c>
      <c r="AK22">
        <f>CSV!AK22*台数入力!AK$5</f>
        <v>0</v>
      </c>
      <c r="AL22">
        <f>CSV!AL22*台数入力!AL$5</f>
        <v>0</v>
      </c>
      <c r="AM22">
        <f>CSV!AM22*台数入力!AM$5</f>
        <v>0</v>
      </c>
      <c r="AN22">
        <f>CSV!AN22*台数入力!AN$5</f>
        <v>0</v>
      </c>
      <c r="AO22">
        <f>CSV!AO22*台数入力!AO$5</f>
        <v>0</v>
      </c>
      <c r="AP22">
        <f>CSV!AP22*台数入力!AP$5</f>
        <v>0</v>
      </c>
      <c r="AQ22">
        <f>CSV!AQ22*台数入力!AQ$5</f>
        <v>0</v>
      </c>
      <c r="AR22">
        <f>CSV!AR22*台数入力!AR$5</f>
        <v>0</v>
      </c>
      <c r="AS22">
        <f>CSV!AS22*台数入力!AS$5</f>
        <v>0</v>
      </c>
      <c r="AT22">
        <f>CSV!AT22*台数入力!AT$5</f>
        <v>0</v>
      </c>
      <c r="AU22">
        <f>CSV!AU22*台数入力!AU$5</f>
        <v>0</v>
      </c>
      <c r="AV22">
        <f>CSV!AV22*台数入力!AV$5</f>
        <v>0</v>
      </c>
      <c r="AW22">
        <f>CSV!AW22*台数入力!AW$5</f>
        <v>0</v>
      </c>
      <c r="AX22">
        <f>CSV!AX22*台数入力!AX$5</f>
        <v>0</v>
      </c>
      <c r="AY22">
        <f>CSV!AY22*台数入力!AY$5</f>
        <v>0</v>
      </c>
      <c r="AZ22">
        <f>CSV!AZ22*台数入力!AZ$5</f>
        <v>0</v>
      </c>
      <c r="BA22">
        <f>CSV!BA22*台数入力!BA$5</f>
        <v>0</v>
      </c>
      <c r="BB22">
        <f>CSV!BB22*台数入力!BB$5</f>
        <v>0</v>
      </c>
      <c r="BC22">
        <f>CSV!BC22*台数入力!BC$5</f>
        <v>0</v>
      </c>
      <c r="BD22">
        <f>CSV!BD22*台数入力!BD$5</f>
        <v>0</v>
      </c>
      <c r="BE22">
        <f>CSV!BE22*台数入力!BE$5</f>
        <v>0</v>
      </c>
      <c r="BF22">
        <f>CSV!BF22*台数入力!BF$5</f>
        <v>0</v>
      </c>
      <c r="BG22">
        <f>CSV!BG22*台数入力!BG$5</f>
        <v>0</v>
      </c>
      <c r="BH22">
        <f>CSV!BH22*台数入力!BH$5</f>
        <v>0</v>
      </c>
      <c r="BI22">
        <f>CSV!BI22*台数入力!BI$5</f>
        <v>0</v>
      </c>
      <c r="BJ22">
        <f>CSV!BJ22*台数入力!BJ$5</f>
        <v>0</v>
      </c>
      <c r="BK22">
        <f>CSV!BK22*台数入力!BK$5</f>
        <v>0</v>
      </c>
      <c r="BL22">
        <f>CSV!BL22*台数入力!BL$5</f>
        <v>0</v>
      </c>
      <c r="BM22">
        <f>CSV!BM22*台数入力!BM$5</f>
        <v>0</v>
      </c>
      <c r="BN22">
        <f>CSV!BN22*台数入力!BN$5</f>
        <v>0</v>
      </c>
      <c r="BO22">
        <f>CSV!BO22*台数入力!BO$5</f>
        <v>0</v>
      </c>
      <c r="BP22">
        <f>CSV!BP22*台数入力!BP$5</f>
        <v>0</v>
      </c>
      <c r="BQ22">
        <f>CSV!BQ22*台数入力!BQ$5</f>
        <v>0</v>
      </c>
      <c r="BR22">
        <f>CSV!BR22*台数入力!BR$5</f>
        <v>0</v>
      </c>
    </row>
    <row r="23" spans="2:70" x14ac:dyDescent="0.55000000000000004">
      <c r="B23" t="str">
        <f>CSV!B23</f>
        <v>NPM-7</v>
      </c>
      <c r="C23">
        <f>CSV!C23</f>
        <v>2</v>
      </c>
      <c r="D23">
        <f>CSV!D23</f>
        <v>142001</v>
      </c>
      <c r="F23">
        <f>CSV!F23</f>
        <v>0</v>
      </c>
      <c r="I23">
        <f>CSV!I23*台数入力!I$5</f>
        <v>0</v>
      </c>
      <c r="J23">
        <f>CSV!J23*台数入力!J$5</f>
        <v>0</v>
      </c>
      <c r="K23">
        <f>CSV!K23*台数入力!K$5</f>
        <v>0</v>
      </c>
      <c r="L23">
        <f>CSV!L23*台数入力!L$5</f>
        <v>0</v>
      </c>
      <c r="M23">
        <f>CSV!M23*台数入力!M$5</f>
        <v>0</v>
      </c>
      <c r="N23">
        <f>CSV!N23*台数入力!N$5</f>
        <v>0</v>
      </c>
      <c r="O23">
        <f>CSV!O23*台数入力!O$5</f>
        <v>0</v>
      </c>
      <c r="P23">
        <f>CSV!P23*台数入力!P$5</f>
        <v>0</v>
      </c>
      <c r="Q23">
        <f>CSV!Q23*台数入力!Q$5</f>
        <v>0</v>
      </c>
      <c r="R23">
        <f>CSV!R23*台数入力!R$5</f>
        <v>0</v>
      </c>
      <c r="S23">
        <f>CSV!S23*台数入力!S$5</f>
        <v>0</v>
      </c>
      <c r="T23">
        <f>CSV!T23*台数入力!T$5</f>
        <v>0</v>
      </c>
      <c r="U23">
        <f>CSV!U23*台数入力!U$5</f>
        <v>0</v>
      </c>
      <c r="V23">
        <f>CSV!V23*台数入力!V$5</f>
        <v>0</v>
      </c>
      <c r="W23">
        <f>CSV!W23*台数入力!W$5</f>
        <v>0</v>
      </c>
      <c r="X23">
        <f>CSV!X23*台数入力!X$5</f>
        <v>0</v>
      </c>
      <c r="Y23">
        <f>CSV!Y23*台数入力!Y$5</f>
        <v>0</v>
      </c>
      <c r="Z23">
        <f>CSV!Z23*台数入力!Z$5</f>
        <v>0</v>
      </c>
      <c r="AA23">
        <f>CSV!AA23*台数入力!AA$5</f>
        <v>0</v>
      </c>
      <c r="AB23">
        <f>CSV!AB23*台数入力!AB$5</f>
        <v>0</v>
      </c>
      <c r="AC23">
        <f>CSV!AC23*台数入力!AC$5</f>
        <v>0</v>
      </c>
      <c r="AD23">
        <f>CSV!AD23*台数入力!AD$5</f>
        <v>0</v>
      </c>
      <c r="AE23">
        <f>CSV!AE23*台数入力!AE$5</f>
        <v>0</v>
      </c>
      <c r="AF23">
        <f>CSV!AF23*台数入力!AF$5</f>
        <v>0</v>
      </c>
      <c r="AG23">
        <f>CSV!AG23*台数入力!AG$5</f>
        <v>0</v>
      </c>
      <c r="AH23">
        <f>CSV!AH23*台数入力!AH$5</f>
        <v>0</v>
      </c>
      <c r="AI23">
        <f>CSV!AI23*台数入力!AI$5</f>
        <v>0</v>
      </c>
      <c r="AJ23">
        <f>CSV!AJ23*台数入力!AJ$5</f>
        <v>0</v>
      </c>
      <c r="AK23">
        <f>CSV!AK23*台数入力!AK$5</f>
        <v>0</v>
      </c>
      <c r="AL23">
        <f>CSV!AL23*台数入力!AL$5</f>
        <v>0</v>
      </c>
      <c r="AM23">
        <f>CSV!AM23*台数入力!AM$5</f>
        <v>0</v>
      </c>
      <c r="AN23">
        <f>CSV!AN23*台数入力!AN$5</f>
        <v>0</v>
      </c>
      <c r="AO23">
        <f>CSV!AO23*台数入力!AO$5</f>
        <v>0</v>
      </c>
      <c r="AP23">
        <f>CSV!AP23*台数入力!AP$5</f>
        <v>0</v>
      </c>
      <c r="AQ23">
        <f>CSV!AQ23*台数入力!AQ$5</f>
        <v>0</v>
      </c>
      <c r="AR23">
        <f>CSV!AR23*台数入力!AR$5</f>
        <v>0</v>
      </c>
      <c r="AS23">
        <f>CSV!AS23*台数入力!AS$5</f>
        <v>0</v>
      </c>
      <c r="AT23">
        <f>CSV!AT23*台数入力!AT$5</f>
        <v>0</v>
      </c>
      <c r="AU23">
        <f>CSV!AU23*台数入力!AU$5</f>
        <v>0</v>
      </c>
      <c r="AV23">
        <f>CSV!AV23*台数入力!AV$5</f>
        <v>0</v>
      </c>
      <c r="AW23">
        <f>CSV!AW23*台数入力!AW$5</f>
        <v>0</v>
      </c>
      <c r="AX23">
        <f>CSV!AX23*台数入力!AX$5</f>
        <v>0</v>
      </c>
      <c r="AY23">
        <f>CSV!AY23*台数入力!AY$5</f>
        <v>0</v>
      </c>
      <c r="AZ23">
        <f>CSV!AZ23*台数入力!AZ$5</f>
        <v>0</v>
      </c>
      <c r="BA23">
        <f>CSV!BA23*台数入力!BA$5</f>
        <v>0</v>
      </c>
      <c r="BB23">
        <f>CSV!BB23*台数入力!BB$5</f>
        <v>0</v>
      </c>
      <c r="BC23">
        <f>CSV!BC23*台数入力!BC$5</f>
        <v>0</v>
      </c>
      <c r="BD23">
        <f>CSV!BD23*台数入力!BD$5</f>
        <v>0</v>
      </c>
      <c r="BE23">
        <f>CSV!BE23*台数入力!BE$5</f>
        <v>0</v>
      </c>
      <c r="BF23">
        <f>CSV!BF23*台数入力!BF$5</f>
        <v>0</v>
      </c>
      <c r="BG23">
        <f>CSV!BG23*台数入力!BG$5</f>
        <v>0</v>
      </c>
      <c r="BH23">
        <f>CSV!BH23*台数入力!BH$5</f>
        <v>0</v>
      </c>
      <c r="BI23">
        <f>CSV!BI23*台数入力!BI$5</f>
        <v>0</v>
      </c>
      <c r="BJ23">
        <f>CSV!BJ23*台数入力!BJ$5</f>
        <v>0</v>
      </c>
      <c r="BK23">
        <f>CSV!BK23*台数入力!BK$5</f>
        <v>0</v>
      </c>
      <c r="BL23">
        <f>CSV!BL23*台数入力!BL$5</f>
        <v>0</v>
      </c>
      <c r="BM23">
        <f>CSV!BM23*台数入力!BM$5</f>
        <v>0</v>
      </c>
      <c r="BN23">
        <f>CSV!BN23*台数入力!BN$5</f>
        <v>0</v>
      </c>
      <c r="BO23">
        <f>CSV!BO23*台数入力!BO$5</f>
        <v>0</v>
      </c>
      <c r="BP23">
        <f>CSV!BP23*台数入力!BP$5</f>
        <v>0</v>
      </c>
      <c r="BQ23">
        <f>CSV!BQ23*台数入力!BQ$5</f>
        <v>0</v>
      </c>
      <c r="BR23">
        <f>CSV!BR23*台数入力!BR$5</f>
        <v>0</v>
      </c>
    </row>
    <row r="24" spans="2:70" x14ac:dyDescent="0.55000000000000004">
      <c r="B24" t="str">
        <f>CSV!B24</f>
        <v>NPM-7</v>
      </c>
      <c r="C24">
        <f>CSV!C24</f>
        <v>2</v>
      </c>
      <c r="D24">
        <f>CSV!D24</f>
        <v>142002</v>
      </c>
      <c r="F24">
        <f>CSV!F24</f>
        <v>0</v>
      </c>
      <c r="I24">
        <f>CSV!I24*台数入力!I$5</f>
        <v>0</v>
      </c>
      <c r="J24">
        <f>CSV!J24*台数入力!J$5</f>
        <v>0</v>
      </c>
      <c r="K24">
        <f>CSV!K24*台数入力!K$5</f>
        <v>0</v>
      </c>
      <c r="L24">
        <f>CSV!L24*台数入力!L$5</f>
        <v>0</v>
      </c>
      <c r="M24">
        <f>CSV!M24*台数入力!M$5</f>
        <v>0</v>
      </c>
      <c r="N24">
        <f>CSV!N24*台数入力!N$5</f>
        <v>0</v>
      </c>
      <c r="O24">
        <f>CSV!O24*台数入力!O$5</f>
        <v>0</v>
      </c>
      <c r="P24">
        <f>CSV!P24*台数入力!P$5</f>
        <v>0</v>
      </c>
      <c r="Q24">
        <f>CSV!Q24*台数入力!Q$5</f>
        <v>0</v>
      </c>
      <c r="R24">
        <f>CSV!R24*台数入力!R$5</f>
        <v>0</v>
      </c>
      <c r="S24">
        <f>CSV!S24*台数入力!S$5</f>
        <v>0</v>
      </c>
      <c r="T24">
        <f>CSV!T24*台数入力!T$5</f>
        <v>0</v>
      </c>
      <c r="U24">
        <f>CSV!U24*台数入力!U$5</f>
        <v>0</v>
      </c>
      <c r="V24">
        <f>CSV!V24*台数入力!V$5</f>
        <v>0</v>
      </c>
      <c r="W24">
        <f>CSV!W24*台数入力!W$5</f>
        <v>0</v>
      </c>
      <c r="X24">
        <f>CSV!X24*台数入力!X$5</f>
        <v>0</v>
      </c>
      <c r="Y24">
        <f>CSV!Y24*台数入力!Y$5</f>
        <v>0</v>
      </c>
      <c r="Z24">
        <f>CSV!Z24*台数入力!Z$5</f>
        <v>0</v>
      </c>
      <c r="AA24">
        <f>CSV!AA24*台数入力!AA$5</f>
        <v>0</v>
      </c>
      <c r="AB24">
        <f>CSV!AB24*台数入力!AB$5</f>
        <v>0</v>
      </c>
      <c r="AC24">
        <f>CSV!AC24*台数入力!AC$5</f>
        <v>0</v>
      </c>
      <c r="AD24">
        <f>CSV!AD24*台数入力!AD$5</f>
        <v>0</v>
      </c>
      <c r="AE24">
        <f>CSV!AE24*台数入力!AE$5</f>
        <v>0</v>
      </c>
      <c r="AF24">
        <f>CSV!AF24*台数入力!AF$5</f>
        <v>0</v>
      </c>
      <c r="AG24">
        <f>CSV!AG24*台数入力!AG$5</f>
        <v>0</v>
      </c>
      <c r="AH24">
        <f>CSV!AH24*台数入力!AH$5</f>
        <v>0</v>
      </c>
      <c r="AI24">
        <f>CSV!AI24*台数入力!AI$5</f>
        <v>0</v>
      </c>
      <c r="AJ24">
        <f>CSV!AJ24*台数入力!AJ$5</f>
        <v>0</v>
      </c>
      <c r="AK24">
        <f>CSV!AK24*台数入力!AK$5</f>
        <v>0</v>
      </c>
      <c r="AL24">
        <f>CSV!AL24*台数入力!AL$5</f>
        <v>0</v>
      </c>
      <c r="AM24">
        <f>CSV!AM24*台数入力!AM$5</f>
        <v>0</v>
      </c>
      <c r="AN24">
        <f>CSV!AN24*台数入力!AN$5</f>
        <v>0</v>
      </c>
      <c r="AO24">
        <f>CSV!AO24*台数入力!AO$5</f>
        <v>0</v>
      </c>
      <c r="AP24">
        <f>CSV!AP24*台数入力!AP$5</f>
        <v>0</v>
      </c>
      <c r="AQ24">
        <f>CSV!AQ24*台数入力!AQ$5</f>
        <v>0</v>
      </c>
      <c r="AR24">
        <f>CSV!AR24*台数入力!AR$5</f>
        <v>0</v>
      </c>
      <c r="AS24">
        <f>CSV!AS24*台数入力!AS$5</f>
        <v>0</v>
      </c>
      <c r="AT24">
        <f>CSV!AT24*台数入力!AT$5</f>
        <v>0</v>
      </c>
      <c r="AU24">
        <f>CSV!AU24*台数入力!AU$5</f>
        <v>0</v>
      </c>
      <c r="AV24">
        <f>CSV!AV24*台数入力!AV$5</f>
        <v>0</v>
      </c>
      <c r="AW24">
        <f>CSV!AW24*台数入力!AW$5</f>
        <v>0</v>
      </c>
      <c r="AX24">
        <f>CSV!AX24*台数入力!AX$5</f>
        <v>0</v>
      </c>
      <c r="AY24">
        <f>CSV!AY24*台数入力!AY$5</f>
        <v>0</v>
      </c>
      <c r="AZ24">
        <f>CSV!AZ24*台数入力!AZ$5</f>
        <v>0</v>
      </c>
      <c r="BA24">
        <f>CSV!BA24*台数入力!BA$5</f>
        <v>0</v>
      </c>
      <c r="BB24">
        <f>CSV!BB24*台数入力!BB$5</f>
        <v>0</v>
      </c>
      <c r="BC24">
        <f>CSV!BC24*台数入力!BC$5</f>
        <v>0</v>
      </c>
      <c r="BD24">
        <f>CSV!BD24*台数入力!BD$5</f>
        <v>0</v>
      </c>
      <c r="BE24">
        <f>CSV!BE24*台数入力!BE$5</f>
        <v>0</v>
      </c>
      <c r="BF24">
        <f>CSV!BF24*台数入力!BF$5</f>
        <v>0</v>
      </c>
      <c r="BG24">
        <f>CSV!BG24*台数入力!BG$5</f>
        <v>0</v>
      </c>
      <c r="BH24">
        <f>CSV!BH24*台数入力!BH$5</f>
        <v>0</v>
      </c>
      <c r="BI24">
        <f>CSV!BI24*台数入力!BI$5</f>
        <v>0</v>
      </c>
      <c r="BJ24">
        <f>CSV!BJ24*台数入力!BJ$5</f>
        <v>0</v>
      </c>
      <c r="BK24">
        <f>CSV!BK24*台数入力!BK$5</f>
        <v>0</v>
      </c>
      <c r="BL24">
        <f>CSV!BL24*台数入力!BL$5</f>
        <v>0</v>
      </c>
      <c r="BM24">
        <f>CSV!BM24*台数入力!BM$5</f>
        <v>0</v>
      </c>
      <c r="BN24">
        <f>CSV!BN24*台数入力!BN$5</f>
        <v>0</v>
      </c>
      <c r="BO24">
        <f>CSV!BO24*台数入力!BO$5</f>
        <v>0</v>
      </c>
      <c r="BP24">
        <f>CSV!BP24*台数入力!BP$5</f>
        <v>0</v>
      </c>
      <c r="BQ24">
        <f>CSV!BQ24*台数入力!BQ$5</f>
        <v>0</v>
      </c>
      <c r="BR24">
        <f>CSV!BR24*台数入力!BR$5</f>
        <v>0</v>
      </c>
    </row>
    <row r="25" spans="2:70" x14ac:dyDescent="0.55000000000000004">
      <c r="B25" t="str">
        <f>CSV!B25</f>
        <v>NPM-7</v>
      </c>
      <c r="C25">
        <f>CSV!C25</f>
        <v>2</v>
      </c>
      <c r="D25">
        <f>CSV!D25</f>
        <v>142003</v>
      </c>
      <c r="F25">
        <f>CSV!F25</f>
        <v>0</v>
      </c>
      <c r="I25">
        <f>CSV!I25*台数入力!I$5</f>
        <v>0</v>
      </c>
      <c r="J25">
        <f>CSV!J25*台数入力!J$5</f>
        <v>0</v>
      </c>
      <c r="K25">
        <f>CSV!K25*台数入力!K$5</f>
        <v>0</v>
      </c>
      <c r="L25">
        <f>CSV!L25*台数入力!L$5</f>
        <v>0</v>
      </c>
      <c r="M25">
        <f>CSV!M25*台数入力!M$5</f>
        <v>0</v>
      </c>
      <c r="N25">
        <f>CSV!N25*台数入力!N$5</f>
        <v>0</v>
      </c>
      <c r="O25">
        <f>CSV!O25*台数入力!O$5</f>
        <v>0</v>
      </c>
      <c r="P25">
        <f>CSV!P25*台数入力!P$5</f>
        <v>0</v>
      </c>
      <c r="Q25">
        <f>CSV!Q25*台数入力!Q$5</f>
        <v>0</v>
      </c>
      <c r="R25">
        <f>CSV!R25*台数入力!R$5</f>
        <v>0</v>
      </c>
      <c r="S25">
        <f>CSV!S25*台数入力!S$5</f>
        <v>0</v>
      </c>
      <c r="T25">
        <f>CSV!T25*台数入力!T$5</f>
        <v>0</v>
      </c>
      <c r="U25">
        <f>CSV!U25*台数入力!U$5</f>
        <v>0</v>
      </c>
      <c r="V25">
        <f>CSV!V25*台数入力!V$5</f>
        <v>0</v>
      </c>
      <c r="W25">
        <f>CSV!W25*台数入力!W$5</f>
        <v>0</v>
      </c>
      <c r="X25">
        <f>CSV!X25*台数入力!X$5</f>
        <v>0</v>
      </c>
      <c r="Y25">
        <f>CSV!Y25*台数入力!Y$5</f>
        <v>0</v>
      </c>
      <c r="Z25">
        <f>CSV!Z25*台数入力!Z$5</f>
        <v>0</v>
      </c>
      <c r="AA25">
        <f>CSV!AA25*台数入力!AA$5</f>
        <v>0</v>
      </c>
      <c r="AB25">
        <f>CSV!AB25*台数入力!AB$5</f>
        <v>0</v>
      </c>
      <c r="AC25">
        <f>CSV!AC25*台数入力!AC$5</f>
        <v>0</v>
      </c>
      <c r="AD25">
        <f>CSV!AD25*台数入力!AD$5</f>
        <v>0</v>
      </c>
      <c r="AE25">
        <f>CSV!AE25*台数入力!AE$5</f>
        <v>0</v>
      </c>
      <c r="AF25">
        <f>CSV!AF25*台数入力!AF$5</f>
        <v>0</v>
      </c>
      <c r="AG25">
        <f>CSV!AG25*台数入力!AG$5</f>
        <v>0</v>
      </c>
      <c r="AH25">
        <f>CSV!AH25*台数入力!AH$5</f>
        <v>0</v>
      </c>
      <c r="AI25">
        <f>CSV!AI25*台数入力!AI$5</f>
        <v>0</v>
      </c>
      <c r="AJ25">
        <f>CSV!AJ25*台数入力!AJ$5</f>
        <v>0</v>
      </c>
      <c r="AK25">
        <f>CSV!AK25*台数入力!AK$5</f>
        <v>0</v>
      </c>
      <c r="AL25">
        <f>CSV!AL25*台数入力!AL$5</f>
        <v>0</v>
      </c>
      <c r="AM25">
        <f>CSV!AM25*台数入力!AM$5</f>
        <v>0</v>
      </c>
      <c r="AN25">
        <f>CSV!AN25*台数入力!AN$5</f>
        <v>0</v>
      </c>
      <c r="AO25">
        <f>CSV!AO25*台数入力!AO$5</f>
        <v>0</v>
      </c>
      <c r="AP25">
        <f>CSV!AP25*台数入力!AP$5</f>
        <v>0</v>
      </c>
      <c r="AQ25">
        <f>CSV!AQ25*台数入力!AQ$5</f>
        <v>0</v>
      </c>
      <c r="AR25">
        <f>CSV!AR25*台数入力!AR$5</f>
        <v>0</v>
      </c>
      <c r="AS25">
        <f>CSV!AS25*台数入力!AS$5</f>
        <v>0</v>
      </c>
      <c r="AT25">
        <f>CSV!AT25*台数入力!AT$5</f>
        <v>0</v>
      </c>
      <c r="AU25">
        <f>CSV!AU25*台数入力!AU$5</f>
        <v>0</v>
      </c>
      <c r="AV25">
        <f>CSV!AV25*台数入力!AV$5</f>
        <v>0</v>
      </c>
      <c r="AW25">
        <f>CSV!AW25*台数入力!AW$5</f>
        <v>0</v>
      </c>
      <c r="AX25">
        <f>CSV!AX25*台数入力!AX$5</f>
        <v>0</v>
      </c>
      <c r="AY25">
        <f>CSV!AY25*台数入力!AY$5</f>
        <v>0</v>
      </c>
      <c r="AZ25">
        <f>CSV!AZ25*台数入力!AZ$5</f>
        <v>0</v>
      </c>
      <c r="BA25">
        <f>CSV!BA25*台数入力!BA$5</f>
        <v>0</v>
      </c>
      <c r="BB25">
        <f>CSV!BB25*台数入力!BB$5</f>
        <v>0</v>
      </c>
      <c r="BC25">
        <f>CSV!BC25*台数入力!BC$5</f>
        <v>0</v>
      </c>
      <c r="BD25">
        <f>CSV!BD25*台数入力!BD$5</f>
        <v>0</v>
      </c>
      <c r="BE25">
        <f>CSV!BE25*台数入力!BE$5</f>
        <v>0</v>
      </c>
      <c r="BF25">
        <f>CSV!BF25*台数入力!BF$5</f>
        <v>0</v>
      </c>
      <c r="BG25">
        <f>CSV!BG25*台数入力!BG$5</f>
        <v>0</v>
      </c>
      <c r="BH25">
        <f>CSV!BH25*台数入力!BH$5</f>
        <v>0</v>
      </c>
      <c r="BI25">
        <f>CSV!BI25*台数入力!BI$5</f>
        <v>0</v>
      </c>
      <c r="BJ25">
        <f>CSV!BJ25*台数入力!BJ$5</f>
        <v>0</v>
      </c>
      <c r="BK25">
        <f>CSV!BK25*台数入力!BK$5</f>
        <v>0</v>
      </c>
      <c r="BL25">
        <f>CSV!BL25*台数入力!BL$5</f>
        <v>0</v>
      </c>
      <c r="BM25">
        <f>CSV!BM25*台数入力!BM$5</f>
        <v>0</v>
      </c>
      <c r="BN25">
        <f>CSV!BN25*台数入力!BN$5</f>
        <v>0</v>
      </c>
      <c r="BO25">
        <f>CSV!BO25*台数入力!BO$5</f>
        <v>0</v>
      </c>
      <c r="BP25">
        <f>CSV!BP25*台数入力!BP$5</f>
        <v>0</v>
      </c>
      <c r="BQ25">
        <f>CSV!BQ25*台数入力!BQ$5</f>
        <v>0</v>
      </c>
      <c r="BR25">
        <f>CSV!BR25*台数入力!BR$5</f>
        <v>0</v>
      </c>
    </row>
    <row r="26" spans="2:70" x14ac:dyDescent="0.55000000000000004">
      <c r="B26" t="str">
        <f>CSV!B26</f>
        <v>NPM-7</v>
      </c>
      <c r="C26">
        <f>CSV!C26</f>
        <v>2</v>
      </c>
      <c r="D26">
        <f>CSV!D26</f>
        <v>142004</v>
      </c>
      <c r="F26">
        <f>CSV!F26</f>
        <v>0</v>
      </c>
      <c r="I26">
        <f>CSV!I26*台数入力!I$5</f>
        <v>0</v>
      </c>
      <c r="J26">
        <f>CSV!J26*台数入力!J$5</f>
        <v>0</v>
      </c>
      <c r="K26">
        <f>CSV!K26*台数入力!K$5</f>
        <v>0</v>
      </c>
      <c r="L26">
        <f>CSV!L26*台数入力!L$5</f>
        <v>0</v>
      </c>
      <c r="M26">
        <f>CSV!M26*台数入力!M$5</f>
        <v>0</v>
      </c>
      <c r="N26">
        <f>CSV!N26*台数入力!N$5</f>
        <v>0</v>
      </c>
      <c r="O26">
        <f>CSV!O26*台数入力!O$5</f>
        <v>0</v>
      </c>
      <c r="P26">
        <f>CSV!P26*台数入力!P$5</f>
        <v>0</v>
      </c>
      <c r="Q26">
        <f>CSV!Q26*台数入力!Q$5</f>
        <v>0</v>
      </c>
      <c r="R26">
        <f>CSV!R26*台数入力!R$5</f>
        <v>0</v>
      </c>
      <c r="S26">
        <f>CSV!S26*台数入力!S$5</f>
        <v>0</v>
      </c>
      <c r="T26">
        <f>CSV!T26*台数入力!T$5</f>
        <v>0</v>
      </c>
      <c r="U26">
        <f>CSV!U26*台数入力!U$5</f>
        <v>0</v>
      </c>
      <c r="V26">
        <f>CSV!V26*台数入力!V$5</f>
        <v>0</v>
      </c>
      <c r="W26">
        <f>CSV!W26*台数入力!W$5</f>
        <v>0</v>
      </c>
      <c r="X26">
        <f>CSV!X26*台数入力!X$5</f>
        <v>0</v>
      </c>
      <c r="Y26">
        <f>CSV!Y26*台数入力!Y$5</f>
        <v>0</v>
      </c>
      <c r="Z26">
        <f>CSV!Z26*台数入力!Z$5</f>
        <v>0</v>
      </c>
      <c r="AA26">
        <f>CSV!AA26*台数入力!AA$5</f>
        <v>0</v>
      </c>
      <c r="AB26">
        <f>CSV!AB26*台数入力!AB$5</f>
        <v>0</v>
      </c>
      <c r="AC26">
        <f>CSV!AC26*台数入力!AC$5</f>
        <v>0</v>
      </c>
      <c r="AD26">
        <f>CSV!AD26*台数入力!AD$5</f>
        <v>0</v>
      </c>
      <c r="AE26">
        <f>CSV!AE26*台数入力!AE$5</f>
        <v>0</v>
      </c>
      <c r="AF26">
        <f>CSV!AF26*台数入力!AF$5</f>
        <v>0</v>
      </c>
      <c r="AG26">
        <f>CSV!AG26*台数入力!AG$5</f>
        <v>0</v>
      </c>
      <c r="AH26">
        <f>CSV!AH26*台数入力!AH$5</f>
        <v>0</v>
      </c>
      <c r="AI26">
        <f>CSV!AI26*台数入力!AI$5</f>
        <v>0</v>
      </c>
      <c r="AJ26">
        <f>CSV!AJ26*台数入力!AJ$5</f>
        <v>0</v>
      </c>
      <c r="AK26">
        <f>CSV!AK26*台数入力!AK$5</f>
        <v>0</v>
      </c>
      <c r="AL26">
        <f>CSV!AL26*台数入力!AL$5</f>
        <v>0</v>
      </c>
      <c r="AM26">
        <f>CSV!AM26*台数入力!AM$5</f>
        <v>0</v>
      </c>
      <c r="AN26">
        <f>CSV!AN26*台数入力!AN$5</f>
        <v>0</v>
      </c>
      <c r="AO26">
        <f>CSV!AO26*台数入力!AO$5</f>
        <v>0</v>
      </c>
      <c r="AP26">
        <f>CSV!AP26*台数入力!AP$5</f>
        <v>0</v>
      </c>
      <c r="AQ26">
        <f>CSV!AQ26*台数入力!AQ$5</f>
        <v>0</v>
      </c>
      <c r="AR26">
        <f>CSV!AR26*台数入力!AR$5</f>
        <v>0</v>
      </c>
      <c r="AS26">
        <f>CSV!AS26*台数入力!AS$5</f>
        <v>0</v>
      </c>
      <c r="AT26">
        <f>CSV!AT26*台数入力!AT$5</f>
        <v>0</v>
      </c>
      <c r="AU26">
        <f>CSV!AU26*台数入力!AU$5</f>
        <v>0</v>
      </c>
      <c r="AV26">
        <f>CSV!AV26*台数入力!AV$5</f>
        <v>0</v>
      </c>
      <c r="AW26">
        <f>CSV!AW26*台数入力!AW$5</f>
        <v>0</v>
      </c>
      <c r="AX26">
        <f>CSV!AX26*台数入力!AX$5</f>
        <v>0</v>
      </c>
      <c r="AY26">
        <f>CSV!AY26*台数入力!AY$5</f>
        <v>0</v>
      </c>
      <c r="AZ26">
        <f>CSV!AZ26*台数入力!AZ$5</f>
        <v>0</v>
      </c>
      <c r="BA26">
        <f>CSV!BA26*台数入力!BA$5</f>
        <v>0</v>
      </c>
      <c r="BB26">
        <f>CSV!BB26*台数入力!BB$5</f>
        <v>0</v>
      </c>
      <c r="BC26">
        <f>CSV!BC26*台数入力!BC$5</f>
        <v>0</v>
      </c>
      <c r="BD26">
        <f>CSV!BD26*台数入力!BD$5</f>
        <v>0</v>
      </c>
      <c r="BE26">
        <f>CSV!BE26*台数入力!BE$5</f>
        <v>0</v>
      </c>
      <c r="BF26">
        <f>CSV!BF26*台数入力!BF$5</f>
        <v>0</v>
      </c>
      <c r="BG26">
        <f>CSV!BG26*台数入力!BG$5</f>
        <v>0</v>
      </c>
      <c r="BH26">
        <f>CSV!BH26*台数入力!BH$5</f>
        <v>0</v>
      </c>
      <c r="BI26">
        <f>CSV!BI26*台数入力!BI$5</f>
        <v>0</v>
      </c>
      <c r="BJ26">
        <f>CSV!BJ26*台数入力!BJ$5</f>
        <v>0</v>
      </c>
      <c r="BK26">
        <f>CSV!BK26*台数入力!BK$5</f>
        <v>0</v>
      </c>
      <c r="BL26">
        <f>CSV!BL26*台数入力!BL$5</f>
        <v>0</v>
      </c>
      <c r="BM26">
        <f>CSV!BM26*台数入力!BM$5</f>
        <v>0</v>
      </c>
      <c r="BN26">
        <f>CSV!BN26*台数入力!BN$5</f>
        <v>0</v>
      </c>
      <c r="BO26">
        <f>CSV!BO26*台数入力!BO$5</f>
        <v>0</v>
      </c>
      <c r="BP26">
        <f>CSV!BP26*台数入力!BP$5</f>
        <v>0</v>
      </c>
      <c r="BQ26">
        <f>CSV!BQ26*台数入力!BQ$5</f>
        <v>0</v>
      </c>
      <c r="BR26">
        <f>CSV!BR26*台数入力!BR$5</f>
        <v>0</v>
      </c>
    </row>
    <row r="27" spans="2:70" x14ac:dyDescent="0.55000000000000004">
      <c r="B27" t="str">
        <f>CSV!B27</f>
        <v>NPM-7</v>
      </c>
      <c r="C27">
        <f>CSV!C27</f>
        <v>2</v>
      </c>
      <c r="D27">
        <f>CSV!D27</f>
        <v>142005</v>
      </c>
      <c r="F27">
        <f>CSV!F27</f>
        <v>0</v>
      </c>
      <c r="I27">
        <f>CSV!I27*台数入力!I$5</f>
        <v>0</v>
      </c>
      <c r="J27">
        <f>CSV!J27*台数入力!J$5</f>
        <v>0</v>
      </c>
      <c r="K27">
        <f>CSV!K27*台数入力!K$5</f>
        <v>0</v>
      </c>
      <c r="L27">
        <f>CSV!L27*台数入力!L$5</f>
        <v>0</v>
      </c>
      <c r="M27">
        <f>CSV!M27*台数入力!M$5</f>
        <v>0</v>
      </c>
      <c r="N27">
        <f>CSV!N27*台数入力!N$5</f>
        <v>0</v>
      </c>
      <c r="O27">
        <f>CSV!O27*台数入力!O$5</f>
        <v>0</v>
      </c>
      <c r="P27">
        <f>CSV!P27*台数入力!P$5</f>
        <v>0</v>
      </c>
      <c r="Q27">
        <f>CSV!Q27*台数入力!Q$5</f>
        <v>0</v>
      </c>
      <c r="R27">
        <f>CSV!R27*台数入力!R$5</f>
        <v>0</v>
      </c>
      <c r="S27">
        <f>CSV!S27*台数入力!S$5</f>
        <v>0</v>
      </c>
      <c r="T27">
        <f>CSV!T27*台数入力!T$5</f>
        <v>0</v>
      </c>
      <c r="U27">
        <f>CSV!U27*台数入力!U$5</f>
        <v>0</v>
      </c>
      <c r="V27">
        <f>CSV!V27*台数入力!V$5</f>
        <v>0</v>
      </c>
      <c r="W27">
        <f>CSV!W27*台数入力!W$5</f>
        <v>0</v>
      </c>
      <c r="X27">
        <f>CSV!X27*台数入力!X$5</f>
        <v>0</v>
      </c>
      <c r="Y27">
        <f>CSV!Y27*台数入力!Y$5</f>
        <v>0</v>
      </c>
      <c r="Z27">
        <f>CSV!Z27*台数入力!Z$5</f>
        <v>0</v>
      </c>
      <c r="AA27">
        <f>CSV!AA27*台数入力!AA$5</f>
        <v>0</v>
      </c>
      <c r="AB27">
        <f>CSV!AB27*台数入力!AB$5</f>
        <v>0</v>
      </c>
      <c r="AC27">
        <f>CSV!AC27*台数入力!AC$5</f>
        <v>0</v>
      </c>
      <c r="AD27">
        <f>CSV!AD27*台数入力!AD$5</f>
        <v>0</v>
      </c>
      <c r="AE27">
        <f>CSV!AE27*台数入力!AE$5</f>
        <v>0</v>
      </c>
      <c r="AF27">
        <f>CSV!AF27*台数入力!AF$5</f>
        <v>0</v>
      </c>
      <c r="AG27">
        <f>CSV!AG27*台数入力!AG$5</f>
        <v>0</v>
      </c>
      <c r="AH27">
        <f>CSV!AH27*台数入力!AH$5</f>
        <v>0</v>
      </c>
      <c r="AI27">
        <f>CSV!AI27*台数入力!AI$5</f>
        <v>0</v>
      </c>
      <c r="AJ27">
        <f>CSV!AJ27*台数入力!AJ$5</f>
        <v>0</v>
      </c>
      <c r="AK27">
        <f>CSV!AK27*台数入力!AK$5</f>
        <v>0</v>
      </c>
      <c r="AL27">
        <f>CSV!AL27*台数入力!AL$5</f>
        <v>0</v>
      </c>
      <c r="AM27">
        <f>CSV!AM27*台数入力!AM$5</f>
        <v>0</v>
      </c>
      <c r="AN27">
        <f>CSV!AN27*台数入力!AN$5</f>
        <v>0</v>
      </c>
      <c r="AO27">
        <f>CSV!AO27*台数入力!AO$5</f>
        <v>0</v>
      </c>
      <c r="AP27">
        <f>CSV!AP27*台数入力!AP$5</f>
        <v>0</v>
      </c>
      <c r="AQ27">
        <f>CSV!AQ27*台数入力!AQ$5</f>
        <v>0</v>
      </c>
      <c r="AR27">
        <f>CSV!AR27*台数入力!AR$5</f>
        <v>0</v>
      </c>
      <c r="AS27">
        <f>CSV!AS27*台数入力!AS$5</f>
        <v>0</v>
      </c>
      <c r="AT27">
        <f>CSV!AT27*台数入力!AT$5</f>
        <v>0</v>
      </c>
      <c r="AU27">
        <f>CSV!AU27*台数入力!AU$5</f>
        <v>0</v>
      </c>
      <c r="AV27">
        <f>CSV!AV27*台数入力!AV$5</f>
        <v>0</v>
      </c>
      <c r="AW27">
        <f>CSV!AW27*台数入力!AW$5</f>
        <v>0</v>
      </c>
      <c r="AX27">
        <f>CSV!AX27*台数入力!AX$5</f>
        <v>0</v>
      </c>
      <c r="AY27">
        <f>CSV!AY27*台数入力!AY$5</f>
        <v>0</v>
      </c>
      <c r="AZ27">
        <f>CSV!AZ27*台数入力!AZ$5</f>
        <v>0</v>
      </c>
      <c r="BA27">
        <f>CSV!BA27*台数入力!BA$5</f>
        <v>0</v>
      </c>
      <c r="BB27">
        <f>CSV!BB27*台数入力!BB$5</f>
        <v>0</v>
      </c>
      <c r="BC27">
        <f>CSV!BC27*台数入力!BC$5</f>
        <v>0</v>
      </c>
      <c r="BD27">
        <f>CSV!BD27*台数入力!BD$5</f>
        <v>0</v>
      </c>
      <c r="BE27">
        <f>CSV!BE27*台数入力!BE$5</f>
        <v>0</v>
      </c>
      <c r="BF27">
        <f>CSV!BF27*台数入力!BF$5</f>
        <v>0</v>
      </c>
      <c r="BG27">
        <f>CSV!BG27*台数入力!BG$5</f>
        <v>0</v>
      </c>
      <c r="BH27">
        <f>CSV!BH27*台数入力!BH$5</f>
        <v>0</v>
      </c>
      <c r="BI27">
        <f>CSV!BI27*台数入力!BI$5</f>
        <v>0</v>
      </c>
      <c r="BJ27">
        <f>CSV!BJ27*台数入力!BJ$5</f>
        <v>0</v>
      </c>
      <c r="BK27">
        <f>CSV!BK27*台数入力!BK$5</f>
        <v>0</v>
      </c>
      <c r="BL27">
        <f>CSV!BL27*台数入力!BL$5</f>
        <v>0</v>
      </c>
      <c r="BM27">
        <f>CSV!BM27*台数入力!BM$5</f>
        <v>0</v>
      </c>
      <c r="BN27">
        <f>CSV!BN27*台数入力!BN$5</f>
        <v>0</v>
      </c>
      <c r="BO27">
        <f>CSV!BO27*台数入力!BO$5</f>
        <v>0</v>
      </c>
      <c r="BP27">
        <f>CSV!BP27*台数入力!BP$5</f>
        <v>0</v>
      </c>
      <c r="BQ27">
        <f>CSV!BQ27*台数入力!BQ$5</f>
        <v>0</v>
      </c>
      <c r="BR27">
        <f>CSV!BR27*台数入力!BR$5</f>
        <v>0</v>
      </c>
    </row>
    <row r="28" spans="2:70" x14ac:dyDescent="0.55000000000000004">
      <c r="B28" t="str">
        <f>CSV!B28</f>
        <v>NPM-7</v>
      </c>
      <c r="C28">
        <f>CSV!C28</f>
        <v>2</v>
      </c>
      <c r="D28">
        <f>CSV!D28</f>
        <v>142006</v>
      </c>
      <c r="F28">
        <f>CSV!F28</f>
        <v>0</v>
      </c>
      <c r="I28">
        <f>CSV!I28*台数入力!I$5</f>
        <v>0</v>
      </c>
      <c r="J28">
        <f>CSV!J28*台数入力!J$5</f>
        <v>0</v>
      </c>
      <c r="K28">
        <f>CSV!K28*台数入力!K$5</f>
        <v>0</v>
      </c>
      <c r="L28">
        <f>CSV!L28*台数入力!L$5</f>
        <v>0</v>
      </c>
      <c r="M28">
        <f>CSV!M28*台数入力!M$5</f>
        <v>0</v>
      </c>
      <c r="N28">
        <f>CSV!N28*台数入力!N$5</f>
        <v>0</v>
      </c>
      <c r="O28">
        <f>CSV!O28*台数入力!O$5</f>
        <v>0</v>
      </c>
      <c r="P28">
        <f>CSV!P28*台数入力!P$5</f>
        <v>0</v>
      </c>
      <c r="Q28">
        <f>CSV!Q28*台数入力!Q$5</f>
        <v>0</v>
      </c>
      <c r="R28">
        <f>CSV!R28*台数入力!R$5</f>
        <v>0</v>
      </c>
      <c r="S28">
        <f>CSV!S28*台数入力!S$5</f>
        <v>0</v>
      </c>
      <c r="T28">
        <f>CSV!T28*台数入力!T$5</f>
        <v>0</v>
      </c>
      <c r="U28">
        <f>CSV!U28*台数入力!U$5</f>
        <v>0</v>
      </c>
      <c r="V28">
        <f>CSV!V28*台数入力!V$5</f>
        <v>0</v>
      </c>
      <c r="W28">
        <f>CSV!W28*台数入力!W$5</f>
        <v>0</v>
      </c>
      <c r="X28">
        <f>CSV!X28*台数入力!X$5</f>
        <v>0</v>
      </c>
      <c r="Y28">
        <f>CSV!Y28*台数入力!Y$5</f>
        <v>0</v>
      </c>
      <c r="Z28">
        <f>CSV!Z28*台数入力!Z$5</f>
        <v>0</v>
      </c>
      <c r="AA28">
        <f>CSV!AA28*台数入力!AA$5</f>
        <v>0</v>
      </c>
      <c r="AB28">
        <f>CSV!AB28*台数入力!AB$5</f>
        <v>0</v>
      </c>
      <c r="AC28">
        <f>CSV!AC28*台数入力!AC$5</f>
        <v>0</v>
      </c>
      <c r="AD28">
        <f>CSV!AD28*台数入力!AD$5</f>
        <v>0</v>
      </c>
      <c r="AE28">
        <f>CSV!AE28*台数入力!AE$5</f>
        <v>0</v>
      </c>
      <c r="AF28">
        <f>CSV!AF28*台数入力!AF$5</f>
        <v>0</v>
      </c>
      <c r="AG28">
        <f>CSV!AG28*台数入力!AG$5</f>
        <v>0</v>
      </c>
      <c r="AH28">
        <f>CSV!AH28*台数入力!AH$5</f>
        <v>0</v>
      </c>
      <c r="AI28">
        <f>CSV!AI28*台数入力!AI$5</f>
        <v>0</v>
      </c>
      <c r="AJ28">
        <f>CSV!AJ28*台数入力!AJ$5</f>
        <v>0</v>
      </c>
      <c r="AK28">
        <f>CSV!AK28*台数入力!AK$5</f>
        <v>0</v>
      </c>
      <c r="AL28">
        <f>CSV!AL28*台数入力!AL$5</f>
        <v>0</v>
      </c>
      <c r="AM28">
        <f>CSV!AM28*台数入力!AM$5</f>
        <v>0</v>
      </c>
      <c r="AN28">
        <f>CSV!AN28*台数入力!AN$5</f>
        <v>0</v>
      </c>
      <c r="AO28">
        <f>CSV!AO28*台数入力!AO$5</f>
        <v>0</v>
      </c>
      <c r="AP28">
        <f>CSV!AP28*台数入力!AP$5</f>
        <v>0</v>
      </c>
      <c r="AQ28">
        <f>CSV!AQ28*台数入力!AQ$5</f>
        <v>0</v>
      </c>
      <c r="AR28">
        <f>CSV!AR28*台数入力!AR$5</f>
        <v>0</v>
      </c>
      <c r="AS28">
        <f>CSV!AS28*台数入力!AS$5</f>
        <v>0</v>
      </c>
      <c r="AT28">
        <f>CSV!AT28*台数入力!AT$5</f>
        <v>0</v>
      </c>
      <c r="AU28">
        <f>CSV!AU28*台数入力!AU$5</f>
        <v>0</v>
      </c>
      <c r="AV28">
        <f>CSV!AV28*台数入力!AV$5</f>
        <v>0</v>
      </c>
      <c r="AW28">
        <f>CSV!AW28*台数入力!AW$5</f>
        <v>0</v>
      </c>
      <c r="AX28">
        <f>CSV!AX28*台数入力!AX$5</f>
        <v>0</v>
      </c>
      <c r="AY28">
        <f>CSV!AY28*台数入力!AY$5</f>
        <v>0</v>
      </c>
      <c r="AZ28">
        <f>CSV!AZ28*台数入力!AZ$5</f>
        <v>0</v>
      </c>
      <c r="BA28">
        <f>CSV!BA28*台数入力!BA$5</f>
        <v>0</v>
      </c>
      <c r="BB28">
        <f>CSV!BB28*台数入力!BB$5</f>
        <v>0</v>
      </c>
      <c r="BC28">
        <f>CSV!BC28*台数入力!BC$5</f>
        <v>0</v>
      </c>
      <c r="BD28">
        <f>CSV!BD28*台数入力!BD$5</f>
        <v>0</v>
      </c>
      <c r="BE28">
        <f>CSV!BE28*台数入力!BE$5</f>
        <v>0</v>
      </c>
      <c r="BF28">
        <f>CSV!BF28*台数入力!BF$5</f>
        <v>0</v>
      </c>
      <c r="BG28">
        <f>CSV!BG28*台数入力!BG$5</f>
        <v>0</v>
      </c>
      <c r="BH28">
        <f>CSV!BH28*台数入力!BH$5</f>
        <v>0</v>
      </c>
      <c r="BI28">
        <f>CSV!BI28*台数入力!BI$5</f>
        <v>0</v>
      </c>
      <c r="BJ28">
        <f>CSV!BJ28*台数入力!BJ$5</f>
        <v>0</v>
      </c>
      <c r="BK28">
        <f>CSV!BK28*台数入力!BK$5</f>
        <v>0</v>
      </c>
      <c r="BL28">
        <f>CSV!BL28*台数入力!BL$5</f>
        <v>0</v>
      </c>
      <c r="BM28">
        <f>CSV!BM28*台数入力!BM$5</f>
        <v>0</v>
      </c>
      <c r="BN28">
        <f>CSV!BN28*台数入力!BN$5</f>
        <v>0</v>
      </c>
      <c r="BO28">
        <f>CSV!BO28*台数入力!BO$5</f>
        <v>0</v>
      </c>
      <c r="BP28">
        <f>CSV!BP28*台数入力!BP$5</f>
        <v>0</v>
      </c>
      <c r="BQ28">
        <f>CSV!BQ28*台数入力!BQ$5</f>
        <v>0</v>
      </c>
      <c r="BR28">
        <f>CSV!BR28*台数入力!BR$5</f>
        <v>0</v>
      </c>
    </row>
    <row r="29" spans="2:70" x14ac:dyDescent="0.55000000000000004">
      <c r="B29" t="str">
        <f>CSV!B29</f>
        <v>NPM-7</v>
      </c>
      <c r="C29">
        <f>CSV!C29</f>
        <v>2</v>
      </c>
      <c r="D29">
        <f>CSV!D29</f>
        <v>142007</v>
      </c>
      <c r="F29">
        <f>CSV!F29</f>
        <v>0</v>
      </c>
      <c r="I29">
        <f>CSV!I29*台数入力!I$5</f>
        <v>0</v>
      </c>
      <c r="J29">
        <f>CSV!J29*台数入力!J$5</f>
        <v>0</v>
      </c>
      <c r="K29">
        <f>CSV!K29*台数入力!K$5</f>
        <v>0</v>
      </c>
      <c r="L29">
        <f>CSV!L29*台数入力!L$5</f>
        <v>0</v>
      </c>
      <c r="M29">
        <f>CSV!M29*台数入力!M$5</f>
        <v>0</v>
      </c>
      <c r="N29">
        <f>CSV!N29*台数入力!N$5</f>
        <v>0</v>
      </c>
      <c r="O29">
        <f>CSV!O29*台数入力!O$5</f>
        <v>0</v>
      </c>
      <c r="P29">
        <f>CSV!P29*台数入力!P$5</f>
        <v>0</v>
      </c>
      <c r="Q29">
        <f>CSV!Q29*台数入力!Q$5</f>
        <v>0</v>
      </c>
      <c r="R29">
        <f>CSV!R29*台数入力!R$5</f>
        <v>0</v>
      </c>
      <c r="S29">
        <f>CSV!S29*台数入力!S$5</f>
        <v>0</v>
      </c>
      <c r="T29">
        <f>CSV!T29*台数入力!T$5</f>
        <v>0</v>
      </c>
      <c r="U29">
        <f>CSV!U29*台数入力!U$5</f>
        <v>0</v>
      </c>
      <c r="V29">
        <f>CSV!V29*台数入力!V$5</f>
        <v>0</v>
      </c>
      <c r="W29">
        <f>CSV!W29*台数入力!W$5</f>
        <v>0</v>
      </c>
      <c r="X29">
        <f>CSV!X29*台数入力!X$5</f>
        <v>0</v>
      </c>
      <c r="Y29">
        <f>CSV!Y29*台数入力!Y$5</f>
        <v>0</v>
      </c>
      <c r="Z29">
        <f>CSV!Z29*台数入力!Z$5</f>
        <v>0</v>
      </c>
      <c r="AA29">
        <f>CSV!AA29*台数入力!AA$5</f>
        <v>0</v>
      </c>
      <c r="AB29">
        <f>CSV!AB29*台数入力!AB$5</f>
        <v>0</v>
      </c>
      <c r="AC29">
        <f>CSV!AC29*台数入力!AC$5</f>
        <v>0</v>
      </c>
      <c r="AD29">
        <f>CSV!AD29*台数入力!AD$5</f>
        <v>0</v>
      </c>
      <c r="AE29">
        <f>CSV!AE29*台数入力!AE$5</f>
        <v>0</v>
      </c>
      <c r="AF29">
        <f>CSV!AF29*台数入力!AF$5</f>
        <v>0</v>
      </c>
      <c r="AG29">
        <f>CSV!AG29*台数入力!AG$5</f>
        <v>0</v>
      </c>
      <c r="AH29">
        <f>CSV!AH29*台数入力!AH$5</f>
        <v>0</v>
      </c>
      <c r="AI29">
        <f>CSV!AI29*台数入力!AI$5</f>
        <v>0</v>
      </c>
      <c r="AJ29">
        <f>CSV!AJ29*台数入力!AJ$5</f>
        <v>0</v>
      </c>
      <c r="AK29">
        <f>CSV!AK29*台数入力!AK$5</f>
        <v>0</v>
      </c>
      <c r="AL29">
        <f>CSV!AL29*台数入力!AL$5</f>
        <v>0</v>
      </c>
      <c r="AM29">
        <f>CSV!AM29*台数入力!AM$5</f>
        <v>0</v>
      </c>
      <c r="AN29">
        <f>CSV!AN29*台数入力!AN$5</f>
        <v>0</v>
      </c>
      <c r="AO29">
        <f>CSV!AO29*台数入力!AO$5</f>
        <v>0</v>
      </c>
      <c r="AP29">
        <f>CSV!AP29*台数入力!AP$5</f>
        <v>0</v>
      </c>
      <c r="AQ29">
        <f>CSV!AQ29*台数入力!AQ$5</f>
        <v>0</v>
      </c>
      <c r="AR29">
        <f>CSV!AR29*台数入力!AR$5</f>
        <v>0</v>
      </c>
      <c r="AS29">
        <f>CSV!AS29*台数入力!AS$5</f>
        <v>0</v>
      </c>
      <c r="AT29">
        <f>CSV!AT29*台数入力!AT$5</f>
        <v>0</v>
      </c>
      <c r="AU29">
        <f>CSV!AU29*台数入力!AU$5</f>
        <v>0</v>
      </c>
      <c r="AV29">
        <f>CSV!AV29*台数入力!AV$5</f>
        <v>0</v>
      </c>
      <c r="AW29">
        <f>CSV!AW29*台数入力!AW$5</f>
        <v>0</v>
      </c>
      <c r="AX29">
        <f>CSV!AX29*台数入力!AX$5</f>
        <v>0</v>
      </c>
      <c r="AY29">
        <f>CSV!AY29*台数入力!AY$5</f>
        <v>0</v>
      </c>
      <c r="AZ29">
        <f>CSV!AZ29*台数入力!AZ$5</f>
        <v>0</v>
      </c>
      <c r="BA29">
        <f>CSV!BA29*台数入力!BA$5</f>
        <v>0</v>
      </c>
      <c r="BB29">
        <f>CSV!BB29*台数入力!BB$5</f>
        <v>0</v>
      </c>
      <c r="BC29">
        <f>CSV!BC29*台数入力!BC$5</f>
        <v>0</v>
      </c>
      <c r="BD29">
        <f>CSV!BD29*台数入力!BD$5</f>
        <v>0</v>
      </c>
      <c r="BE29">
        <f>CSV!BE29*台数入力!BE$5</f>
        <v>0</v>
      </c>
      <c r="BF29">
        <f>CSV!BF29*台数入力!BF$5</f>
        <v>0</v>
      </c>
      <c r="BG29">
        <f>CSV!BG29*台数入力!BG$5</f>
        <v>0</v>
      </c>
      <c r="BH29">
        <f>CSV!BH29*台数入力!BH$5</f>
        <v>0</v>
      </c>
      <c r="BI29">
        <f>CSV!BI29*台数入力!BI$5</f>
        <v>0</v>
      </c>
      <c r="BJ29">
        <f>CSV!BJ29*台数入力!BJ$5</f>
        <v>0</v>
      </c>
      <c r="BK29">
        <f>CSV!BK29*台数入力!BK$5</f>
        <v>0</v>
      </c>
      <c r="BL29">
        <f>CSV!BL29*台数入力!BL$5</f>
        <v>0</v>
      </c>
      <c r="BM29">
        <f>CSV!BM29*台数入力!BM$5</f>
        <v>0</v>
      </c>
      <c r="BN29">
        <f>CSV!BN29*台数入力!BN$5</f>
        <v>0</v>
      </c>
      <c r="BO29">
        <f>CSV!BO29*台数入力!BO$5</f>
        <v>0</v>
      </c>
      <c r="BP29">
        <f>CSV!BP29*台数入力!BP$5</f>
        <v>0</v>
      </c>
      <c r="BQ29">
        <f>CSV!BQ29*台数入力!BQ$5</f>
        <v>0</v>
      </c>
      <c r="BR29">
        <f>CSV!BR29*台数入力!BR$5</f>
        <v>0</v>
      </c>
    </row>
    <row r="30" spans="2:70" x14ac:dyDescent="0.55000000000000004">
      <c r="B30" t="str">
        <f>CSV!B30</f>
        <v>NPM-7</v>
      </c>
      <c r="C30">
        <f>CSV!C30</f>
        <v>2</v>
      </c>
      <c r="D30">
        <f>CSV!D30</f>
        <v>142008</v>
      </c>
      <c r="F30">
        <f>CSV!F30</f>
        <v>0</v>
      </c>
      <c r="I30">
        <f>CSV!I30*台数入力!I$5</f>
        <v>0</v>
      </c>
      <c r="J30">
        <f>CSV!J30*台数入力!J$5</f>
        <v>0</v>
      </c>
      <c r="K30">
        <f>CSV!K30*台数入力!K$5</f>
        <v>0</v>
      </c>
      <c r="L30">
        <f>CSV!L30*台数入力!L$5</f>
        <v>0</v>
      </c>
      <c r="M30">
        <f>CSV!M30*台数入力!M$5</f>
        <v>0</v>
      </c>
      <c r="N30">
        <f>CSV!N30*台数入力!N$5</f>
        <v>0</v>
      </c>
      <c r="O30">
        <f>CSV!O30*台数入力!O$5</f>
        <v>0</v>
      </c>
      <c r="P30">
        <f>CSV!P30*台数入力!P$5</f>
        <v>0</v>
      </c>
      <c r="Q30">
        <f>CSV!Q30*台数入力!Q$5</f>
        <v>0</v>
      </c>
      <c r="R30">
        <f>CSV!R30*台数入力!R$5</f>
        <v>0</v>
      </c>
      <c r="S30">
        <f>CSV!S30*台数入力!S$5</f>
        <v>0</v>
      </c>
      <c r="T30">
        <f>CSV!T30*台数入力!T$5</f>
        <v>0</v>
      </c>
      <c r="U30">
        <f>CSV!U30*台数入力!U$5</f>
        <v>0</v>
      </c>
      <c r="V30">
        <f>CSV!V30*台数入力!V$5</f>
        <v>0</v>
      </c>
      <c r="W30">
        <f>CSV!W30*台数入力!W$5</f>
        <v>0</v>
      </c>
      <c r="X30">
        <f>CSV!X30*台数入力!X$5</f>
        <v>0</v>
      </c>
      <c r="Y30">
        <f>CSV!Y30*台数入力!Y$5</f>
        <v>0</v>
      </c>
      <c r="Z30">
        <f>CSV!Z30*台数入力!Z$5</f>
        <v>0</v>
      </c>
      <c r="AA30">
        <f>CSV!AA30*台数入力!AA$5</f>
        <v>0</v>
      </c>
      <c r="AB30">
        <f>CSV!AB30*台数入力!AB$5</f>
        <v>0</v>
      </c>
      <c r="AC30">
        <f>CSV!AC30*台数入力!AC$5</f>
        <v>0</v>
      </c>
      <c r="AD30">
        <f>CSV!AD30*台数入力!AD$5</f>
        <v>0</v>
      </c>
      <c r="AE30">
        <f>CSV!AE30*台数入力!AE$5</f>
        <v>0</v>
      </c>
      <c r="AF30">
        <f>CSV!AF30*台数入力!AF$5</f>
        <v>0</v>
      </c>
      <c r="AG30">
        <f>CSV!AG30*台数入力!AG$5</f>
        <v>0</v>
      </c>
      <c r="AH30">
        <f>CSV!AH30*台数入力!AH$5</f>
        <v>0</v>
      </c>
      <c r="AI30">
        <f>CSV!AI30*台数入力!AI$5</f>
        <v>0</v>
      </c>
      <c r="AJ30">
        <f>CSV!AJ30*台数入力!AJ$5</f>
        <v>0</v>
      </c>
      <c r="AK30">
        <f>CSV!AK30*台数入力!AK$5</f>
        <v>0</v>
      </c>
      <c r="AL30">
        <f>CSV!AL30*台数入力!AL$5</f>
        <v>0</v>
      </c>
      <c r="AM30">
        <f>CSV!AM30*台数入力!AM$5</f>
        <v>0</v>
      </c>
      <c r="AN30">
        <f>CSV!AN30*台数入力!AN$5</f>
        <v>0</v>
      </c>
      <c r="AO30">
        <f>CSV!AO30*台数入力!AO$5</f>
        <v>0</v>
      </c>
      <c r="AP30">
        <f>CSV!AP30*台数入力!AP$5</f>
        <v>0</v>
      </c>
      <c r="AQ30">
        <f>CSV!AQ30*台数入力!AQ$5</f>
        <v>0</v>
      </c>
      <c r="AR30">
        <f>CSV!AR30*台数入力!AR$5</f>
        <v>0</v>
      </c>
      <c r="AS30">
        <f>CSV!AS30*台数入力!AS$5</f>
        <v>0</v>
      </c>
      <c r="AT30">
        <f>CSV!AT30*台数入力!AT$5</f>
        <v>0</v>
      </c>
      <c r="AU30">
        <f>CSV!AU30*台数入力!AU$5</f>
        <v>0</v>
      </c>
      <c r="AV30">
        <f>CSV!AV30*台数入力!AV$5</f>
        <v>0</v>
      </c>
      <c r="AW30">
        <f>CSV!AW30*台数入力!AW$5</f>
        <v>0</v>
      </c>
      <c r="AX30">
        <f>CSV!AX30*台数入力!AX$5</f>
        <v>0</v>
      </c>
      <c r="AY30">
        <f>CSV!AY30*台数入力!AY$5</f>
        <v>0</v>
      </c>
      <c r="AZ30">
        <f>CSV!AZ30*台数入力!AZ$5</f>
        <v>0</v>
      </c>
      <c r="BA30">
        <f>CSV!BA30*台数入力!BA$5</f>
        <v>0</v>
      </c>
      <c r="BB30">
        <f>CSV!BB30*台数入力!BB$5</f>
        <v>0</v>
      </c>
      <c r="BC30">
        <f>CSV!BC30*台数入力!BC$5</f>
        <v>0</v>
      </c>
      <c r="BD30">
        <f>CSV!BD30*台数入力!BD$5</f>
        <v>0</v>
      </c>
      <c r="BE30">
        <f>CSV!BE30*台数入力!BE$5</f>
        <v>0</v>
      </c>
      <c r="BF30">
        <f>CSV!BF30*台数入力!BF$5</f>
        <v>0</v>
      </c>
      <c r="BG30">
        <f>CSV!BG30*台数入力!BG$5</f>
        <v>0</v>
      </c>
      <c r="BH30">
        <f>CSV!BH30*台数入力!BH$5</f>
        <v>0</v>
      </c>
      <c r="BI30">
        <f>CSV!BI30*台数入力!BI$5</f>
        <v>0</v>
      </c>
      <c r="BJ30">
        <f>CSV!BJ30*台数入力!BJ$5</f>
        <v>0</v>
      </c>
      <c r="BK30">
        <f>CSV!BK30*台数入力!BK$5</f>
        <v>0</v>
      </c>
      <c r="BL30">
        <f>CSV!BL30*台数入力!BL$5</f>
        <v>0</v>
      </c>
      <c r="BM30">
        <f>CSV!BM30*台数入力!BM$5</f>
        <v>0</v>
      </c>
      <c r="BN30">
        <f>CSV!BN30*台数入力!BN$5</f>
        <v>0</v>
      </c>
      <c r="BO30">
        <f>CSV!BO30*台数入力!BO$5</f>
        <v>0</v>
      </c>
      <c r="BP30">
        <f>CSV!BP30*台数入力!BP$5</f>
        <v>0</v>
      </c>
      <c r="BQ30">
        <f>CSV!BQ30*台数入力!BQ$5</f>
        <v>0</v>
      </c>
      <c r="BR30">
        <f>CSV!BR30*台数入力!BR$5</f>
        <v>0</v>
      </c>
    </row>
    <row r="31" spans="2:70" x14ac:dyDescent="0.55000000000000004">
      <c r="B31" t="str">
        <f>CSV!B31</f>
        <v>NPM-7</v>
      </c>
      <c r="C31">
        <f>CSV!C31</f>
        <v>2</v>
      </c>
      <c r="D31">
        <f>CSV!D31</f>
        <v>142009</v>
      </c>
      <c r="F31">
        <f>CSV!F31</f>
        <v>0</v>
      </c>
      <c r="I31">
        <f>CSV!I31*台数入力!I$5</f>
        <v>0</v>
      </c>
      <c r="J31">
        <f>CSV!J31*台数入力!J$5</f>
        <v>0</v>
      </c>
      <c r="K31">
        <f>CSV!K31*台数入力!K$5</f>
        <v>0</v>
      </c>
      <c r="L31">
        <f>CSV!L31*台数入力!L$5</f>
        <v>0</v>
      </c>
      <c r="M31">
        <f>CSV!M31*台数入力!M$5</f>
        <v>0</v>
      </c>
      <c r="N31">
        <f>CSV!N31*台数入力!N$5</f>
        <v>0</v>
      </c>
      <c r="O31">
        <f>CSV!O31*台数入力!O$5</f>
        <v>0</v>
      </c>
      <c r="P31">
        <f>CSV!P31*台数入力!P$5</f>
        <v>0</v>
      </c>
      <c r="Q31">
        <f>CSV!Q31*台数入力!Q$5</f>
        <v>0</v>
      </c>
      <c r="R31">
        <f>CSV!R31*台数入力!R$5</f>
        <v>0</v>
      </c>
      <c r="S31">
        <f>CSV!S31*台数入力!S$5</f>
        <v>0</v>
      </c>
      <c r="T31">
        <f>CSV!T31*台数入力!T$5</f>
        <v>0</v>
      </c>
      <c r="U31">
        <f>CSV!U31*台数入力!U$5</f>
        <v>0</v>
      </c>
      <c r="V31">
        <f>CSV!V31*台数入力!V$5</f>
        <v>0</v>
      </c>
      <c r="W31">
        <f>CSV!W31*台数入力!W$5</f>
        <v>0</v>
      </c>
      <c r="X31">
        <f>CSV!X31*台数入力!X$5</f>
        <v>0</v>
      </c>
      <c r="Y31">
        <f>CSV!Y31*台数入力!Y$5</f>
        <v>0</v>
      </c>
      <c r="Z31">
        <f>CSV!Z31*台数入力!Z$5</f>
        <v>0</v>
      </c>
      <c r="AA31">
        <f>CSV!AA31*台数入力!AA$5</f>
        <v>0</v>
      </c>
      <c r="AB31">
        <f>CSV!AB31*台数入力!AB$5</f>
        <v>0</v>
      </c>
      <c r="AC31">
        <f>CSV!AC31*台数入力!AC$5</f>
        <v>0</v>
      </c>
      <c r="AD31">
        <f>CSV!AD31*台数入力!AD$5</f>
        <v>0</v>
      </c>
      <c r="AE31">
        <f>CSV!AE31*台数入力!AE$5</f>
        <v>0</v>
      </c>
      <c r="AF31">
        <f>CSV!AF31*台数入力!AF$5</f>
        <v>0</v>
      </c>
      <c r="AG31">
        <f>CSV!AG31*台数入力!AG$5</f>
        <v>0</v>
      </c>
      <c r="AH31">
        <f>CSV!AH31*台数入力!AH$5</f>
        <v>0</v>
      </c>
      <c r="AI31">
        <f>CSV!AI31*台数入力!AI$5</f>
        <v>0</v>
      </c>
      <c r="AJ31">
        <f>CSV!AJ31*台数入力!AJ$5</f>
        <v>0</v>
      </c>
      <c r="AK31">
        <f>CSV!AK31*台数入力!AK$5</f>
        <v>0</v>
      </c>
      <c r="AL31">
        <f>CSV!AL31*台数入力!AL$5</f>
        <v>0</v>
      </c>
      <c r="AM31">
        <f>CSV!AM31*台数入力!AM$5</f>
        <v>0</v>
      </c>
      <c r="AN31">
        <f>CSV!AN31*台数入力!AN$5</f>
        <v>0</v>
      </c>
      <c r="AO31">
        <f>CSV!AO31*台数入力!AO$5</f>
        <v>0</v>
      </c>
      <c r="AP31">
        <f>CSV!AP31*台数入力!AP$5</f>
        <v>0</v>
      </c>
      <c r="AQ31">
        <f>CSV!AQ31*台数入力!AQ$5</f>
        <v>0</v>
      </c>
      <c r="AR31">
        <f>CSV!AR31*台数入力!AR$5</f>
        <v>0</v>
      </c>
      <c r="AS31">
        <f>CSV!AS31*台数入力!AS$5</f>
        <v>0</v>
      </c>
      <c r="AT31">
        <f>CSV!AT31*台数入力!AT$5</f>
        <v>0</v>
      </c>
      <c r="AU31">
        <f>CSV!AU31*台数入力!AU$5</f>
        <v>0</v>
      </c>
      <c r="AV31">
        <f>CSV!AV31*台数入力!AV$5</f>
        <v>0</v>
      </c>
      <c r="AW31">
        <f>CSV!AW31*台数入力!AW$5</f>
        <v>0</v>
      </c>
      <c r="AX31">
        <f>CSV!AX31*台数入力!AX$5</f>
        <v>0</v>
      </c>
      <c r="AY31">
        <f>CSV!AY31*台数入力!AY$5</f>
        <v>0</v>
      </c>
      <c r="AZ31">
        <f>CSV!AZ31*台数入力!AZ$5</f>
        <v>0</v>
      </c>
      <c r="BA31">
        <f>CSV!BA31*台数入力!BA$5</f>
        <v>0</v>
      </c>
      <c r="BB31">
        <f>CSV!BB31*台数入力!BB$5</f>
        <v>0</v>
      </c>
      <c r="BC31">
        <f>CSV!BC31*台数入力!BC$5</f>
        <v>0</v>
      </c>
      <c r="BD31">
        <f>CSV!BD31*台数入力!BD$5</f>
        <v>0</v>
      </c>
      <c r="BE31">
        <f>CSV!BE31*台数入力!BE$5</f>
        <v>0</v>
      </c>
      <c r="BF31">
        <f>CSV!BF31*台数入力!BF$5</f>
        <v>0</v>
      </c>
      <c r="BG31">
        <f>CSV!BG31*台数入力!BG$5</f>
        <v>0</v>
      </c>
      <c r="BH31">
        <f>CSV!BH31*台数入力!BH$5</f>
        <v>0</v>
      </c>
      <c r="BI31">
        <f>CSV!BI31*台数入力!BI$5</f>
        <v>0</v>
      </c>
      <c r="BJ31">
        <f>CSV!BJ31*台数入力!BJ$5</f>
        <v>0</v>
      </c>
      <c r="BK31">
        <f>CSV!BK31*台数入力!BK$5</f>
        <v>0</v>
      </c>
      <c r="BL31">
        <f>CSV!BL31*台数入力!BL$5</f>
        <v>0</v>
      </c>
      <c r="BM31">
        <f>CSV!BM31*台数入力!BM$5</f>
        <v>0</v>
      </c>
      <c r="BN31">
        <f>CSV!BN31*台数入力!BN$5</f>
        <v>0</v>
      </c>
      <c r="BO31">
        <f>CSV!BO31*台数入力!BO$5</f>
        <v>0</v>
      </c>
      <c r="BP31">
        <f>CSV!BP31*台数入力!BP$5</f>
        <v>0</v>
      </c>
      <c r="BQ31">
        <f>CSV!BQ31*台数入力!BQ$5</f>
        <v>0</v>
      </c>
      <c r="BR31">
        <f>CSV!BR31*台数入力!BR$5</f>
        <v>0</v>
      </c>
    </row>
    <row r="32" spans="2:70" x14ac:dyDescent="0.55000000000000004">
      <c r="B32" t="str">
        <f>CSV!B32</f>
        <v>NPM-7</v>
      </c>
      <c r="C32">
        <f>CSV!C32</f>
        <v>2</v>
      </c>
      <c r="D32">
        <f>CSV!D32</f>
        <v>142010</v>
      </c>
      <c r="F32">
        <f>CSV!F32</f>
        <v>0</v>
      </c>
      <c r="I32">
        <f>CSV!I32*台数入力!I$5</f>
        <v>0</v>
      </c>
      <c r="J32">
        <f>CSV!J32*台数入力!J$5</f>
        <v>0</v>
      </c>
      <c r="K32">
        <f>CSV!K32*台数入力!K$5</f>
        <v>0</v>
      </c>
      <c r="L32">
        <f>CSV!L32*台数入力!L$5</f>
        <v>0</v>
      </c>
      <c r="M32">
        <f>CSV!M32*台数入力!M$5</f>
        <v>0</v>
      </c>
      <c r="N32">
        <f>CSV!N32*台数入力!N$5</f>
        <v>0</v>
      </c>
      <c r="O32">
        <f>CSV!O32*台数入力!O$5</f>
        <v>0</v>
      </c>
      <c r="P32">
        <f>CSV!P32*台数入力!P$5</f>
        <v>0</v>
      </c>
      <c r="Q32">
        <f>CSV!Q32*台数入力!Q$5</f>
        <v>0</v>
      </c>
      <c r="R32">
        <f>CSV!R32*台数入力!R$5</f>
        <v>0</v>
      </c>
      <c r="S32">
        <f>CSV!S32*台数入力!S$5</f>
        <v>0</v>
      </c>
      <c r="T32">
        <f>CSV!T32*台数入力!T$5</f>
        <v>0</v>
      </c>
      <c r="U32">
        <f>CSV!U32*台数入力!U$5</f>
        <v>0</v>
      </c>
      <c r="V32">
        <f>CSV!V32*台数入力!V$5</f>
        <v>0</v>
      </c>
      <c r="W32">
        <f>CSV!W32*台数入力!W$5</f>
        <v>0</v>
      </c>
      <c r="X32">
        <f>CSV!X32*台数入力!X$5</f>
        <v>0</v>
      </c>
      <c r="Y32">
        <f>CSV!Y32*台数入力!Y$5</f>
        <v>0</v>
      </c>
      <c r="Z32">
        <f>CSV!Z32*台数入力!Z$5</f>
        <v>0</v>
      </c>
      <c r="AA32">
        <f>CSV!AA32*台数入力!AA$5</f>
        <v>0</v>
      </c>
      <c r="AB32">
        <f>CSV!AB32*台数入力!AB$5</f>
        <v>0</v>
      </c>
      <c r="AC32">
        <f>CSV!AC32*台数入力!AC$5</f>
        <v>0</v>
      </c>
      <c r="AD32">
        <f>CSV!AD32*台数入力!AD$5</f>
        <v>0</v>
      </c>
      <c r="AE32">
        <f>CSV!AE32*台数入力!AE$5</f>
        <v>0</v>
      </c>
      <c r="AF32">
        <f>CSV!AF32*台数入力!AF$5</f>
        <v>0</v>
      </c>
      <c r="AG32">
        <f>CSV!AG32*台数入力!AG$5</f>
        <v>0</v>
      </c>
      <c r="AH32">
        <f>CSV!AH32*台数入力!AH$5</f>
        <v>0</v>
      </c>
      <c r="AI32">
        <f>CSV!AI32*台数入力!AI$5</f>
        <v>0</v>
      </c>
      <c r="AJ32">
        <f>CSV!AJ32*台数入力!AJ$5</f>
        <v>0</v>
      </c>
      <c r="AK32">
        <f>CSV!AK32*台数入力!AK$5</f>
        <v>0</v>
      </c>
      <c r="AL32">
        <f>CSV!AL32*台数入力!AL$5</f>
        <v>0</v>
      </c>
      <c r="AM32">
        <f>CSV!AM32*台数入力!AM$5</f>
        <v>0</v>
      </c>
      <c r="AN32">
        <f>CSV!AN32*台数入力!AN$5</f>
        <v>0</v>
      </c>
      <c r="AO32">
        <f>CSV!AO32*台数入力!AO$5</f>
        <v>0</v>
      </c>
      <c r="AP32">
        <f>CSV!AP32*台数入力!AP$5</f>
        <v>0</v>
      </c>
      <c r="AQ32">
        <f>CSV!AQ32*台数入力!AQ$5</f>
        <v>0</v>
      </c>
      <c r="AR32">
        <f>CSV!AR32*台数入力!AR$5</f>
        <v>0</v>
      </c>
      <c r="AS32">
        <f>CSV!AS32*台数入力!AS$5</f>
        <v>0</v>
      </c>
      <c r="AT32">
        <f>CSV!AT32*台数入力!AT$5</f>
        <v>0</v>
      </c>
      <c r="AU32">
        <f>CSV!AU32*台数入力!AU$5</f>
        <v>0</v>
      </c>
      <c r="AV32">
        <f>CSV!AV32*台数入力!AV$5</f>
        <v>0</v>
      </c>
      <c r="AW32">
        <f>CSV!AW32*台数入力!AW$5</f>
        <v>0</v>
      </c>
      <c r="AX32">
        <f>CSV!AX32*台数入力!AX$5</f>
        <v>0</v>
      </c>
      <c r="AY32">
        <f>CSV!AY32*台数入力!AY$5</f>
        <v>0</v>
      </c>
      <c r="AZ32">
        <f>CSV!AZ32*台数入力!AZ$5</f>
        <v>0</v>
      </c>
      <c r="BA32">
        <f>CSV!BA32*台数入力!BA$5</f>
        <v>0</v>
      </c>
      <c r="BB32">
        <f>CSV!BB32*台数入力!BB$5</f>
        <v>0</v>
      </c>
      <c r="BC32">
        <f>CSV!BC32*台数入力!BC$5</f>
        <v>0</v>
      </c>
      <c r="BD32">
        <f>CSV!BD32*台数入力!BD$5</f>
        <v>0</v>
      </c>
      <c r="BE32">
        <f>CSV!BE32*台数入力!BE$5</f>
        <v>0</v>
      </c>
      <c r="BF32">
        <f>CSV!BF32*台数入力!BF$5</f>
        <v>0</v>
      </c>
      <c r="BG32">
        <f>CSV!BG32*台数入力!BG$5</f>
        <v>0</v>
      </c>
      <c r="BH32">
        <f>CSV!BH32*台数入力!BH$5</f>
        <v>0</v>
      </c>
      <c r="BI32">
        <f>CSV!BI32*台数入力!BI$5</f>
        <v>0</v>
      </c>
      <c r="BJ32">
        <f>CSV!BJ32*台数入力!BJ$5</f>
        <v>0</v>
      </c>
      <c r="BK32">
        <f>CSV!BK32*台数入力!BK$5</f>
        <v>0</v>
      </c>
      <c r="BL32">
        <f>CSV!BL32*台数入力!BL$5</f>
        <v>0</v>
      </c>
      <c r="BM32">
        <f>CSV!BM32*台数入力!BM$5</f>
        <v>0</v>
      </c>
      <c r="BN32">
        <f>CSV!BN32*台数入力!BN$5</f>
        <v>0</v>
      </c>
      <c r="BO32">
        <f>CSV!BO32*台数入力!BO$5</f>
        <v>0</v>
      </c>
      <c r="BP32">
        <f>CSV!BP32*台数入力!BP$5</f>
        <v>0</v>
      </c>
      <c r="BQ32">
        <f>CSV!BQ32*台数入力!BQ$5</f>
        <v>0</v>
      </c>
      <c r="BR32">
        <f>CSV!BR32*台数入力!BR$5</f>
        <v>0</v>
      </c>
    </row>
    <row r="33" spans="2:70" x14ac:dyDescent="0.55000000000000004">
      <c r="B33" t="str">
        <f>CSV!B33</f>
        <v>NPM-7</v>
      </c>
      <c r="C33">
        <f>CSV!C33</f>
        <v>2</v>
      </c>
      <c r="D33">
        <f>CSV!D33</f>
        <v>142011</v>
      </c>
      <c r="F33">
        <f>CSV!F33</f>
        <v>0</v>
      </c>
      <c r="I33">
        <f>CSV!I33*台数入力!I$5</f>
        <v>0</v>
      </c>
      <c r="J33">
        <f>CSV!J33*台数入力!J$5</f>
        <v>0</v>
      </c>
      <c r="K33">
        <f>CSV!K33*台数入力!K$5</f>
        <v>0</v>
      </c>
      <c r="L33">
        <f>CSV!L33*台数入力!L$5</f>
        <v>0</v>
      </c>
      <c r="M33">
        <f>CSV!M33*台数入力!M$5</f>
        <v>0</v>
      </c>
      <c r="N33">
        <f>CSV!N33*台数入力!N$5</f>
        <v>0</v>
      </c>
      <c r="O33">
        <f>CSV!O33*台数入力!O$5</f>
        <v>0</v>
      </c>
      <c r="P33">
        <f>CSV!P33*台数入力!P$5</f>
        <v>0</v>
      </c>
      <c r="Q33">
        <f>CSV!Q33*台数入力!Q$5</f>
        <v>0</v>
      </c>
      <c r="R33">
        <f>CSV!R33*台数入力!R$5</f>
        <v>0</v>
      </c>
      <c r="S33">
        <f>CSV!S33*台数入力!S$5</f>
        <v>0</v>
      </c>
      <c r="T33">
        <f>CSV!T33*台数入力!T$5</f>
        <v>0</v>
      </c>
      <c r="U33">
        <f>CSV!U33*台数入力!U$5</f>
        <v>0</v>
      </c>
      <c r="V33">
        <f>CSV!V33*台数入力!V$5</f>
        <v>0</v>
      </c>
      <c r="W33">
        <f>CSV!W33*台数入力!W$5</f>
        <v>0</v>
      </c>
      <c r="X33">
        <f>CSV!X33*台数入力!X$5</f>
        <v>0</v>
      </c>
      <c r="Y33">
        <f>CSV!Y33*台数入力!Y$5</f>
        <v>0</v>
      </c>
      <c r="Z33">
        <f>CSV!Z33*台数入力!Z$5</f>
        <v>0</v>
      </c>
      <c r="AA33">
        <f>CSV!AA33*台数入力!AA$5</f>
        <v>0</v>
      </c>
      <c r="AB33">
        <f>CSV!AB33*台数入力!AB$5</f>
        <v>0</v>
      </c>
      <c r="AC33">
        <f>CSV!AC33*台数入力!AC$5</f>
        <v>0</v>
      </c>
      <c r="AD33">
        <f>CSV!AD33*台数入力!AD$5</f>
        <v>0</v>
      </c>
      <c r="AE33">
        <f>CSV!AE33*台数入力!AE$5</f>
        <v>0</v>
      </c>
      <c r="AF33">
        <f>CSV!AF33*台数入力!AF$5</f>
        <v>0</v>
      </c>
      <c r="AG33">
        <f>CSV!AG33*台数入力!AG$5</f>
        <v>0</v>
      </c>
      <c r="AH33">
        <f>CSV!AH33*台数入力!AH$5</f>
        <v>0</v>
      </c>
      <c r="AI33">
        <f>CSV!AI33*台数入力!AI$5</f>
        <v>0</v>
      </c>
      <c r="AJ33">
        <f>CSV!AJ33*台数入力!AJ$5</f>
        <v>0</v>
      </c>
      <c r="AK33">
        <f>CSV!AK33*台数入力!AK$5</f>
        <v>0</v>
      </c>
      <c r="AL33">
        <f>CSV!AL33*台数入力!AL$5</f>
        <v>0</v>
      </c>
      <c r="AM33">
        <f>CSV!AM33*台数入力!AM$5</f>
        <v>0</v>
      </c>
      <c r="AN33">
        <f>CSV!AN33*台数入力!AN$5</f>
        <v>0</v>
      </c>
      <c r="AO33">
        <f>CSV!AO33*台数入力!AO$5</f>
        <v>0</v>
      </c>
      <c r="AP33">
        <f>CSV!AP33*台数入力!AP$5</f>
        <v>0</v>
      </c>
      <c r="AQ33">
        <f>CSV!AQ33*台数入力!AQ$5</f>
        <v>0</v>
      </c>
      <c r="AR33">
        <f>CSV!AR33*台数入力!AR$5</f>
        <v>0</v>
      </c>
      <c r="AS33">
        <f>CSV!AS33*台数入力!AS$5</f>
        <v>0</v>
      </c>
      <c r="AT33">
        <f>CSV!AT33*台数入力!AT$5</f>
        <v>0</v>
      </c>
      <c r="AU33">
        <f>CSV!AU33*台数入力!AU$5</f>
        <v>0</v>
      </c>
      <c r="AV33">
        <f>CSV!AV33*台数入力!AV$5</f>
        <v>0</v>
      </c>
      <c r="AW33">
        <f>CSV!AW33*台数入力!AW$5</f>
        <v>0</v>
      </c>
      <c r="AX33">
        <f>CSV!AX33*台数入力!AX$5</f>
        <v>0</v>
      </c>
      <c r="AY33">
        <f>CSV!AY33*台数入力!AY$5</f>
        <v>0</v>
      </c>
      <c r="AZ33">
        <f>CSV!AZ33*台数入力!AZ$5</f>
        <v>0</v>
      </c>
      <c r="BA33">
        <f>CSV!BA33*台数入力!BA$5</f>
        <v>0</v>
      </c>
      <c r="BB33">
        <f>CSV!BB33*台数入力!BB$5</f>
        <v>0</v>
      </c>
      <c r="BC33">
        <f>CSV!BC33*台数入力!BC$5</f>
        <v>0</v>
      </c>
      <c r="BD33">
        <f>CSV!BD33*台数入力!BD$5</f>
        <v>0</v>
      </c>
      <c r="BE33">
        <f>CSV!BE33*台数入力!BE$5</f>
        <v>0</v>
      </c>
      <c r="BF33">
        <f>CSV!BF33*台数入力!BF$5</f>
        <v>0</v>
      </c>
      <c r="BG33">
        <f>CSV!BG33*台数入力!BG$5</f>
        <v>0</v>
      </c>
      <c r="BH33">
        <f>CSV!BH33*台数入力!BH$5</f>
        <v>0</v>
      </c>
      <c r="BI33">
        <f>CSV!BI33*台数入力!BI$5</f>
        <v>0</v>
      </c>
      <c r="BJ33">
        <f>CSV!BJ33*台数入力!BJ$5</f>
        <v>0</v>
      </c>
      <c r="BK33">
        <f>CSV!BK33*台数入力!BK$5</f>
        <v>0</v>
      </c>
      <c r="BL33">
        <f>CSV!BL33*台数入力!BL$5</f>
        <v>0</v>
      </c>
      <c r="BM33">
        <f>CSV!BM33*台数入力!BM$5</f>
        <v>0</v>
      </c>
      <c r="BN33">
        <f>CSV!BN33*台数入力!BN$5</f>
        <v>0</v>
      </c>
      <c r="BO33">
        <f>CSV!BO33*台数入力!BO$5</f>
        <v>0</v>
      </c>
      <c r="BP33">
        <f>CSV!BP33*台数入力!BP$5</f>
        <v>0</v>
      </c>
      <c r="BQ33">
        <f>CSV!BQ33*台数入力!BQ$5</f>
        <v>0</v>
      </c>
      <c r="BR33">
        <f>CSV!BR33*台数入力!BR$5</f>
        <v>0</v>
      </c>
    </row>
    <row r="34" spans="2:70" x14ac:dyDescent="0.55000000000000004">
      <c r="B34" t="str">
        <f>CSV!B34</f>
        <v>NPM-7</v>
      </c>
      <c r="C34">
        <f>CSV!C34</f>
        <v>2</v>
      </c>
      <c r="D34">
        <f>CSV!D34</f>
        <v>142012</v>
      </c>
      <c r="F34">
        <f>CSV!F34</f>
        <v>0</v>
      </c>
      <c r="I34">
        <f>CSV!I34*台数入力!I$5</f>
        <v>0</v>
      </c>
      <c r="J34">
        <f>CSV!J34*台数入力!J$5</f>
        <v>0</v>
      </c>
      <c r="K34">
        <f>CSV!K34*台数入力!K$5</f>
        <v>0</v>
      </c>
      <c r="L34">
        <f>CSV!L34*台数入力!L$5</f>
        <v>0</v>
      </c>
      <c r="M34">
        <f>CSV!M34*台数入力!M$5</f>
        <v>0</v>
      </c>
      <c r="N34">
        <f>CSV!N34*台数入力!N$5</f>
        <v>0</v>
      </c>
      <c r="O34">
        <f>CSV!O34*台数入力!O$5</f>
        <v>0</v>
      </c>
      <c r="P34">
        <f>CSV!P34*台数入力!P$5</f>
        <v>0</v>
      </c>
      <c r="Q34">
        <f>CSV!Q34*台数入力!Q$5</f>
        <v>0</v>
      </c>
      <c r="R34">
        <f>CSV!R34*台数入力!R$5</f>
        <v>0</v>
      </c>
      <c r="S34">
        <f>CSV!S34*台数入力!S$5</f>
        <v>0</v>
      </c>
      <c r="T34">
        <f>CSV!T34*台数入力!T$5</f>
        <v>0</v>
      </c>
      <c r="U34">
        <f>CSV!U34*台数入力!U$5</f>
        <v>0</v>
      </c>
      <c r="V34">
        <f>CSV!V34*台数入力!V$5</f>
        <v>0</v>
      </c>
      <c r="W34">
        <f>CSV!W34*台数入力!W$5</f>
        <v>0</v>
      </c>
      <c r="X34">
        <f>CSV!X34*台数入力!X$5</f>
        <v>0</v>
      </c>
      <c r="Y34">
        <f>CSV!Y34*台数入力!Y$5</f>
        <v>0</v>
      </c>
      <c r="Z34">
        <f>CSV!Z34*台数入力!Z$5</f>
        <v>0</v>
      </c>
      <c r="AA34">
        <f>CSV!AA34*台数入力!AA$5</f>
        <v>0</v>
      </c>
      <c r="AB34">
        <f>CSV!AB34*台数入力!AB$5</f>
        <v>0</v>
      </c>
      <c r="AC34">
        <f>CSV!AC34*台数入力!AC$5</f>
        <v>0</v>
      </c>
      <c r="AD34">
        <f>CSV!AD34*台数入力!AD$5</f>
        <v>0</v>
      </c>
      <c r="AE34">
        <f>CSV!AE34*台数入力!AE$5</f>
        <v>0</v>
      </c>
      <c r="AF34">
        <f>CSV!AF34*台数入力!AF$5</f>
        <v>0</v>
      </c>
      <c r="AG34">
        <f>CSV!AG34*台数入力!AG$5</f>
        <v>0</v>
      </c>
      <c r="AH34">
        <f>CSV!AH34*台数入力!AH$5</f>
        <v>0</v>
      </c>
      <c r="AI34">
        <f>CSV!AI34*台数入力!AI$5</f>
        <v>0</v>
      </c>
      <c r="AJ34">
        <f>CSV!AJ34*台数入力!AJ$5</f>
        <v>0</v>
      </c>
      <c r="AK34">
        <f>CSV!AK34*台数入力!AK$5</f>
        <v>0</v>
      </c>
      <c r="AL34">
        <f>CSV!AL34*台数入力!AL$5</f>
        <v>0</v>
      </c>
      <c r="AM34">
        <f>CSV!AM34*台数入力!AM$5</f>
        <v>0</v>
      </c>
      <c r="AN34">
        <f>CSV!AN34*台数入力!AN$5</f>
        <v>0</v>
      </c>
      <c r="AO34">
        <f>CSV!AO34*台数入力!AO$5</f>
        <v>0</v>
      </c>
      <c r="AP34">
        <f>CSV!AP34*台数入力!AP$5</f>
        <v>0</v>
      </c>
      <c r="AQ34">
        <f>CSV!AQ34*台数入力!AQ$5</f>
        <v>0</v>
      </c>
      <c r="AR34">
        <f>CSV!AR34*台数入力!AR$5</f>
        <v>0</v>
      </c>
      <c r="AS34">
        <f>CSV!AS34*台数入力!AS$5</f>
        <v>0</v>
      </c>
      <c r="AT34">
        <f>CSV!AT34*台数入力!AT$5</f>
        <v>0</v>
      </c>
      <c r="AU34">
        <f>CSV!AU34*台数入力!AU$5</f>
        <v>0</v>
      </c>
      <c r="AV34">
        <f>CSV!AV34*台数入力!AV$5</f>
        <v>0</v>
      </c>
      <c r="AW34">
        <f>CSV!AW34*台数入力!AW$5</f>
        <v>0</v>
      </c>
      <c r="AX34">
        <f>CSV!AX34*台数入力!AX$5</f>
        <v>0</v>
      </c>
      <c r="AY34">
        <f>CSV!AY34*台数入力!AY$5</f>
        <v>0</v>
      </c>
      <c r="AZ34">
        <f>CSV!AZ34*台数入力!AZ$5</f>
        <v>0</v>
      </c>
      <c r="BA34">
        <f>CSV!BA34*台数入力!BA$5</f>
        <v>0</v>
      </c>
      <c r="BB34">
        <f>CSV!BB34*台数入力!BB$5</f>
        <v>0</v>
      </c>
      <c r="BC34">
        <f>CSV!BC34*台数入力!BC$5</f>
        <v>0</v>
      </c>
      <c r="BD34">
        <f>CSV!BD34*台数入力!BD$5</f>
        <v>0</v>
      </c>
      <c r="BE34">
        <f>CSV!BE34*台数入力!BE$5</f>
        <v>0</v>
      </c>
      <c r="BF34">
        <f>CSV!BF34*台数入力!BF$5</f>
        <v>0</v>
      </c>
      <c r="BG34">
        <f>CSV!BG34*台数入力!BG$5</f>
        <v>0</v>
      </c>
      <c r="BH34">
        <f>CSV!BH34*台数入力!BH$5</f>
        <v>0</v>
      </c>
      <c r="BI34">
        <f>CSV!BI34*台数入力!BI$5</f>
        <v>0</v>
      </c>
      <c r="BJ34">
        <f>CSV!BJ34*台数入力!BJ$5</f>
        <v>0</v>
      </c>
      <c r="BK34">
        <f>CSV!BK34*台数入力!BK$5</f>
        <v>0</v>
      </c>
      <c r="BL34">
        <f>CSV!BL34*台数入力!BL$5</f>
        <v>0</v>
      </c>
      <c r="BM34">
        <f>CSV!BM34*台数入力!BM$5</f>
        <v>0</v>
      </c>
      <c r="BN34">
        <f>CSV!BN34*台数入力!BN$5</f>
        <v>0</v>
      </c>
      <c r="BO34">
        <f>CSV!BO34*台数入力!BO$5</f>
        <v>0</v>
      </c>
      <c r="BP34">
        <f>CSV!BP34*台数入力!BP$5</f>
        <v>0</v>
      </c>
      <c r="BQ34">
        <f>CSV!BQ34*台数入力!BQ$5</f>
        <v>0</v>
      </c>
      <c r="BR34">
        <f>CSV!BR34*台数入力!BR$5</f>
        <v>0</v>
      </c>
    </row>
    <row r="35" spans="2:70" x14ac:dyDescent="0.55000000000000004">
      <c r="B35" t="str">
        <f>CSV!B35</f>
        <v>NPM-7</v>
      </c>
      <c r="C35">
        <f>CSV!C35</f>
        <v>2</v>
      </c>
      <c r="D35">
        <f>CSV!D35</f>
        <v>142013</v>
      </c>
      <c r="F35">
        <f>CSV!F35</f>
        <v>0</v>
      </c>
      <c r="I35">
        <f>CSV!I35*台数入力!I$5</f>
        <v>0</v>
      </c>
      <c r="J35">
        <f>CSV!J35*台数入力!J$5</f>
        <v>0</v>
      </c>
      <c r="K35">
        <f>CSV!K35*台数入力!K$5</f>
        <v>0</v>
      </c>
      <c r="L35">
        <f>CSV!L35*台数入力!L$5</f>
        <v>0</v>
      </c>
      <c r="M35">
        <f>CSV!M35*台数入力!M$5</f>
        <v>0</v>
      </c>
      <c r="N35">
        <f>CSV!N35*台数入力!N$5</f>
        <v>0</v>
      </c>
      <c r="O35">
        <f>CSV!O35*台数入力!O$5</f>
        <v>0</v>
      </c>
      <c r="P35">
        <f>CSV!P35*台数入力!P$5</f>
        <v>0</v>
      </c>
      <c r="Q35">
        <f>CSV!Q35*台数入力!Q$5</f>
        <v>0</v>
      </c>
      <c r="R35">
        <f>CSV!R35*台数入力!R$5</f>
        <v>0</v>
      </c>
      <c r="S35">
        <f>CSV!S35*台数入力!S$5</f>
        <v>0</v>
      </c>
      <c r="T35">
        <f>CSV!T35*台数入力!T$5</f>
        <v>0</v>
      </c>
      <c r="U35">
        <f>CSV!U35*台数入力!U$5</f>
        <v>0</v>
      </c>
      <c r="V35">
        <f>CSV!V35*台数入力!V$5</f>
        <v>0</v>
      </c>
      <c r="W35">
        <f>CSV!W35*台数入力!W$5</f>
        <v>0</v>
      </c>
      <c r="X35">
        <f>CSV!X35*台数入力!X$5</f>
        <v>0</v>
      </c>
      <c r="Y35">
        <f>CSV!Y35*台数入力!Y$5</f>
        <v>0</v>
      </c>
      <c r="Z35">
        <f>CSV!Z35*台数入力!Z$5</f>
        <v>0</v>
      </c>
      <c r="AA35">
        <f>CSV!AA35*台数入力!AA$5</f>
        <v>0</v>
      </c>
      <c r="AB35">
        <f>CSV!AB35*台数入力!AB$5</f>
        <v>0</v>
      </c>
      <c r="AC35">
        <f>CSV!AC35*台数入力!AC$5</f>
        <v>0</v>
      </c>
      <c r="AD35">
        <f>CSV!AD35*台数入力!AD$5</f>
        <v>0</v>
      </c>
      <c r="AE35">
        <f>CSV!AE35*台数入力!AE$5</f>
        <v>0</v>
      </c>
      <c r="AF35">
        <f>CSV!AF35*台数入力!AF$5</f>
        <v>0</v>
      </c>
      <c r="AG35">
        <f>CSV!AG35*台数入力!AG$5</f>
        <v>0</v>
      </c>
      <c r="AH35">
        <f>CSV!AH35*台数入力!AH$5</f>
        <v>0</v>
      </c>
      <c r="AI35">
        <f>CSV!AI35*台数入力!AI$5</f>
        <v>0</v>
      </c>
      <c r="AJ35">
        <f>CSV!AJ35*台数入力!AJ$5</f>
        <v>0</v>
      </c>
      <c r="AK35">
        <f>CSV!AK35*台数入力!AK$5</f>
        <v>0</v>
      </c>
      <c r="AL35">
        <f>CSV!AL35*台数入力!AL$5</f>
        <v>0</v>
      </c>
      <c r="AM35">
        <f>CSV!AM35*台数入力!AM$5</f>
        <v>0</v>
      </c>
      <c r="AN35">
        <f>CSV!AN35*台数入力!AN$5</f>
        <v>0</v>
      </c>
      <c r="AO35">
        <f>CSV!AO35*台数入力!AO$5</f>
        <v>0</v>
      </c>
      <c r="AP35">
        <f>CSV!AP35*台数入力!AP$5</f>
        <v>0</v>
      </c>
      <c r="AQ35">
        <f>CSV!AQ35*台数入力!AQ$5</f>
        <v>0</v>
      </c>
      <c r="AR35">
        <f>CSV!AR35*台数入力!AR$5</f>
        <v>0</v>
      </c>
      <c r="AS35">
        <f>CSV!AS35*台数入力!AS$5</f>
        <v>0</v>
      </c>
      <c r="AT35">
        <f>CSV!AT35*台数入力!AT$5</f>
        <v>0</v>
      </c>
      <c r="AU35">
        <f>CSV!AU35*台数入力!AU$5</f>
        <v>0</v>
      </c>
      <c r="AV35">
        <f>CSV!AV35*台数入力!AV$5</f>
        <v>0</v>
      </c>
      <c r="AW35">
        <f>CSV!AW35*台数入力!AW$5</f>
        <v>0</v>
      </c>
      <c r="AX35">
        <f>CSV!AX35*台数入力!AX$5</f>
        <v>0</v>
      </c>
      <c r="AY35">
        <f>CSV!AY35*台数入力!AY$5</f>
        <v>0</v>
      </c>
      <c r="AZ35">
        <f>CSV!AZ35*台数入力!AZ$5</f>
        <v>0</v>
      </c>
      <c r="BA35">
        <f>CSV!BA35*台数入力!BA$5</f>
        <v>0</v>
      </c>
      <c r="BB35">
        <f>CSV!BB35*台数入力!BB$5</f>
        <v>0</v>
      </c>
      <c r="BC35">
        <f>CSV!BC35*台数入力!BC$5</f>
        <v>0</v>
      </c>
      <c r="BD35">
        <f>CSV!BD35*台数入力!BD$5</f>
        <v>0</v>
      </c>
      <c r="BE35">
        <f>CSV!BE35*台数入力!BE$5</f>
        <v>0</v>
      </c>
      <c r="BF35">
        <f>CSV!BF35*台数入力!BF$5</f>
        <v>0</v>
      </c>
      <c r="BG35">
        <f>CSV!BG35*台数入力!BG$5</f>
        <v>0</v>
      </c>
      <c r="BH35">
        <f>CSV!BH35*台数入力!BH$5</f>
        <v>0</v>
      </c>
      <c r="BI35">
        <f>CSV!BI35*台数入力!BI$5</f>
        <v>0</v>
      </c>
      <c r="BJ35">
        <f>CSV!BJ35*台数入力!BJ$5</f>
        <v>0</v>
      </c>
      <c r="BK35">
        <f>CSV!BK35*台数入力!BK$5</f>
        <v>0</v>
      </c>
      <c r="BL35">
        <f>CSV!BL35*台数入力!BL$5</f>
        <v>0</v>
      </c>
      <c r="BM35">
        <f>CSV!BM35*台数入力!BM$5</f>
        <v>0</v>
      </c>
      <c r="BN35">
        <f>CSV!BN35*台数入力!BN$5</f>
        <v>0</v>
      </c>
      <c r="BO35">
        <f>CSV!BO35*台数入力!BO$5</f>
        <v>0</v>
      </c>
      <c r="BP35">
        <f>CSV!BP35*台数入力!BP$5</f>
        <v>0</v>
      </c>
      <c r="BQ35">
        <f>CSV!BQ35*台数入力!BQ$5</f>
        <v>0</v>
      </c>
      <c r="BR35">
        <f>CSV!BR35*台数入力!BR$5</f>
        <v>0</v>
      </c>
    </row>
    <row r="36" spans="2:70" x14ac:dyDescent="0.55000000000000004">
      <c r="B36" t="str">
        <f>CSV!B36</f>
        <v>NPM-7</v>
      </c>
      <c r="C36">
        <f>CSV!C36</f>
        <v>2</v>
      </c>
      <c r="D36">
        <f>CSV!D36</f>
        <v>142014</v>
      </c>
      <c r="F36">
        <f>CSV!F36</f>
        <v>0</v>
      </c>
      <c r="I36">
        <f>CSV!I36*台数入力!I$5</f>
        <v>0</v>
      </c>
      <c r="J36">
        <f>CSV!J36*台数入力!J$5</f>
        <v>0</v>
      </c>
      <c r="K36">
        <f>CSV!K36*台数入力!K$5</f>
        <v>0</v>
      </c>
      <c r="L36">
        <f>CSV!L36*台数入力!L$5</f>
        <v>0</v>
      </c>
      <c r="M36">
        <f>CSV!M36*台数入力!M$5</f>
        <v>0</v>
      </c>
      <c r="N36">
        <f>CSV!N36*台数入力!N$5</f>
        <v>0</v>
      </c>
      <c r="O36">
        <f>CSV!O36*台数入力!O$5</f>
        <v>0</v>
      </c>
      <c r="P36">
        <f>CSV!P36*台数入力!P$5</f>
        <v>0</v>
      </c>
      <c r="Q36">
        <f>CSV!Q36*台数入力!Q$5</f>
        <v>0</v>
      </c>
      <c r="R36">
        <f>CSV!R36*台数入力!R$5</f>
        <v>0</v>
      </c>
      <c r="S36">
        <f>CSV!S36*台数入力!S$5</f>
        <v>0</v>
      </c>
      <c r="T36">
        <f>CSV!T36*台数入力!T$5</f>
        <v>0</v>
      </c>
      <c r="U36">
        <f>CSV!U36*台数入力!U$5</f>
        <v>0</v>
      </c>
      <c r="V36">
        <f>CSV!V36*台数入力!V$5</f>
        <v>0</v>
      </c>
      <c r="W36">
        <f>CSV!W36*台数入力!W$5</f>
        <v>0</v>
      </c>
      <c r="X36">
        <f>CSV!X36*台数入力!X$5</f>
        <v>0</v>
      </c>
      <c r="Y36">
        <f>CSV!Y36*台数入力!Y$5</f>
        <v>0</v>
      </c>
      <c r="Z36">
        <f>CSV!Z36*台数入力!Z$5</f>
        <v>0</v>
      </c>
      <c r="AA36">
        <f>CSV!AA36*台数入力!AA$5</f>
        <v>0</v>
      </c>
      <c r="AB36">
        <f>CSV!AB36*台数入力!AB$5</f>
        <v>0</v>
      </c>
      <c r="AC36">
        <f>CSV!AC36*台数入力!AC$5</f>
        <v>0</v>
      </c>
      <c r="AD36">
        <f>CSV!AD36*台数入力!AD$5</f>
        <v>0</v>
      </c>
      <c r="AE36">
        <f>CSV!AE36*台数入力!AE$5</f>
        <v>0</v>
      </c>
      <c r="AF36">
        <f>CSV!AF36*台数入力!AF$5</f>
        <v>0</v>
      </c>
      <c r="AG36">
        <f>CSV!AG36*台数入力!AG$5</f>
        <v>0</v>
      </c>
      <c r="AH36">
        <f>CSV!AH36*台数入力!AH$5</f>
        <v>0</v>
      </c>
      <c r="AI36">
        <f>CSV!AI36*台数入力!AI$5</f>
        <v>0</v>
      </c>
      <c r="AJ36">
        <f>CSV!AJ36*台数入力!AJ$5</f>
        <v>0</v>
      </c>
      <c r="AK36">
        <f>CSV!AK36*台数入力!AK$5</f>
        <v>0</v>
      </c>
      <c r="AL36">
        <f>CSV!AL36*台数入力!AL$5</f>
        <v>0</v>
      </c>
      <c r="AM36">
        <f>CSV!AM36*台数入力!AM$5</f>
        <v>0</v>
      </c>
      <c r="AN36">
        <f>CSV!AN36*台数入力!AN$5</f>
        <v>0</v>
      </c>
      <c r="AO36">
        <f>CSV!AO36*台数入力!AO$5</f>
        <v>0</v>
      </c>
      <c r="AP36">
        <f>CSV!AP36*台数入力!AP$5</f>
        <v>0</v>
      </c>
      <c r="AQ36">
        <f>CSV!AQ36*台数入力!AQ$5</f>
        <v>0</v>
      </c>
      <c r="AR36">
        <f>CSV!AR36*台数入力!AR$5</f>
        <v>0</v>
      </c>
      <c r="AS36">
        <f>CSV!AS36*台数入力!AS$5</f>
        <v>0</v>
      </c>
      <c r="AT36">
        <f>CSV!AT36*台数入力!AT$5</f>
        <v>0</v>
      </c>
      <c r="AU36">
        <f>CSV!AU36*台数入力!AU$5</f>
        <v>0</v>
      </c>
      <c r="AV36">
        <f>CSV!AV36*台数入力!AV$5</f>
        <v>0</v>
      </c>
      <c r="AW36">
        <f>CSV!AW36*台数入力!AW$5</f>
        <v>0</v>
      </c>
      <c r="AX36">
        <f>CSV!AX36*台数入力!AX$5</f>
        <v>0</v>
      </c>
      <c r="AY36">
        <f>CSV!AY36*台数入力!AY$5</f>
        <v>0</v>
      </c>
      <c r="AZ36">
        <f>CSV!AZ36*台数入力!AZ$5</f>
        <v>0</v>
      </c>
      <c r="BA36">
        <f>CSV!BA36*台数入力!BA$5</f>
        <v>0</v>
      </c>
      <c r="BB36">
        <f>CSV!BB36*台数入力!BB$5</f>
        <v>0</v>
      </c>
      <c r="BC36">
        <f>CSV!BC36*台数入力!BC$5</f>
        <v>0</v>
      </c>
      <c r="BD36">
        <f>CSV!BD36*台数入力!BD$5</f>
        <v>0</v>
      </c>
      <c r="BE36">
        <f>CSV!BE36*台数入力!BE$5</f>
        <v>0</v>
      </c>
      <c r="BF36">
        <f>CSV!BF36*台数入力!BF$5</f>
        <v>0</v>
      </c>
      <c r="BG36">
        <f>CSV!BG36*台数入力!BG$5</f>
        <v>0</v>
      </c>
      <c r="BH36">
        <f>CSV!BH36*台数入力!BH$5</f>
        <v>0</v>
      </c>
      <c r="BI36">
        <f>CSV!BI36*台数入力!BI$5</f>
        <v>0</v>
      </c>
      <c r="BJ36">
        <f>CSV!BJ36*台数入力!BJ$5</f>
        <v>0</v>
      </c>
      <c r="BK36">
        <f>CSV!BK36*台数入力!BK$5</f>
        <v>0</v>
      </c>
      <c r="BL36">
        <f>CSV!BL36*台数入力!BL$5</f>
        <v>0</v>
      </c>
      <c r="BM36">
        <f>CSV!BM36*台数入力!BM$5</f>
        <v>0</v>
      </c>
      <c r="BN36">
        <f>CSV!BN36*台数入力!BN$5</f>
        <v>0</v>
      </c>
      <c r="BO36">
        <f>CSV!BO36*台数入力!BO$5</f>
        <v>0</v>
      </c>
      <c r="BP36">
        <f>CSV!BP36*台数入力!BP$5</f>
        <v>0</v>
      </c>
      <c r="BQ36">
        <f>CSV!BQ36*台数入力!BQ$5</f>
        <v>0</v>
      </c>
      <c r="BR36">
        <f>CSV!BR36*台数入力!BR$5</f>
        <v>0</v>
      </c>
    </row>
    <row r="37" spans="2:70" x14ac:dyDescent="0.55000000000000004">
      <c r="B37" t="str">
        <f>CSV!B37</f>
        <v>NPM-7</v>
      </c>
      <c r="C37">
        <f>CSV!C37</f>
        <v>2</v>
      </c>
      <c r="D37">
        <f>CSV!D37</f>
        <v>142015</v>
      </c>
      <c r="F37">
        <f>CSV!F37</f>
        <v>0</v>
      </c>
      <c r="I37">
        <f>CSV!I37*台数入力!I$5</f>
        <v>0</v>
      </c>
      <c r="J37">
        <f>CSV!J37*台数入力!J$5</f>
        <v>0</v>
      </c>
      <c r="K37">
        <f>CSV!K37*台数入力!K$5</f>
        <v>0</v>
      </c>
      <c r="L37">
        <f>CSV!L37*台数入力!L$5</f>
        <v>0</v>
      </c>
      <c r="M37">
        <f>CSV!M37*台数入力!M$5</f>
        <v>0</v>
      </c>
      <c r="N37">
        <f>CSV!N37*台数入力!N$5</f>
        <v>0</v>
      </c>
      <c r="O37">
        <f>CSV!O37*台数入力!O$5</f>
        <v>0</v>
      </c>
      <c r="P37">
        <f>CSV!P37*台数入力!P$5</f>
        <v>0</v>
      </c>
      <c r="Q37">
        <f>CSV!Q37*台数入力!Q$5</f>
        <v>0</v>
      </c>
      <c r="R37">
        <f>CSV!R37*台数入力!R$5</f>
        <v>0</v>
      </c>
      <c r="S37">
        <f>CSV!S37*台数入力!S$5</f>
        <v>0</v>
      </c>
      <c r="T37">
        <f>CSV!T37*台数入力!T$5</f>
        <v>0</v>
      </c>
      <c r="U37">
        <f>CSV!U37*台数入力!U$5</f>
        <v>0</v>
      </c>
      <c r="V37">
        <f>CSV!V37*台数入力!V$5</f>
        <v>0</v>
      </c>
      <c r="W37">
        <f>CSV!W37*台数入力!W$5</f>
        <v>0</v>
      </c>
      <c r="X37">
        <f>CSV!X37*台数入力!X$5</f>
        <v>0</v>
      </c>
      <c r="Y37">
        <f>CSV!Y37*台数入力!Y$5</f>
        <v>0</v>
      </c>
      <c r="Z37">
        <f>CSV!Z37*台数入力!Z$5</f>
        <v>0</v>
      </c>
      <c r="AA37">
        <f>CSV!AA37*台数入力!AA$5</f>
        <v>0</v>
      </c>
      <c r="AB37">
        <f>CSV!AB37*台数入力!AB$5</f>
        <v>0</v>
      </c>
      <c r="AC37">
        <f>CSV!AC37*台数入力!AC$5</f>
        <v>0</v>
      </c>
      <c r="AD37">
        <f>CSV!AD37*台数入力!AD$5</f>
        <v>0</v>
      </c>
      <c r="AE37">
        <f>CSV!AE37*台数入力!AE$5</f>
        <v>0</v>
      </c>
      <c r="AF37">
        <f>CSV!AF37*台数入力!AF$5</f>
        <v>0</v>
      </c>
      <c r="AG37">
        <f>CSV!AG37*台数入力!AG$5</f>
        <v>0</v>
      </c>
      <c r="AH37">
        <f>CSV!AH37*台数入力!AH$5</f>
        <v>0</v>
      </c>
      <c r="AI37">
        <f>CSV!AI37*台数入力!AI$5</f>
        <v>0</v>
      </c>
      <c r="AJ37">
        <f>CSV!AJ37*台数入力!AJ$5</f>
        <v>0</v>
      </c>
      <c r="AK37">
        <f>CSV!AK37*台数入力!AK$5</f>
        <v>0</v>
      </c>
      <c r="AL37">
        <f>CSV!AL37*台数入力!AL$5</f>
        <v>0</v>
      </c>
      <c r="AM37">
        <f>CSV!AM37*台数入力!AM$5</f>
        <v>0</v>
      </c>
      <c r="AN37">
        <f>CSV!AN37*台数入力!AN$5</f>
        <v>0</v>
      </c>
      <c r="AO37">
        <f>CSV!AO37*台数入力!AO$5</f>
        <v>0</v>
      </c>
      <c r="AP37">
        <f>CSV!AP37*台数入力!AP$5</f>
        <v>0</v>
      </c>
      <c r="AQ37">
        <f>CSV!AQ37*台数入力!AQ$5</f>
        <v>0</v>
      </c>
      <c r="AR37">
        <f>CSV!AR37*台数入力!AR$5</f>
        <v>0</v>
      </c>
      <c r="AS37">
        <f>CSV!AS37*台数入力!AS$5</f>
        <v>0</v>
      </c>
      <c r="AT37">
        <f>CSV!AT37*台数入力!AT$5</f>
        <v>0</v>
      </c>
      <c r="AU37">
        <f>CSV!AU37*台数入力!AU$5</f>
        <v>0</v>
      </c>
      <c r="AV37">
        <f>CSV!AV37*台数入力!AV$5</f>
        <v>0</v>
      </c>
      <c r="AW37">
        <f>CSV!AW37*台数入力!AW$5</f>
        <v>0</v>
      </c>
      <c r="AX37">
        <f>CSV!AX37*台数入力!AX$5</f>
        <v>0</v>
      </c>
      <c r="AY37">
        <f>CSV!AY37*台数入力!AY$5</f>
        <v>0</v>
      </c>
      <c r="AZ37">
        <f>CSV!AZ37*台数入力!AZ$5</f>
        <v>0</v>
      </c>
      <c r="BA37">
        <f>CSV!BA37*台数入力!BA$5</f>
        <v>0</v>
      </c>
      <c r="BB37">
        <f>CSV!BB37*台数入力!BB$5</f>
        <v>0</v>
      </c>
      <c r="BC37">
        <f>CSV!BC37*台数入力!BC$5</f>
        <v>0</v>
      </c>
      <c r="BD37">
        <f>CSV!BD37*台数入力!BD$5</f>
        <v>0</v>
      </c>
      <c r="BE37">
        <f>CSV!BE37*台数入力!BE$5</f>
        <v>0</v>
      </c>
      <c r="BF37">
        <f>CSV!BF37*台数入力!BF$5</f>
        <v>0</v>
      </c>
      <c r="BG37">
        <f>CSV!BG37*台数入力!BG$5</f>
        <v>0</v>
      </c>
      <c r="BH37">
        <f>CSV!BH37*台数入力!BH$5</f>
        <v>0</v>
      </c>
      <c r="BI37">
        <f>CSV!BI37*台数入力!BI$5</f>
        <v>0</v>
      </c>
      <c r="BJ37">
        <f>CSV!BJ37*台数入力!BJ$5</f>
        <v>0</v>
      </c>
      <c r="BK37">
        <f>CSV!BK37*台数入力!BK$5</f>
        <v>0</v>
      </c>
      <c r="BL37">
        <f>CSV!BL37*台数入力!BL$5</f>
        <v>0</v>
      </c>
      <c r="BM37">
        <f>CSV!BM37*台数入力!BM$5</f>
        <v>0</v>
      </c>
      <c r="BN37">
        <f>CSV!BN37*台数入力!BN$5</f>
        <v>0</v>
      </c>
      <c r="BO37">
        <f>CSV!BO37*台数入力!BO$5</f>
        <v>0</v>
      </c>
      <c r="BP37">
        <f>CSV!BP37*台数入力!BP$5</f>
        <v>0</v>
      </c>
      <c r="BQ37">
        <f>CSV!BQ37*台数入力!BQ$5</f>
        <v>0</v>
      </c>
      <c r="BR37">
        <f>CSV!BR37*台数入力!BR$5</f>
        <v>0</v>
      </c>
    </row>
    <row r="38" spans="2:70" x14ac:dyDescent="0.55000000000000004">
      <c r="B38" t="str">
        <f>CSV!B38</f>
        <v>NPM-7</v>
      </c>
      <c r="C38">
        <f>CSV!C38</f>
        <v>2</v>
      </c>
      <c r="D38">
        <f>CSV!D38</f>
        <v>142016</v>
      </c>
      <c r="F38">
        <f>CSV!F38</f>
        <v>0</v>
      </c>
      <c r="I38">
        <f>CSV!I38*台数入力!I$5</f>
        <v>0</v>
      </c>
      <c r="J38">
        <f>CSV!J38*台数入力!J$5</f>
        <v>0</v>
      </c>
      <c r="K38">
        <f>CSV!K38*台数入力!K$5</f>
        <v>0</v>
      </c>
      <c r="L38">
        <f>CSV!L38*台数入力!L$5</f>
        <v>0</v>
      </c>
      <c r="M38">
        <f>CSV!M38*台数入力!M$5</f>
        <v>0</v>
      </c>
      <c r="N38">
        <f>CSV!N38*台数入力!N$5</f>
        <v>0</v>
      </c>
      <c r="O38">
        <f>CSV!O38*台数入力!O$5</f>
        <v>0</v>
      </c>
      <c r="P38">
        <f>CSV!P38*台数入力!P$5</f>
        <v>0</v>
      </c>
      <c r="Q38">
        <f>CSV!Q38*台数入力!Q$5</f>
        <v>0</v>
      </c>
      <c r="R38">
        <f>CSV!R38*台数入力!R$5</f>
        <v>0</v>
      </c>
      <c r="S38">
        <f>CSV!S38*台数入力!S$5</f>
        <v>0</v>
      </c>
      <c r="T38">
        <f>CSV!T38*台数入力!T$5</f>
        <v>0</v>
      </c>
      <c r="U38">
        <f>CSV!U38*台数入力!U$5</f>
        <v>0</v>
      </c>
      <c r="V38">
        <f>CSV!V38*台数入力!V$5</f>
        <v>0</v>
      </c>
      <c r="W38">
        <f>CSV!W38*台数入力!W$5</f>
        <v>0</v>
      </c>
      <c r="X38">
        <f>CSV!X38*台数入力!X$5</f>
        <v>0</v>
      </c>
      <c r="Y38">
        <f>CSV!Y38*台数入力!Y$5</f>
        <v>0</v>
      </c>
      <c r="Z38">
        <f>CSV!Z38*台数入力!Z$5</f>
        <v>0</v>
      </c>
      <c r="AA38">
        <f>CSV!AA38*台数入力!AA$5</f>
        <v>0</v>
      </c>
      <c r="AB38">
        <f>CSV!AB38*台数入力!AB$5</f>
        <v>0</v>
      </c>
      <c r="AC38">
        <f>CSV!AC38*台数入力!AC$5</f>
        <v>0</v>
      </c>
      <c r="AD38">
        <f>CSV!AD38*台数入力!AD$5</f>
        <v>0</v>
      </c>
      <c r="AE38">
        <f>CSV!AE38*台数入力!AE$5</f>
        <v>0</v>
      </c>
      <c r="AF38">
        <f>CSV!AF38*台数入力!AF$5</f>
        <v>0</v>
      </c>
      <c r="AG38">
        <f>CSV!AG38*台数入力!AG$5</f>
        <v>0</v>
      </c>
      <c r="AH38">
        <f>CSV!AH38*台数入力!AH$5</f>
        <v>0</v>
      </c>
      <c r="AI38">
        <f>CSV!AI38*台数入力!AI$5</f>
        <v>0</v>
      </c>
      <c r="AJ38">
        <f>CSV!AJ38*台数入力!AJ$5</f>
        <v>0</v>
      </c>
      <c r="AK38">
        <f>CSV!AK38*台数入力!AK$5</f>
        <v>0</v>
      </c>
      <c r="AL38">
        <f>CSV!AL38*台数入力!AL$5</f>
        <v>0</v>
      </c>
      <c r="AM38">
        <f>CSV!AM38*台数入力!AM$5</f>
        <v>0</v>
      </c>
      <c r="AN38">
        <f>CSV!AN38*台数入力!AN$5</f>
        <v>0</v>
      </c>
      <c r="AO38">
        <f>CSV!AO38*台数入力!AO$5</f>
        <v>0</v>
      </c>
      <c r="AP38">
        <f>CSV!AP38*台数入力!AP$5</f>
        <v>0</v>
      </c>
      <c r="AQ38">
        <f>CSV!AQ38*台数入力!AQ$5</f>
        <v>0</v>
      </c>
      <c r="AR38">
        <f>CSV!AR38*台数入力!AR$5</f>
        <v>0</v>
      </c>
      <c r="AS38">
        <f>CSV!AS38*台数入力!AS$5</f>
        <v>0</v>
      </c>
      <c r="AT38">
        <f>CSV!AT38*台数入力!AT$5</f>
        <v>0</v>
      </c>
      <c r="AU38">
        <f>CSV!AU38*台数入力!AU$5</f>
        <v>0</v>
      </c>
      <c r="AV38">
        <f>CSV!AV38*台数入力!AV$5</f>
        <v>0</v>
      </c>
      <c r="AW38">
        <f>CSV!AW38*台数入力!AW$5</f>
        <v>0</v>
      </c>
      <c r="AX38">
        <f>CSV!AX38*台数入力!AX$5</f>
        <v>0</v>
      </c>
      <c r="AY38">
        <f>CSV!AY38*台数入力!AY$5</f>
        <v>0</v>
      </c>
      <c r="AZ38">
        <f>CSV!AZ38*台数入力!AZ$5</f>
        <v>0</v>
      </c>
      <c r="BA38">
        <f>CSV!BA38*台数入力!BA$5</f>
        <v>0</v>
      </c>
      <c r="BB38">
        <f>CSV!BB38*台数入力!BB$5</f>
        <v>0</v>
      </c>
      <c r="BC38">
        <f>CSV!BC38*台数入力!BC$5</f>
        <v>0</v>
      </c>
      <c r="BD38">
        <f>CSV!BD38*台数入力!BD$5</f>
        <v>0</v>
      </c>
      <c r="BE38">
        <f>CSV!BE38*台数入力!BE$5</f>
        <v>0</v>
      </c>
      <c r="BF38">
        <f>CSV!BF38*台数入力!BF$5</f>
        <v>0</v>
      </c>
      <c r="BG38">
        <f>CSV!BG38*台数入力!BG$5</f>
        <v>0</v>
      </c>
      <c r="BH38">
        <f>CSV!BH38*台数入力!BH$5</f>
        <v>0</v>
      </c>
      <c r="BI38">
        <f>CSV!BI38*台数入力!BI$5</f>
        <v>0</v>
      </c>
      <c r="BJ38">
        <f>CSV!BJ38*台数入力!BJ$5</f>
        <v>0</v>
      </c>
      <c r="BK38">
        <f>CSV!BK38*台数入力!BK$5</f>
        <v>0</v>
      </c>
      <c r="BL38">
        <f>CSV!BL38*台数入力!BL$5</f>
        <v>0</v>
      </c>
      <c r="BM38">
        <f>CSV!BM38*台数入力!BM$5</f>
        <v>0</v>
      </c>
      <c r="BN38">
        <f>CSV!BN38*台数入力!BN$5</f>
        <v>0</v>
      </c>
      <c r="BO38">
        <f>CSV!BO38*台数入力!BO$5</f>
        <v>0</v>
      </c>
      <c r="BP38">
        <f>CSV!BP38*台数入力!BP$5</f>
        <v>0</v>
      </c>
      <c r="BQ38">
        <f>CSV!BQ38*台数入力!BQ$5</f>
        <v>0</v>
      </c>
      <c r="BR38">
        <f>CSV!BR38*台数入力!BR$5</f>
        <v>0</v>
      </c>
    </row>
    <row r="39" spans="2:70" x14ac:dyDescent="0.55000000000000004">
      <c r="B39" t="str">
        <f>CSV!B39</f>
        <v>NPM-7</v>
      </c>
      <c r="C39">
        <f>CSV!C39</f>
        <v>2</v>
      </c>
      <c r="D39">
        <f>CSV!D39</f>
        <v>142017</v>
      </c>
      <c r="F39">
        <f>CSV!F39</f>
        <v>0</v>
      </c>
      <c r="I39">
        <f>CSV!I39*台数入力!I$5</f>
        <v>0</v>
      </c>
      <c r="J39">
        <f>CSV!J39*台数入力!J$5</f>
        <v>0</v>
      </c>
      <c r="K39">
        <f>CSV!K39*台数入力!K$5</f>
        <v>0</v>
      </c>
      <c r="L39">
        <f>CSV!L39*台数入力!L$5</f>
        <v>0</v>
      </c>
      <c r="M39">
        <f>CSV!M39*台数入力!M$5</f>
        <v>0</v>
      </c>
      <c r="N39">
        <f>CSV!N39*台数入力!N$5</f>
        <v>0</v>
      </c>
      <c r="O39">
        <f>CSV!O39*台数入力!O$5</f>
        <v>0</v>
      </c>
      <c r="P39">
        <f>CSV!P39*台数入力!P$5</f>
        <v>0</v>
      </c>
      <c r="Q39">
        <f>CSV!Q39*台数入力!Q$5</f>
        <v>0</v>
      </c>
      <c r="R39">
        <f>CSV!R39*台数入力!R$5</f>
        <v>0</v>
      </c>
      <c r="S39">
        <f>CSV!S39*台数入力!S$5</f>
        <v>0</v>
      </c>
      <c r="T39">
        <f>CSV!T39*台数入力!T$5</f>
        <v>0</v>
      </c>
      <c r="U39">
        <f>CSV!U39*台数入力!U$5</f>
        <v>0</v>
      </c>
      <c r="V39">
        <f>CSV!V39*台数入力!V$5</f>
        <v>0</v>
      </c>
      <c r="W39">
        <f>CSV!W39*台数入力!W$5</f>
        <v>0</v>
      </c>
      <c r="X39">
        <f>CSV!X39*台数入力!X$5</f>
        <v>0</v>
      </c>
      <c r="Y39">
        <f>CSV!Y39*台数入力!Y$5</f>
        <v>0</v>
      </c>
      <c r="Z39">
        <f>CSV!Z39*台数入力!Z$5</f>
        <v>0</v>
      </c>
      <c r="AA39">
        <f>CSV!AA39*台数入力!AA$5</f>
        <v>0</v>
      </c>
      <c r="AB39">
        <f>CSV!AB39*台数入力!AB$5</f>
        <v>0</v>
      </c>
      <c r="AC39">
        <f>CSV!AC39*台数入力!AC$5</f>
        <v>0</v>
      </c>
      <c r="AD39">
        <f>CSV!AD39*台数入力!AD$5</f>
        <v>0</v>
      </c>
      <c r="AE39">
        <f>CSV!AE39*台数入力!AE$5</f>
        <v>0</v>
      </c>
      <c r="AF39">
        <f>CSV!AF39*台数入力!AF$5</f>
        <v>0</v>
      </c>
      <c r="AG39">
        <f>CSV!AG39*台数入力!AG$5</f>
        <v>0</v>
      </c>
      <c r="AH39">
        <f>CSV!AH39*台数入力!AH$5</f>
        <v>0</v>
      </c>
      <c r="AI39">
        <f>CSV!AI39*台数入力!AI$5</f>
        <v>0</v>
      </c>
      <c r="AJ39">
        <f>CSV!AJ39*台数入力!AJ$5</f>
        <v>0</v>
      </c>
      <c r="AK39">
        <f>CSV!AK39*台数入力!AK$5</f>
        <v>0</v>
      </c>
      <c r="AL39">
        <f>CSV!AL39*台数入力!AL$5</f>
        <v>0</v>
      </c>
      <c r="AM39">
        <f>CSV!AM39*台数入力!AM$5</f>
        <v>0</v>
      </c>
      <c r="AN39">
        <f>CSV!AN39*台数入力!AN$5</f>
        <v>0</v>
      </c>
      <c r="AO39">
        <f>CSV!AO39*台数入力!AO$5</f>
        <v>0</v>
      </c>
      <c r="AP39">
        <f>CSV!AP39*台数入力!AP$5</f>
        <v>0</v>
      </c>
      <c r="AQ39">
        <f>CSV!AQ39*台数入力!AQ$5</f>
        <v>0</v>
      </c>
      <c r="AR39">
        <f>CSV!AR39*台数入力!AR$5</f>
        <v>0</v>
      </c>
      <c r="AS39">
        <f>CSV!AS39*台数入力!AS$5</f>
        <v>0</v>
      </c>
      <c r="AT39">
        <f>CSV!AT39*台数入力!AT$5</f>
        <v>0</v>
      </c>
      <c r="AU39">
        <f>CSV!AU39*台数入力!AU$5</f>
        <v>0</v>
      </c>
      <c r="AV39">
        <f>CSV!AV39*台数入力!AV$5</f>
        <v>0</v>
      </c>
      <c r="AW39">
        <f>CSV!AW39*台数入力!AW$5</f>
        <v>0</v>
      </c>
      <c r="AX39">
        <f>CSV!AX39*台数入力!AX$5</f>
        <v>0</v>
      </c>
      <c r="AY39">
        <f>CSV!AY39*台数入力!AY$5</f>
        <v>0</v>
      </c>
      <c r="AZ39">
        <f>CSV!AZ39*台数入力!AZ$5</f>
        <v>0</v>
      </c>
      <c r="BA39">
        <f>CSV!BA39*台数入力!BA$5</f>
        <v>0</v>
      </c>
      <c r="BB39">
        <f>CSV!BB39*台数入力!BB$5</f>
        <v>0</v>
      </c>
      <c r="BC39">
        <f>CSV!BC39*台数入力!BC$5</f>
        <v>0</v>
      </c>
      <c r="BD39">
        <f>CSV!BD39*台数入力!BD$5</f>
        <v>0</v>
      </c>
      <c r="BE39">
        <f>CSV!BE39*台数入力!BE$5</f>
        <v>0</v>
      </c>
      <c r="BF39">
        <f>CSV!BF39*台数入力!BF$5</f>
        <v>0</v>
      </c>
      <c r="BG39">
        <f>CSV!BG39*台数入力!BG$5</f>
        <v>0</v>
      </c>
      <c r="BH39">
        <f>CSV!BH39*台数入力!BH$5</f>
        <v>0</v>
      </c>
      <c r="BI39">
        <f>CSV!BI39*台数入力!BI$5</f>
        <v>0</v>
      </c>
      <c r="BJ39">
        <f>CSV!BJ39*台数入力!BJ$5</f>
        <v>0</v>
      </c>
      <c r="BK39">
        <f>CSV!BK39*台数入力!BK$5</f>
        <v>0</v>
      </c>
      <c r="BL39">
        <f>CSV!BL39*台数入力!BL$5</f>
        <v>0</v>
      </c>
      <c r="BM39">
        <f>CSV!BM39*台数入力!BM$5</f>
        <v>0</v>
      </c>
      <c r="BN39">
        <f>CSV!BN39*台数入力!BN$5</f>
        <v>0</v>
      </c>
      <c r="BO39">
        <f>CSV!BO39*台数入力!BO$5</f>
        <v>0</v>
      </c>
      <c r="BP39">
        <f>CSV!BP39*台数入力!BP$5</f>
        <v>0</v>
      </c>
      <c r="BQ39">
        <f>CSV!BQ39*台数入力!BQ$5</f>
        <v>0</v>
      </c>
      <c r="BR39">
        <f>CSV!BR39*台数入力!BR$5</f>
        <v>0</v>
      </c>
    </row>
    <row r="40" spans="2:70" x14ac:dyDescent="0.55000000000000004">
      <c r="B40" t="str">
        <f>CSV!B40</f>
        <v>NPM-7</v>
      </c>
      <c r="C40">
        <f>CSV!C40</f>
        <v>2</v>
      </c>
      <c r="D40">
        <f>CSV!D40</f>
        <v>142018</v>
      </c>
      <c r="F40">
        <f>CSV!F40</f>
        <v>0</v>
      </c>
      <c r="I40">
        <f>CSV!I40*台数入力!I$5</f>
        <v>0</v>
      </c>
      <c r="J40">
        <f>CSV!J40*台数入力!J$5</f>
        <v>0</v>
      </c>
      <c r="K40">
        <f>CSV!K40*台数入力!K$5</f>
        <v>0</v>
      </c>
      <c r="L40">
        <f>CSV!L40*台数入力!L$5</f>
        <v>0</v>
      </c>
      <c r="M40">
        <f>CSV!M40*台数入力!M$5</f>
        <v>0</v>
      </c>
      <c r="N40">
        <f>CSV!N40*台数入力!N$5</f>
        <v>0</v>
      </c>
      <c r="O40">
        <f>CSV!O40*台数入力!O$5</f>
        <v>0</v>
      </c>
      <c r="P40">
        <f>CSV!P40*台数入力!P$5</f>
        <v>0</v>
      </c>
      <c r="Q40">
        <f>CSV!Q40*台数入力!Q$5</f>
        <v>0</v>
      </c>
      <c r="R40">
        <f>CSV!R40*台数入力!R$5</f>
        <v>0</v>
      </c>
      <c r="S40">
        <f>CSV!S40*台数入力!S$5</f>
        <v>0</v>
      </c>
      <c r="T40">
        <f>CSV!T40*台数入力!T$5</f>
        <v>0</v>
      </c>
      <c r="U40">
        <f>CSV!U40*台数入力!U$5</f>
        <v>0</v>
      </c>
      <c r="V40">
        <f>CSV!V40*台数入力!V$5</f>
        <v>0</v>
      </c>
      <c r="W40">
        <f>CSV!W40*台数入力!W$5</f>
        <v>0</v>
      </c>
      <c r="X40">
        <f>CSV!X40*台数入力!X$5</f>
        <v>0</v>
      </c>
      <c r="Y40">
        <f>CSV!Y40*台数入力!Y$5</f>
        <v>0</v>
      </c>
      <c r="Z40">
        <f>CSV!Z40*台数入力!Z$5</f>
        <v>0</v>
      </c>
      <c r="AA40">
        <f>CSV!AA40*台数入力!AA$5</f>
        <v>0</v>
      </c>
      <c r="AB40">
        <f>CSV!AB40*台数入力!AB$5</f>
        <v>0</v>
      </c>
      <c r="AC40">
        <f>CSV!AC40*台数入力!AC$5</f>
        <v>0</v>
      </c>
      <c r="AD40">
        <f>CSV!AD40*台数入力!AD$5</f>
        <v>0</v>
      </c>
      <c r="AE40">
        <f>CSV!AE40*台数入力!AE$5</f>
        <v>0</v>
      </c>
      <c r="AF40">
        <f>CSV!AF40*台数入力!AF$5</f>
        <v>0</v>
      </c>
      <c r="AG40">
        <f>CSV!AG40*台数入力!AG$5</f>
        <v>0</v>
      </c>
      <c r="AH40">
        <f>CSV!AH40*台数入力!AH$5</f>
        <v>0</v>
      </c>
      <c r="AI40">
        <f>CSV!AI40*台数入力!AI$5</f>
        <v>0</v>
      </c>
      <c r="AJ40">
        <f>CSV!AJ40*台数入力!AJ$5</f>
        <v>0</v>
      </c>
      <c r="AK40">
        <f>CSV!AK40*台数入力!AK$5</f>
        <v>0</v>
      </c>
      <c r="AL40">
        <f>CSV!AL40*台数入力!AL$5</f>
        <v>0</v>
      </c>
      <c r="AM40">
        <f>CSV!AM40*台数入力!AM$5</f>
        <v>0</v>
      </c>
      <c r="AN40">
        <f>CSV!AN40*台数入力!AN$5</f>
        <v>0</v>
      </c>
      <c r="AO40">
        <f>CSV!AO40*台数入力!AO$5</f>
        <v>0</v>
      </c>
      <c r="AP40">
        <f>CSV!AP40*台数入力!AP$5</f>
        <v>0</v>
      </c>
      <c r="AQ40">
        <f>CSV!AQ40*台数入力!AQ$5</f>
        <v>0</v>
      </c>
      <c r="AR40">
        <f>CSV!AR40*台数入力!AR$5</f>
        <v>0</v>
      </c>
      <c r="AS40">
        <f>CSV!AS40*台数入力!AS$5</f>
        <v>0</v>
      </c>
      <c r="AT40">
        <f>CSV!AT40*台数入力!AT$5</f>
        <v>0</v>
      </c>
      <c r="AU40">
        <f>CSV!AU40*台数入力!AU$5</f>
        <v>0</v>
      </c>
      <c r="AV40">
        <f>CSV!AV40*台数入力!AV$5</f>
        <v>0</v>
      </c>
      <c r="AW40">
        <f>CSV!AW40*台数入力!AW$5</f>
        <v>0</v>
      </c>
      <c r="AX40">
        <f>CSV!AX40*台数入力!AX$5</f>
        <v>0</v>
      </c>
      <c r="AY40">
        <f>CSV!AY40*台数入力!AY$5</f>
        <v>0</v>
      </c>
      <c r="AZ40">
        <f>CSV!AZ40*台数入力!AZ$5</f>
        <v>0</v>
      </c>
      <c r="BA40">
        <f>CSV!BA40*台数入力!BA$5</f>
        <v>0</v>
      </c>
      <c r="BB40">
        <f>CSV!BB40*台数入力!BB$5</f>
        <v>0</v>
      </c>
      <c r="BC40">
        <f>CSV!BC40*台数入力!BC$5</f>
        <v>0</v>
      </c>
      <c r="BD40">
        <f>CSV!BD40*台数入力!BD$5</f>
        <v>0</v>
      </c>
      <c r="BE40">
        <f>CSV!BE40*台数入力!BE$5</f>
        <v>0</v>
      </c>
      <c r="BF40">
        <f>CSV!BF40*台数入力!BF$5</f>
        <v>0</v>
      </c>
      <c r="BG40">
        <f>CSV!BG40*台数入力!BG$5</f>
        <v>0</v>
      </c>
      <c r="BH40">
        <f>CSV!BH40*台数入力!BH$5</f>
        <v>0</v>
      </c>
      <c r="BI40">
        <f>CSV!BI40*台数入力!BI$5</f>
        <v>0</v>
      </c>
      <c r="BJ40">
        <f>CSV!BJ40*台数入力!BJ$5</f>
        <v>0</v>
      </c>
      <c r="BK40">
        <f>CSV!BK40*台数入力!BK$5</f>
        <v>0</v>
      </c>
      <c r="BL40">
        <f>CSV!BL40*台数入力!BL$5</f>
        <v>0</v>
      </c>
      <c r="BM40">
        <f>CSV!BM40*台数入力!BM$5</f>
        <v>0</v>
      </c>
      <c r="BN40">
        <f>CSV!BN40*台数入力!BN$5</f>
        <v>0</v>
      </c>
      <c r="BO40">
        <f>CSV!BO40*台数入力!BO$5</f>
        <v>0</v>
      </c>
      <c r="BP40">
        <f>CSV!BP40*台数入力!BP$5</f>
        <v>0</v>
      </c>
      <c r="BQ40">
        <f>CSV!BQ40*台数入力!BQ$5</f>
        <v>0</v>
      </c>
      <c r="BR40">
        <f>CSV!BR40*台数入力!BR$5</f>
        <v>0</v>
      </c>
    </row>
    <row r="41" spans="2:70" x14ac:dyDescent="0.55000000000000004">
      <c r="B41" t="str">
        <f>CSV!B41</f>
        <v>NPM-7</v>
      </c>
      <c r="C41">
        <f>CSV!C41</f>
        <v>2</v>
      </c>
      <c r="D41">
        <f>CSV!D41</f>
        <v>142019</v>
      </c>
      <c r="F41">
        <f>CSV!F41</f>
        <v>0</v>
      </c>
      <c r="I41">
        <f>CSV!I41*台数入力!I$5</f>
        <v>0</v>
      </c>
      <c r="J41">
        <f>CSV!J41*台数入力!J$5</f>
        <v>0</v>
      </c>
      <c r="K41">
        <f>CSV!K41*台数入力!K$5</f>
        <v>0</v>
      </c>
      <c r="L41">
        <f>CSV!L41*台数入力!L$5</f>
        <v>0</v>
      </c>
      <c r="M41">
        <f>CSV!M41*台数入力!M$5</f>
        <v>0</v>
      </c>
      <c r="N41">
        <f>CSV!N41*台数入力!N$5</f>
        <v>0</v>
      </c>
      <c r="O41">
        <f>CSV!O41*台数入力!O$5</f>
        <v>0</v>
      </c>
      <c r="P41">
        <f>CSV!P41*台数入力!P$5</f>
        <v>0</v>
      </c>
      <c r="Q41">
        <f>CSV!Q41*台数入力!Q$5</f>
        <v>0</v>
      </c>
      <c r="R41">
        <f>CSV!R41*台数入力!R$5</f>
        <v>0</v>
      </c>
      <c r="S41">
        <f>CSV!S41*台数入力!S$5</f>
        <v>0</v>
      </c>
      <c r="T41">
        <f>CSV!T41*台数入力!T$5</f>
        <v>0</v>
      </c>
      <c r="U41">
        <f>CSV!U41*台数入力!U$5</f>
        <v>0</v>
      </c>
      <c r="V41">
        <f>CSV!V41*台数入力!V$5</f>
        <v>0</v>
      </c>
      <c r="W41">
        <f>CSV!W41*台数入力!W$5</f>
        <v>0</v>
      </c>
      <c r="X41">
        <f>CSV!X41*台数入力!X$5</f>
        <v>0</v>
      </c>
      <c r="Y41">
        <f>CSV!Y41*台数入力!Y$5</f>
        <v>0</v>
      </c>
      <c r="Z41">
        <f>CSV!Z41*台数入力!Z$5</f>
        <v>0</v>
      </c>
      <c r="AA41">
        <f>CSV!AA41*台数入力!AA$5</f>
        <v>0</v>
      </c>
      <c r="AB41">
        <f>CSV!AB41*台数入力!AB$5</f>
        <v>0</v>
      </c>
      <c r="AC41">
        <f>CSV!AC41*台数入力!AC$5</f>
        <v>0</v>
      </c>
      <c r="AD41">
        <f>CSV!AD41*台数入力!AD$5</f>
        <v>0</v>
      </c>
      <c r="AE41">
        <f>CSV!AE41*台数入力!AE$5</f>
        <v>0</v>
      </c>
      <c r="AF41">
        <f>CSV!AF41*台数入力!AF$5</f>
        <v>0</v>
      </c>
      <c r="AG41">
        <f>CSV!AG41*台数入力!AG$5</f>
        <v>0</v>
      </c>
      <c r="AH41">
        <f>CSV!AH41*台数入力!AH$5</f>
        <v>0</v>
      </c>
      <c r="AI41">
        <f>CSV!AI41*台数入力!AI$5</f>
        <v>0</v>
      </c>
      <c r="AJ41">
        <f>CSV!AJ41*台数入力!AJ$5</f>
        <v>0</v>
      </c>
      <c r="AK41">
        <f>CSV!AK41*台数入力!AK$5</f>
        <v>0</v>
      </c>
      <c r="AL41">
        <f>CSV!AL41*台数入力!AL$5</f>
        <v>0</v>
      </c>
      <c r="AM41">
        <f>CSV!AM41*台数入力!AM$5</f>
        <v>0</v>
      </c>
      <c r="AN41">
        <f>CSV!AN41*台数入力!AN$5</f>
        <v>0</v>
      </c>
      <c r="AO41">
        <f>CSV!AO41*台数入力!AO$5</f>
        <v>0</v>
      </c>
      <c r="AP41">
        <f>CSV!AP41*台数入力!AP$5</f>
        <v>0</v>
      </c>
      <c r="AQ41">
        <f>CSV!AQ41*台数入力!AQ$5</f>
        <v>0</v>
      </c>
      <c r="AR41">
        <f>CSV!AR41*台数入力!AR$5</f>
        <v>0</v>
      </c>
      <c r="AS41">
        <f>CSV!AS41*台数入力!AS$5</f>
        <v>0</v>
      </c>
      <c r="AT41">
        <f>CSV!AT41*台数入力!AT$5</f>
        <v>0</v>
      </c>
      <c r="AU41">
        <f>CSV!AU41*台数入力!AU$5</f>
        <v>0</v>
      </c>
      <c r="AV41">
        <f>CSV!AV41*台数入力!AV$5</f>
        <v>0</v>
      </c>
      <c r="AW41">
        <f>CSV!AW41*台数入力!AW$5</f>
        <v>0</v>
      </c>
      <c r="AX41">
        <f>CSV!AX41*台数入力!AX$5</f>
        <v>0</v>
      </c>
      <c r="AY41">
        <f>CSV!AY41*台数入力!AY$5</f>
        <v>0</v>
      </c>
      <c r="AZ41">
        <f>CSV!AZ41*台数入力!AZ$5</f>
        <v>0</v>
      </c>
      <c r="BA41">
        <f>CSV!BA41*台数入力!BA$5</f>
        <v>0</v>
      </c>
      <c r="BB41">
        <f>CSV!BB41*台数入力!BB$5</f>
        <v>0</v>
      </c>
      <c r="BC41">
        <f>CSV!BC41*台数入力!BC$5</f>
        <v>0</v>
      </c>
      <c r="BD41">
        <f>CSV!BD41*台数入力!BD$5</f>
        <v>0</v>
      </c>
      <c r="BE41">
        <f>CSV!BE41*台数入力!BE$5</f>
        <v>0</v>
      </c>
      <c r="BF41">
        <f>CSV!BF41*台数入力!BF$5</f>
        <v>0</v>
      </c>
      <c r="BG41">
        <f>CSV!BG41*台数入力!BG$5</f>
        <v>0</v>
      </c>
      <c r="BH41">
        <f>CSV!BH41*台数入力!BH$5</f>
        <v>0</v>
      </c>
      <c r="BI41">
        <f>CSV!BI41*台数入力!BI$5</f>
        <v>0</v>
      </c>
      <c r="BJ41">
        <f>CSV!BJ41*台数入力!BJ$5</f>
        <v>0</v>
      </c>
      <c r="BK41">
        <f>CSV!BK41*台数入力!BK$5</f>
        <v>0</v>
      </c>
      <c r="BL41">
        <f>CSV!BL41*台数入力!BL$5</f>
        <v>0</v>
      </c>
      <c r="BM41">
        <f>CSV!BM41*台数入力!BM$5</f>
        <v>0</v>
      </c>
      <c r="BN41">
        <f>CSV!BN41*台数入力!BN$5</f>
        <v>0</v>
      </c>
      <c r="BO41">
        <f>CSV!BO41*台数入力!BO$5</f>
        <v>0</v>
      </c>
      <c r="BP41">
        <f>CSV!BP41*台数入力!BP$5</f>
        <v>0</v>
      </c>
      <c r="BQ41">
        <f>CSV!BQ41*台数入力!BQ$5</f>
        <v>0</v>
      </c>
      <c r="BR41">
        <f>CSV!BR41*台数入力!BR$5</f>
        <v>0</v>
      </c>
    </row>
    <row r="42" spans="2:70" x14ac:dyDescent="0.55000000000000004">
      <c r="B42" t="str">
        <f>CSV!B42</f>
        <v>NPM-7</v>
      </c>
      <c r="C42">
        <f>CSV!C42</f>
        <v>2</v>
      </c>
      <c r="D42">
        <f>CSV!D42</f>
        <v>142020</v>
      </c>
      <c r="F42">
        <f>CSV!F42</f>
        <v>0</v>
      </c>
      <c r="I42">
        <f>CSV!I42*台数入力!I$5</f>
        <v>0</v>
      </c>
      <c r="J42">
        <f>CSV!J42*台数入力!J$5</f>
        <v>0</v>
      </c>
      <c r="K42">
        <f>CSV!K42*台数入力!K$5</f>
        <v>0</v>
      </c>
      <c r="L42">
        <f>CSV!L42*台数入力!L$5</f>
        <v>0</v>
      </c>
      <c r="M42">
        <f>CSV!M42*台数入力!M$5</f>
        <v>0</v>
      </c>
      <c r="N42">
        <f>CSV!N42*台数入力!N$5</f>
        <v>0</v>
      </c>
      <c r="O42">
        <f>CSV!O42*台数入力!O$5</f>
        <v>0</v>
      </c>
      <c r="P42">
        <f>CSV!P42*台数入力!P$5</f>
        <v>0</v>
      </c>
      <c r="Q42">
        <f>CSV!Q42*台数入力!Q$5</f>
        <v>0</v>
      </c>
      <c r="R42">
        <f>CSV!R42*台数入力!R$5</f>
        <v>0</v>
      </c>
      <c r="S42">
        <f>CSV!S42*台数入力!S$5</f>
        <v>0</v>
      </c>
      <c r="T42">
        <f>CSV!T42*台数入力!T$5</f>
        <v>0</v>
      </c>
      <c r="U42">
        <f>CSV!U42*台数入力!U$5</f>
        <v>0</v>
      </c>
      <c r="V42">
        <f>CSV!V42*台数入力!V$5</f>
        <v>0</v>
      </c>
      <c r="W42">
        <f>CSV!W42*台数入力!W$5</f>
        <v>0</v>
      </c>
      <c r="X42">
        <f>CSV!X42*台数入力!X$5</f>
        <v>0</v>
      </c>
      <c r="Y42">
        <f>CSV!Y42*台数入力!Y$5</f>
        <v>0</v>
      </c>
      <c r="Z42">
        <f>CSV!Z42*台数入力!Z$5</f>
        <v>0</v>
      </c>
      <c r="AA42">
        <f>CSV!AA42*台数入力!AA$5</f>
        <v>0</v>
      </c>
      <c r="AB42">
        <f>CSV!AB42*台数入力!AB$5</f>
        <v>0</v>
      </c>
      <c r="AC42">
        <f>CSV!AC42*台数入力!AC$5</f>
        <v>0</v>
      </c>
      <c r="AD42">
        <f>CSV!AD42*台数入力!AD$5</f>
        <v>0</v>
      </c>
      <c r="AE42">
        <f>CSV!AE42*台数入力!AE$5</f>
        <v>0</v>
      </c>
      <c r="AF42">
        <f>CSV!AF42*台数入力!AF$5</f>
        <v>0</v>
      </c>
      <c r="AG42">
        <f>CSV!AG42*台数入力!AG$5</f>
        <v>0</v>
      </c>
      <c r="AH42">
        <f>CSV!AH42*台数入力!AH$5</f>
        <v>0</v>
      </c>
      <c r="AI42">
        <f>CSV!AI42*台数入力!AI$5</f>
        <v>0</v>
      </c>
      <c r="AJ42">
        <f>CSV!AJ42*台数入力!AJ$5</f>
        <v>0</v>
      </c>
      <c r="AK42">
        <f>CSV!AK42*台数入力!AK$5</f>
        <v>0</v>
      </c>
      <c r="AL42">
        <f>CSV!AL42*台数入力!AL$5</f>
        <v>0</v>
      </c>
      <c r="AM42">
        <f>CSV!AM42*台数入力!AM$5</f>
        <v>0</v>
      </c>
      <c r="AN42">
        <f>CSV!AN42*台数入力!AN$5</f>
        <v>0</v>
      </c>
      <c r="AO42">
        <f>CSV!AO42*台数入力!AO$5</f>
        <v>0</v>
      </c>
      <c r="AP42">
        <f>CSV!AP42*台数入力!AP$5</f>
        <v>0</v>
      </c>
      <c r="AQ42">
        <f>CSV!AQ42*台数入力!AQ$5</f>
        <v>0</v>
      </c>
      <c r="AR42">
        <f>CSV!AR42*台数入力!AR$5</f>
        <v>0</v>
      </c>
      <c r="AS42">
        <f>CSV!AS42*台数入力!AS$5</f>
        <v>0</v>
      </c>
      <c r="AT42">
        <f>CSV!AT42*台数入力!AT$5</f>
        <v>0</v>
      </c>
      <c r="AU42">
        <f>CSV!AU42*台数入力!AU$5</f>
        <v>0</v>
      </c>
      <c r="AV42">
        <f>CSV!AV42*台数入力!AV$5</f>
        <v>0</v>
      </c>
      <c r="AW42">
        <f>CSV!AW42*台数入力!AW$5</f>
        <v>0</v>
      </c>
      <c r="AX42">
        <f>CSV!AX42*台数入力!AX$5</f>
        <v>0</v>
      </c>
      <c r="AY42">
        <f>CSV!AY42*台数入力!AY$5</f>
        <v>0</v>
      </c>
      <c r="AZ42">
        <f>CSV!AZ42*台数入力!AZ$5</f>
        <v>0</v>
      </c>
      <c r="BA42">
        <f>CSV!BA42*台数入力!BA$5</f>
        <v>0</v>
      </c>
      <c r="BB42">
        <f>CSV!BB42*台数入力!BB$5</f>
        <v>0</v>
      </c>
      <c r="BC42">
        <f>CSV!BC42*台数入力!BC$5</f>
        <v>0</v>
      </c>
      <c r="BD42">
        <f>CSV!BD42*台数入力!BD$5</f>
        <v>0</v>
      </c>
      <c r="BE42">
        <f>CSV!BE42*台数入力!BE$5</f>
        <v>0</v>
      </c>
      <c r="BF42">
        <f>CSV!BF42*台数入力!BF$5</f>
        <v>0</v>
      </c>
      <c r="BG42">
        <f>CSV!BG42*台数入力!BG$5</f>
        <v>0</v>
      </c>
      <c r="BH42">
        <f>CSV!BH42*台数入力!BH$5</f>
        <v>0</v>
      </c>
      <c r="BI42">
        <f>CSV!BI42*台数入力!BI$5</f>
        <v>0</v>
      </c>
      <c r="BJ42">
        <f>CSV!BJ42*台数入力!BJ$5</f>
        <v>0</v>
      </c>
      <c r="BK42">
        <f>CSV!BK42*台数入力!BK$5</f>
        <v>0</v>
      </c>
      <c r="BL42">
        <f>CSV!BL42*台数入力!BL$5</f>
        <v>0</v>
      </c>
      <c r="BM42">
        <f>CSV!BM42*台数入力!BM$5</f>
        <v>0</v>
      </c>
      <c r="BN42">
        <f>CSV!BN42*台数入力!BN$5</f>
        <v>0</v>
      </c>
      <c r="BO42">
        <f>CSV!BO42*台数入力!BO$5</f>
        <v>0</v>
      </c>
      <c r="BP42">
        <f>CSV!BP42*台数入力!BP$5</f>
        <v>0</v>
      </c>
      <c r="BQ42">
        <f>CSV!BQ42*台数入力!BQ$5</f>
        <v>0</v>
      </c>
      <c r="BR42">
        <f>CSV!BR42*台数入力!BR$5</f>
        <v>0</v>
      </c>
    </row>
    <row r="43" spans="2:70" x14ac:dyDescent="0.55000000000000004">
      <c r="I43">
        <f>CSV!I43*台数入力!I$5</f>
        <v>0</v>
      </c>
      <c r="J43">
        <f>CSV!J43*台数入力!J$5</f>
        <v>0</v>
      </c>
      <c r="K43">
        <f>CSV!K43*台数入力!K$5</f>
        <v>0</v>
      </c>
      <c r="L43">
        <f>CSV!L43*台数入力!L$5</f>
        <v>0</v>
      </c>
      <c r="M43">
        <f>CSV!M43*台数入力!M$5</f>
        <v>0</v>
      </c>
      <c r="N43">
        <f>CSV!N43*台数入力!N$5</f>
        <v>0</v>
      </c>
      <c r="O43">
        <f>CSV!O43*台数入力!O$5</f>
        <v>0</v>
      </c>
      <c r="P43">
        <f>CSV!P43*台数入力!P$5</f>
        <v>0</v>
      </c>
      <c r="Q43">
        <f>CSV!Q43*台数入力!Q$5</f>
        <v>0</v>
      </c>
      <c r="R43">
        <f>CSV!R43*台数入力!R$5</f>
        <v>0</v>
      </c>
      <c r="S43">
        <f>CSV!S43*台数入力!S$5</f>
        <v>0</v>
      </c>
      <c r="T43">
        <f>CSV!T43*台数入力!T$5</f>
        <v>0</v>
      </c>
      <c r="U43">
        <f>CSV!U43*台数入力!U$5</f>
        <v>0</v>
      </c>
      <c r="V43">
        <f>CSV!V43*台数入力!V$5</f>
        <v>0</v>
      </c>
      <c r="W43">
        <f>CSV!W43*台数入力!W$5</f>
        <v>0</v>
      </c>
      <c r="X43">
        <f>CSV!X43*台数入力!X$5</f>
        <v>0</v>
      </c>
      <c r="Y43">
        <f>CSV!Y43*台数入力!Y$5</f>
        <v>0</v>
      </c>
      <c r="Z43">
        <f>CSV!Z43*台数入力!Z$5</f>
        <v>0</v>
      </c>
      <c r="AA43">
        <f>CSV!AA43*台数入力!AA$5</f>
        <v>0</v>
      </c>
      <c r="AB43">
        <f>CSV!AB43*台数入力!AB$5</f>
        <v>0</v>
      </c>
      <c r="AC43">
        <f>CSV!AC43*台数入力!AC$5</f>
        <v>0</v>
      </c>
      <c r="AD43">
        <f>CSV!AD43*台数入力!AD$5</f>
        <v>0</v>
      </c>
      <c r="AE43">
        <f>CSV!AE43*台数入力!AE$5</f>
        <v>0</v>
      </c>
      <c r="AF43">
        <f>CSV!AF43*台数入力!AF$5</f>
        <v>0</v>
      </c>
      <c r="AG43">
        <f>CSV!AG43*台数入力!AG$5</f>
        <v>0</v>
      </c>
      <c r="AH43">
        <f>CSV!AH43*台数入力!AH$5</f>
        <v>0</v>
      </c>
      <c r="AI43">
        <f>CSV!AI43*台数入力!AI$5</f>
        <v>0</v>
      </c>
      <c r="AJ43">
        <f>CSV!AJ43*台数入力!AJ$5</f>
        <v>0</v>
      </c>
      <c r="AK43">
        <f>CSV!AK43*台数入力!AK$5</f>
        <v>0</v>
      </c>
      <c r="AL43">
        <f>CSV!AL43*台数入力!AL$5</f>
        <v>0</v>
      </c>
      <c r="AM43">
        <f>CSV!AM43*台数入力!AM$5</f>
        <v>0</v>
      </c>
      <c r="AN43">
        <f>CSV!AN43*台数入力!AN$5</f>
        <v>0</v>
      </c>
      <c r="AO43">
        <f>CSV!AO43*台数入力!AO$5</f>
        <v>0</v>
      </c>
      <c r="AP43">
        <f>CSV!AP43*台数入力!AP$5</f>
        <v>0</v>
      </c>
      <c r="AQ43">
        <f>CSV!AQ43*台数入力!AQ$5</f>
        <v>0</v>
      </c>
      <c r="AR43">
        <f>CSV!AR43*台数入力!AR$5</f>
        <v>0</v>
      </c>
      <c r="AS43">
        <f>CSV!AS43*台数入力!AS$5</f>
        <v>0</v>
      </c>
      <c r="AT43">
        <f>CSV!AT43*台数入力!AT$5</f>
        <v>0</v>
      </c>
      <c r="AU43">
        <f>CSV!AU43*台数入力!AU$5</f>
        <v>0</v>
      </c>
      <c r="AV43">
        <f>CSV!AV43*台数入力!AV$5</f>
        <v>0</v>
      </c>
      <c r="AW43">
        <f>CSV!AW43*台数入力!AW$5</f>
        <v>0</v>
      </c>
      <c r="AX43">
        <f>CSV!AX43*台数入力!AX$5</f>
        <v>0</v>
      </c>
      <c r="AY43">
        <f>CSV!AY43*台数入力!AY$5</f>
        <v>0</v>
      </c>
      <c r="AZ43">
        <f>CSV!AZ43*台数入力!AZ$5</f>
        <v>0</v>
      </c>
      <c r="BA43">
        <f>CSV!BA43*台数入力!BA$5</f>
        <v>0</v>
      </c>
      <c r="BB43">
        <f>CSV!BB43*台数入力!BB$5</f>
        <v>0</v>
      </c>
      <c r="BC43">
        <f>CSV!BC43*台数入力!BC$5</f>
        <v>0</v>
      </c>
      <c r="BD43">
        <f>CSV!BD43*台数入力!BD$5</f>
        <v>0</v>
      </c>
      <c r="BE43">
        <f>CSV!BE43*台数入力!BE$5</f>
        <v>0</v>
      </c>
      <c r="BF43">
        <f>CSV!BF43*台数入力!BF$5</f>
        <v>0</v>
      </c>
      <c r="BG43">
        <f>CSV!BG43*台数入力!BG$5</f>
        <v>0</v>
      </c>
      <c r="BH43">
        <f>CSV!BH43*台数入力!BH$5</f>
        <v>0</v>
      </c>
      <c r="BI43">
        <f>CSV!BI43*台数入力!BI$5</f>
        <v>0</v>
      </c>
      <c r="BJ43">
        <f>CSV!BJ43*台数入力!BJ$5</f>
        <v>0</v>
      </c>
      <c r="BK43">
        <f>CSV!BK43*台数入力!BK$5</f>
        <v>0</v>
      </c>
      <c r="BL43">
        <f>CSV!BL43*台数入力!BL$5</f>
        <v>0</v>
      </c>
      <c r="BM43">
        <f>CSV!BM43*台数入力!BM$5</f>
        <v>0</v>
      </c>
      <c r="BN43">
        <f>CSV!BN43*台数入力!BN$5</f>
        <v>0</v>
      </c>
      <c r="BO43">
        <f>CSV!BO43*台数入力!BO$5</f>
        <v>0</v>
      </c>
      <c r="BP43">
        <f>CSV!BP43*台数入力!BP$5</f>
        <v>0</v>
      </c>
      <c r="BQ43">
        <f>CSV!BQ43*台数入力!BQ$5</f>
        <v>0</v>
      </c>
      <c r="BR43">
        <f>CSV!BR43*台数入力!BR$5</f>
        <v>0</v>
      </c>
    </row>
    <row r="44" spans="2:70" x14ac:dyDescent="0.55000000000000004">
      <c r="I44">
        <f>CSV!I44*台数入力!I$5</f>
        <v>0</v>
      </c>
      <c r="J44">
        <f>CSV!J44*台数入力!J$5</f>
        <v>0</v>
      </c>
      <c r="K44">
        <f>CSV!K44*台数入力!K$5</f>
        <v>0</v>
      </c>
      <c r="L44">
        <f>CSV!L44*台数入力!L$5</f>
        <v>0</v>
      </c>
      <c r="M44">
        <f>CSV!M44*台数入力!M$5</f>
        <v>0</v>
      </c>
      <c r="N44">
        <f>CSV!N44*台数入力!N$5</f>
        <v>0</v>
      </c>
      <c r="O44">
        <f>CSV!O44*台数入力!O$5</f>
        <v>0</v>
      </c>
      <c r="P44">
        <f>CSV!P44*台数入力!P$5</f>
        <v>0</v>
      </c>
      <c r="Q44">
        <f>CSV!Q44*台数入力!Q$5</f>
        <v>0</v>
      </c>
      <c r="R44">
        <f>CSV!R44*台数入力!R$5</f>
        <v>0</v>
      </c>
      <c r="S44">
        <f>CSV!S44*台数入力!S$5</f>
        <v>0</v>
      </c>
      <c r="T44">
        <f>CSV!T44*台数入力!T$5</f>
        <v>0</v>
      </c>
      <c r="U44">
        <f>CSV!U44*台数入力!U$5</f>
        <v>0</v>
      </c>
      <c r="V44">
        <f>CSV!V44*台数入力!V$5</f>
        <v>0</v>
      </c>
      <c r="W44">
        <f>CSV!W44*台数入力!W$5</f>
        <v>0</v>
      </c>
      <c r="X44">
        <f>CSV!X44*台数入力!X$5</f>
        <v>0</v>
      </c>
      <c r="Y44">
        <f>CSV!Y44*台数入力!Y$5</f>
        <v>0</v>
      </c>
      <c r="Z44">
        <f>CSV!Z44*台数入力!Z$5</f>
        <v>0</v>
      </c>
      <c r="AA44">
        <f>CSV!AA44*台数入力!AA$5</f>
        <v>0</v>
      </c>
      <c r="AB44">
        <f>CSV!AB44*台数入力!AB$5</f>
        <v>0</v>
      </c>
      <c r="AC44">
        <f>CSV!AC44*台数入力!AC$5</f>
        <v>0</v>
      </c>
      <c r="AD44">
        <f>CSV!AD44*台数入力!AD$5</f>
        <v>0</v>
      </c>
      <c r="AE44">
        <f>CSV!AE44*台数入力!AE$5</f>
        <v>0</v>
      </c>
      <c r="AF44">
        <f>CSV!AF44*台数入力!AF$5</f>
        <v>0</v>
      </c>
      <c r="AG44">
        <f>CSV!AG44*台数入力!AG$5</f>
        <v>0</v>
      </c>
      <c r="AH44">
        <f>CSV!AH44*台数入力!AH$5</f>
        <v>0</v>
      </c>
      <c r="AI44">
        <f>CSV!AI44*台数入力!AI$5</f>
        <v>0</v>
      </c>
      <c r="AJ44">
        <f>CSV!AJ44*台数入力!AJ$5</f>
        <v>0</v>
      </c>
      <c r="AK44">
        <f>CSV!AK44*台数入力!AK$5</f>
        <v>0</v>
      </c>
      <c r="AL44">
        <f>CSV!AL44*台数入力!AL$5</f>
        <v>0</v>
      </c>
      <c r="AM44">
        <f>CSV!AM44*台数入力!AM$5</f>
        <v>0</v>
      </c>
      <c r="AN44">
        <f>CSV!AN44*台数入力!AN$5</f>
        <v>0</v>
      </c>
      <c r="AO44">
        <f>CSV!AO44*台数入力!AO$5</f>
        <v>0</v>
      </c>
      <c r="AP44">
        <f>CSV!AP44*台数入力!AP$5</f>
        <v>0</v>
      </c>
      <c r="AQ44">
        <f>CSV!AQ44*台数入力!AQ$5</f>
        <v>0</v>
      </c>
      <c r="AR44">
        <f>CSV!AR44*台数入力!AR$5</f>
        <v>0</v>
      </c>
      <c r="AS44">
        <f>CSV!AS44*台数入力!AS$5</f>
        <v>0</v>
      </c>
      <c r="AT44">
        <f>CSV!AT44*台数入力!AT$5</f>
        <v>0</v>
      </c>
      <c r="AU44">
        <f>CSV!AU44*台数入力!AU$5</f>
        <v>0</v>
      </c>
      <c r="AV44">
        <f>CSV!AV44*台数入力!AV$5</f>
        <v>0</v>
      </c>
      <c r="AW44">
        <f>CSV!AW44*台数入力!AW$5</f>
        <v>0</v>
      </c>
      <c r="AX44">
        <f>CSV!AX44*台数入力!AX$5</f>
        <v>0</v>
      </c>
      <c r="AY44">
        <f>CSV!AY44*台数入力!AY$5</f>
        <v>0</v>
      </c>
      <c r="AZ44">
        <f>CSV!AZ44*台数入力!AZ$5</f>
        <v>0</v>
      </c>
      <c r="BA44">
        <f>CSV!BA44*台数入力!BA$5</f>
        <v>0</v>
      </c>
      <c r="BB44">
        <f>CSV!BB44*台数入力!BB$5</f>
        <v>0</v>
      </c>
      <c r="BC44">
        <f>CSV!BC44*台数入力!BC$5</f>
        <v>0</v>
      </c>
      <c r="BD44">
        <f>CSV!BD44*台数入力!BD$5</f>
        <v>0</v>
      </c>
      <c r="BE44">
        <f>CSV!BE44*台数入力!BE$5</f>
        <v>0</v>
      </c>
      <c r="BF44">
        <f>CSV!BF44*台数入力!BF$5</f>
        <v>0</v>
      </c>
      <c r="BG44">
        <f>CSV!BG44*台数入力!BG$5</f>
        <v>0</v>
      </c>
      <c r="BH44">
        <f>CSV!BH44*台数入力!BH$5</f>
        <v>0</v>
      </c>
      <c r="BI44">
        <f>CSV!BI44*台数入力!BI$5</f>
        <v>0</v>
      </c>
      <c r="BJ44">
        <f>CSV!BJ44*台数入力!BJ$5</f>
        <v>0</v>
      </c>
      <c r="BK44">
        <f>CSV!BK44*台数入力!BK$5</f>
        <v>0</v>
      </c>
      <c r="BL44">
        <f>CSV!BL44*台数入力!BL$5</f>
        <v>0</v>
      </c>
      <c r="BM44">
        <f>CSV!BM44*台数入力!BM$5</f>
        <v>0</v>
      </c>
      <c r="BN44">
        <f>CSV!BN44*台数入力!BN$5</f>
        <v>0</v>
      </c>
      <c r="BO44">
        <f>CSV!BO44*台数入力!BO$5</f>
        <v>0</v>
      </c>
      <c r="BP44">
        <f>CSV!BP44*台数入力!BP$5</f>
        <v>0</v>
      </c>
      <c r="BQ44">
        <f>CSV!BQ44*台数入力!BQ$5</f>
        <v>0</v>
      </c>
      <c r="BR44">
        <f>CSV!BR44*台数入力!BR$5</f>
        <v>0</v>
      </c>
    </row>
    <row r="45" spans="2:70" x14ac:dyDescent="0.55000000000000004">
      <c r="I45">
        <f>CSV!I45*台数入力!I$5</f>
        <v>0</v>
      </c>
      <c r="J45">
        <f>CSV!J45*台数入力!J$5</f>
        <v>0</v>
      </c>
      <c r="K45">
        <f>CSV!K45*台数入力!K$5</f>
        <v>0</v>
      </c>
      <c r="L45">
        <f>CSV!L45*台数入力!L$5</f>
        <v>0</v>
      </c>
      <c r="M45">
        <f>CSV!M45*台数入力!M$5</f>
        <v>0</v>
      </c>
      <c r="N45">
        <f>CSV!N45*台数入力!N$5</f>
        <v>0</v>
      </c>
      <c r="O45">
        <f>CSV!O45*台数入力!O$5</f>
        <v>0</v>
      </c>
      <c r="P45">
        <f>CSV!P45*台数入力!P$5</f>
        <v>0</v>
      </c>
      <c r="Q45">
        <f>CSV!Q45*台数入力!Q$5</f>
        <v>0</v>
      </c>
      <c r="R45">
        <f>CSV!R45*台数入力!R$5</f>
        <v>0</v>
      </c>
      <c r="S45">
        <f>CSV!S45*台数入力!S$5</f>
        <v>0</v>
      </c>
      <c r="T45">
        <f>CSV!T45*台数入力!T$5</f>
        <v>0</v>
      </c>
      <c r="U45">
        <f>CSV!U45*台数入力!U$5</f>
        <v>0</v>
      </c>
      <c r="V45">
        <f>CSV!V45*台数入力!V$5</f>
        <v>0</v>
      </c>
      <c r="W45">
        <f>CSV!W45*台数入力!W$5</f>
        <v>0</v>
      </c>
      <c r="X45">
        <f>CSV!X45*台数入力!X$5</f>
        <v>0</v>
      </c>
      <c r="Y45">
        <f>CSV!Y45*台数入力!Y$5</f>
        <v>0</v>
      </c>
      <c r="Z45">
        <f>CSV!Z45*台数入力!Z$5</f>
        <v>0</v>
      </c>
      <c r="AA45">
        <f>CSV!AA45*台数入力!AA$5</f>
        <v>0</v>
      </c>
      <c r="AB45">
        <f>CSV!AB45*台数入力!AB$5</f>
        <v>0</v>
      </c>
      <c r="AC45">
        <f>CSV!AC45*台数入力!AC$5</f>
        <v>0</v>
      </c>
      <c r="AD45">
        <f>CSV!AD45*台数入力!AD$5</f>
        <v>0</v>
      </c>
      <c r="AE45">
        <f>CSV!AE45*台数入力!AE$5</f>
        <v>0</v>
      </c>
      <c r="AF45">
        <f>CSV!AF45*台数入力!AF$5</f>
        <v>0</v>
      </c>
      <c r="AG45">
        <f>CSV!AG45*台数入力!AG$5</f>
        <v>0</v>
      </c>
      <c r="AH45">
        <f>CSV!AH45*台数入力!AH$5</f>
        <v>0</v>
      </c>
      <c r="AI45">
        <f>CSV!AI45*台数入力!AI$5</f>
        <v>0</v>
      </c>
      <c r="AJ45">
        <f>CSV!AJ45*台数入力!AJ$5</f>
        <v>0</v>
      </c>
      <c r="AK45">
        <f>CSV!AK45*台数入力!AK$5</f>
        <v>0</v>
      </c>
      <c r="AL45">
        <f>CSV!AL45*台数入力!AL$5</f>
        <v>0</v>
      </c>
      <c r="AM45">
        <f>CSV!AM45*台数入力!AM$5</f>
        <v>0</v>
      </c>
      <c r="AN45">
        <f>CSV!AN45*台数入力!AN$5</f>
        <v>0</v>
      </c>
      <c r="AO45">
        <f>CSV!AO45*台数入力!AO$5</f>
        <v>0</v>
      </c>
      <c r="AP45">
        <f>CSV!AP45*台数入力!AP$5</f>
        <v>0</v>
      </c>
      <c r="AQ45">
        <f>CSV!AQ45*台数入力!AQ$5</f>
        <v>0</v>
      </c>
      <c r="AR45">
        <f>CSV!AR45*台数入力!AR$5</f>
        <v>0</v>
      </c>
      <c r="AS45">
        <f>CSV!AS45*台数入力!AS$5</f>
        <v>0</v>
      </c>
      <c r="AT45">
        <f>CSV!AT45*台数入力!AT$5</f>
        <v>0</v>
      </c>
      <c r="AU45">
        <f>CSV!AU45*台数入力!AU$5</f>
        <v>0</v>
      </c>
      <c r="AV45">
        <f>CSV!AV45*台数入力!AV$5</f>
        <v>0</v>
      </c>
      <c r="AW45">
        <f>CSV!AW45*台数入力!AW$5</f>
        <v>0</v>
      </c>
      <c r="AX45">
        <f>CSV!AX45*台数入力!AX$5</f>
        <v>0</v>
      </c>
      <c r="AY45">
        <f>CSV!AY45*台数入力!AY$5</f>
        <v>0</v>
      </c>
      <c r="AZ45">
        <f>CSV!AZ45*台数入力!AZ$5</f>
        <v>0</v>
      </c>
      <c r="BA45">
        <f>CSV!BA45*台数入力!BA$5</f>
        <v>0</v>
      </c>
      <c r="BB45">
        <f>CSV!BB45*台数入力!BB$5</f>
        <v>0</v>
      </c>
      <c r="BC45">
        <f>CSV!BC45*台数入力!BC$5</f>
        <v>0</v>
      </c>
      <c r="BD45">
        <f>CSV!BD45*台数入力!BD$5</f>
        <v>0</v>
      </c>
      <c r="BE45">
        <f>CSV!BE45*台数入力!BE$5</f>
        <v>0</v>
      </c>
      <c r="BF45">
        <f>CSV!BF45*台数入力!BF$5</f>
        <v>0</v>
      </c>
      <c r="BG45">
        <f>CSV!BG45*台数入力!BG$5</f>
        <v>0</v>
      </c>
      <c r="BH45">
        <f>CSV!BH45*台数入力!BH$5</f>
        <v>0</v>
      </c>
      <c r="BI45">
        <f>CSV!BI45*台数入力!BI$5</f>
        <v>0</v>
      </c>
      <c r="BJ45">
        <f>CSV!BJ45*台数入力!BJ$5</f>
        <v>0</v>
      </c>
      <c r="BK45">
        <f>CSV!BK45*台数入力!BK$5</f>
        <v>0</v>
      </c>
      <c r="BL45">
        <f>CSV!BL45*台数入力!BL$5</f>
        <v>0</v>
      </c>
      <c r="BM45">
        <f>CSV!BM45*台数入力!BM$5</f>
        <v>0</v>
      </c>
      <c r="BN45">
        <f>CSV!BN45*台数入力!BN$5</f>
        <v>0</v>
      </c>
      <c r="BO45">
        <f>CSV!BO45*台数入力!BO$5</f>
        <v>0</v>
      </c>
      <c r="BP45">
        <f>CSV!BP45*台数入力!BP$5</f>
        <v>0</v>
      </c>
      <c r="BQ45">
        <f>CSV!BQ45*台数入力!BQ$5</f>
        <v>0</v>
      </c>
      <c r="BR45">
        <f>CSV!BR45*台数入力!BR$5</f>
        <v>0</v>
      </c>
    </row>
    <row r="46" spans="2:70" x14ac:dyDescent="0.55000000000000004">
      <c r="I46">
        <f>CSV!I46*台数入力!I$5</f>
        <v>0</v>
      </c>
      <c r="J46">
        <f>CSV!J46*台数入力!J$5</f>
        <v>0</v>
      </c>
      <c r="K46">
        <f>CSV!K46*台数入力!K$5</f>
        <v>0</v>
      </c>
      <c r="L46">
        <f>CSV!L46*台数入力!L$5</f>
        <v>0</v>
      </c>
      <c r="M46">
        <f>CSV!M46*台数入力!M$5</f>
        <v>0</v>
      </c>
      <c r="N46">
        <f>CSV!N46*台数入力!N$5</f>
        <v>0</v>
      </c>
      <c r="O46">
        <f>CSV!O46*台数入力!O$5</f>
        <v>0</v>
      </c>
      <c r="P46">
        <f>CSV!P46*台数入力!P$5</f>
        <v>0</v>
      </c>
      <c r="Q46">
        <f>CSV!Q46*台数入力!Q$5</f>
        <v>0</v>
      </c>
      <c r="R46">
        <f>CSV!R46*台数入力!R$5</f>
        <v>0</v>
      </c>
      <c r="S46">
        <f>CSV!S46*台数入力!S$5</f>
        <v>0</v>
      </c>
      <c r="T46">
        <f>CSV!T46*台数入力!T$5</f>
        <v>0</v>
      </c>
      <c r="U46">
        <f>CSV!U46*台数入力!U$5</f>
        <v>0</v>
      </c>
      <c r="V46">
        <f>CSV!V46*台数入力!V$5</f>
        <v>0</v>
      </c>
      <c r="W46">
        <f>CSV!W46*台数入力!W$5</f>
        <v>0</v>
      </c>
      <c r="X46">
        <f>CSV!X46*台数入力!X$5</f>
        <v>0</v>
      </c>
      <c r="Y46">
        <f>CSV!Y46*台数入力!Y$5</f>
        <v>0</v>
      </c>
      <c r="Z46">
        <f>CSV!Z46*台数入力!Z$5</f>
        <v>0</v>
      </c>
      <c r="AA46">
        <f>CSV!AA46*台数入力!AA$5</f>
        <v>0</v>
      </c>
      <c r="AB46">
        <f>CSV!AB46*台数入力!AB$5</f>
        <v>0</v>
      </c>
      <c r="AC46">
        <f>CSV!AC46*台数入力!AC$5</f>
        <v>0</v>
      </c>
      <c r="AD46">
        <f>CSV!AD46*台数入力!AD$5</f>
        <v>0</v>
      </c>
      <c r="AE46">
        <f>CSV!AE46*台数入力!AE$5</f>
        <v>0</v>
      </c>
      <c r="AF46">
        <f>CSV!AF46*台数入力!AF$5</f>
        <v>0</v>
      </c>
      <c r="AG46">
        <f>CSV!AG46*台数入力!AG$5</f>
        <v>0</v>
      </c>
      <c r="AH46">
        <f>CSV!AH46*台数入力!AH$5</f>
        <v>0</v>
      </c>
      <c r="AI46">
        <f>CSV!AI46*台数入力!AI$5</f>
        <v>0</v>
      </c>
      <c r="AJ46">
        <f>CSV!AJ46*台数入力!AJ$5</f>
        <v>0</v>
      </c>
      <c r="AK46">
        <f>CSV!AK46*台数入力!AK$5</f>
        <v>0</v>
      </c>
      <c r="AL46">
        <f>CSV!AL46*台数入力!AL$5</f>
        <v>0</v>
      </c>
      <c r="AM46">
        <f>CSV!AM46*台数入力!AM$5</f>
        <v>0</v>
      </c>
      <c r="AN46">
        <f>CSV!AN46*台数入力!AN$5</f>
        <v>0</v>
      </c>
      <c r="AO46">
        <f>CSV!AO46*台数入力!AO$5</f>
        <v>0</v>
      </c>
      <c r="AP46">
        <f>CSV!AP46*台数入力!AP$5</f>
        <v>0</v>
      </c>
      <c r="AQ46">
        <f>CSV!AQ46*台数入力!AQ$5</f>
        <v>0</v>
      </c>
      <c r="AR46">
        <f>CSV!AR46*台数入力!AR$5</f>
        <v>0</v>
      </c>
      <c r="AS46">
        <f>CSV!AS46*台数入力!AS$5</f>
        <v>0</v>
      </c>
      <c r="AT46">
        <f>CSV!AT46*台数入力!AT$5</f>
        <v>0</v>
      </c>
      <c r="AU46">
        <f>CSV!AU46*台数入力!AU$5</f>
        <v>0</v>
      </c>
      <c r="AV46">
        <f>CSV!AV46*台数入力!AV$5</f>
        <v>0</v>
      </c>
      <c r="AW46">
        <f>CSV!AW46*台数入力!AW$5</f>
        <v>0</v>
      </c>
      <c r="AX46">
        <f>CSV!AX46*台数入力!AX$5</f>
        <v>0</v>
      </c>
      <c r="AY46">
        <f>CSV!AY46*台数入力!AY$5</f>
        <v>0</v>
      </c>
      <c r="AZ46">
        <f>CSV!AZ46*台数入力!AZ$5</f>
        <v>0</v>
      </c>
      <c r="BA46">
        <f>CSV!BA46*台数入力!BA$5</f>
        <v>0</v>
      </c>
      <c r="BB46">
        <f>CSV!BB46*台数入力!BB$5</f>
        <v>0</v>
      </c>
      <c r="BC46">
        <f>CSV!BC46*台数入力!BC$5</f>
        <v>0</v>
      </c>
      <c r="BD46">
        <f>CSV!BD46*台数入力!BD$5</f>
        <v>0</v>
      </c>
      <c r="BE46">
        <f>CSV!BE46*台数入力!BE$5</f>
        <v>0</v>
      </c>
      <c r="BF46">
        <f>CSV!BF46*台数入力!BF$5</f>
        <v>0</v>
      </c>
      <c r="BG46">
        <f>CSV!BG46*台数入力!BG$5</f>
        <v>0</v>
      </c>
      <c r="BH46">
        <f>CSV!BH46*台数入力!BH$5</f>
        <v>0</v>
      </c>
      <c r="BI46">
        <f>CSV!BI46*台数入力!BI$5</f>
        <v>0</v>
      </c>
      <c r="BJ46">
        <f>CSV!BJ46*台数入力!BJ$5</f>
        <v>0</v>
      </c>
      <c r="BK46">
        <f>CSV!BK46*台数入力!BK$5</f>
        <v>0</v>
      </c>
      <c r="BL46">
        <f>CSV!BL46*台数入力!BL$5</f>
        <v>0</v>
      </c>
      <c r="BM46">
        <f>CSV!BM46*台数入力!BM$5</f>
        <v>0</v>
      </c>
      <c r="BN46">
        <f>CSV!BN46*台数入力!BN$5</f>
        <v>0</v>
      </c>
      <c r="BO46">
        <f>CSV!BO46*台数入力!BO$5</f>
        <v>0</v>
      </c>
      <c r="BP46">
        <f>CSV!BP46*台数入力!BP$5</f>
        <v>0</v>
      </c>
      <c r="BQ46">
        <f>CSV!BQ46*台数入力!BQ$5</f>
        <v>0</v>
      </c>
      <c r="BR46">
        <f>CSV!BR46*台数入力!BR$5</f>
        <v>0</v>
      </c>
    </row>
    <row r="47" spans="2:70" x14ac:dyDescent="0.55000000000000004">
      <c r="V47">
        <f>CSV!V47*台数入力!V$5</f>
        <v>0</v>
      </c>
    </row>
    <row r="48" spans="2:70" x14ac:dyDescent="0.55000000000000004">
      <c r="V48">
        <f>CSV!V48*台数入力!V$5</f>
        <v>0</v>
      </c>
    </row>
  </sheetData>
  <phoneticPr fontId="1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atiai" Type="http://schemas.openxmlformats.org/officeDocument/2006/relationships/image" Target="images/Tatiai.png"/><Relationship Id="MetalMask" Type="http://schemas.openxmlformats.org/officeDocument/2006/relationships/image" Target="images/ball_stencil_250px.png"/></Relationships>
</file>

<file path=customUI/customUI14.xml><?xml version="1.0" encoding="utf-8"?>
<customUI xmlns="http://schemas.microsoft.com/office/2006/01/customui" onLoad="Ribbon_onLoad">
  <ribbon startFromScratch="false">
    <tabs>
      <tab id="TOOLS" label="TOOLS">
        <group id="Job" label="Job作成">
          <button id="ShowForm" label="印刷物作成" imageMso="AddInsMenu" size="large" onAction="Show_Form"/>
          <button id="JissouShiji" label="実装指示作成" imageMso="InsertTable" size="large" onAction="JissouShiji"/>
        </group>
        <group id="Hinmoku" label="品目選定">
          <button id="KIBAN_Mail_btn" label="基板出庫リスト" imageMso="HappyFace" size="normal" onAction="KIBAN_Mail_btn"/>
          <button id="KakoJob_btn" label="過去Job移動" imageMso="MoveDataMenu" size="normal" onAction="KakoJob_btn"/>
          <button id="PrintJob_btn" label="Job印刷" imageMso="PrintMenu" size="normal" onAction="PrintJob_btn"/>
          <button id="Kyotsukakunin_btn" label="共通部品確認" imageMso="HappyFace" size="large" onAction="Kyotsukakunin_btn"/>
          <button id="KoteiGP_btn" label="固定品目移動" imageMso="InsertRowAbove" size="normal" onAction="KoteiGP_btn"/>
          <button id="Sort_btn" label="品目並び替え" imageMso="SlicerSortUp" size="normal" onAction="Sort_btn"/>
          <button id="insertSUUSHIKI_btn" label="数式挿入" imageMso="InsertColumnLeft" size="normal" onAction="insertSUUSHIKI_btn"/>
          <button id="Buhinkakunin_btn" label="容量確認" imageMso="HappyFace" size="large" onAction="Buhinkakunin_btn"/>
        </group>
        <group id="Tools" label="ツール">
          <button id="seikei_btn" label="Job書式整形" imageMso="FormatBar" size="normal" onAction="seikei_btn"/>
          <button id="MiseibiKakunin_btn" label="未整備確認" imageMso="HappyFace" size="normal" onAction="MiseibiKakunin_btn"/>
        </group>
        <group id="Shortcut" label="ショートカット">
          <button id="Jissoujokyo_btn" label="実装状況表" imageMso="InsertTable" size="large" onAction="Jissoujokyo_btn"/>
          <button id="MetalMask_btn" label="メタルマスク管理表" image="MetalMask" size="large" onAction="MetalMask_btn"/>
          <button id="Tatiai_btn" label="実技立会依頼" image="Tatiai" size="large" onAction="Tatiai_btn"/>
          <button id="SagyoRenraku_btn" label="作業連絡一覧" imageMso="InsertTable" size="large" onAction="SagyoRenraku_btn"/>
          <button id="JissoujokyoReadOnly_btn" label="実装状況表(読み取り専用)" imageMso="InsertTable" size="large" onAction="JissoujokyoReadOnly_btn"/>
        </group>
        <group id="Sabun" label="差分確認">
          <button id="SabunMeisai" label="差分明細テンプレ作成" imageMso="HappyFace" size="large" onAction="SabunMeisai"/>
          <button id="ReadHenkouHinmoku" label="変更品目リスト読み取り" imageMso="ReadingMode" size="large" onAction="ReadHenkouHinmoku"/>
        </group>
        <group id="AddInMenu" label="AddInMenu">
          <button id="CloseMenu" label="Close" imageMso="CloseComparison" size="normal" onAction="Close_y"/>
          <button id="ChangeAddin" label="ChangeAddin" imageMso="_0" size="normal" onAction="ChangeAddin"/>
          <button id="Reload" label="リロード" imageMso="Refresh" size="normal" onAction="Re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</vt:i4>
      </vt:variant>
    </vt:vector>
  </HeadingPairs>
  <TitlesOfParts>
    <vt:vector size="15" baseType="lpstr">
      <vt:lpstr>設定</vt:lpstr>
      <vt:lpstr>job</vt:lpstr>
      <vt:lpstr>実装指示</vt:lpstr>
      <vt:lpstr>Job印刷</vt:lpstr>
      <vt:lpstr>差分明細</vt:lpstr>
      <vt:lpstr>出力用シート</vt:lpstr>
      <vt:lpstr>出力用シート (1)</vt:lpstr>
      <vt:lpstr>出力用シート (2)</vt:lpstr>
      <vt:lpstr>CSV</vt:lpstr>
      <vt:lpstr>台数入力</vt:lpstr>
      <vt:lpstr>使用数</vt:lpstr>
      <vt:lpstr>出力用シート!Print_Area</vt:lpstr>
      <vt:lpstr>'出力用シート (1)'!Print_Area</vt:lpstr>
      <vt:lpstr>'出力用シート (2)'!Print_Area</vt:lpstr>
      <vt:lpstr>RibbonAddress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KURABAYASHI Makoto (倉林 誠)</cp:lastModifiedBy>
  <cp:lastPrinted>2022-03-07T03:24:05Z</cp:lastPrinted>
  <dcterms:created xsi:type="dcterms:W3CDTF">2021-03-11T01:58:18Z</dcterms:created>
  <dcterms:modified xsi:type="dcterms:W3CDTF">2026-07-21T09:45:10Z</dcterms:modified>
</cp:coreProperties>
</file>