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50" documentId="8_{32653783-A3BB-4ACA-BDD5-1A54CA15439B}" xr6:coauthVersionLast="47" xr6:coauthVersionMax="47" xr10:uidLastSave="{A4DB3AA4-1D32-4B93-B558-E10D2261DF1A}"/>
  <bookViews>
    <workbookView xWindow="20370" yWindow="-120" windowWidth="29040" windowHeight="15840" activeTab="2" xr2:uid="{D4E99A79-39B5-4714-8CFE-6838D0007EB9}"/>
  </bookViews>
  <sheets>
    <sheet name="AOI1号機" sheetId="1" r:id="rId1"/>
    <sheet name="AOI2号機" sheetId="3" r:id="rId2"/>
    <sheet name="目視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<sst xmlns="http://schemas.openxmlformats.org/spreadsheetml/2006/main" count="111" uniqueCount="35">
  <si>
    <t>作業ガントチャート</t>
    <rPh sb="0" eb="2">
      <t>サギョウ</t>
    </rPh>
    <phoneticPr fontId="3"/>
  </si>
  <si>
    <t>10/4 AOI</t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</si>
  <si>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</si>
  <si>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</si>
  <si>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</si>
  <si>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</si>
  <si>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</si>
  <si>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</si>
  <si>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</si>
  <si>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UR-0483</t>
  </si>
  <si>
    <t>211976585</t>
  </si>
  <si>
    <t>計画</t>
    <rPh sb="0" eb="2">
      <t>ケイカク</t>
    </rPh>
    <phoneticPr fontId="2"/>
  </si>
  <si>
    <t>実績</t>
    <rPh sb="0" eb="2">
      <t>ジッセキ</t>
    </rPh>
    <phoneticPr fontId="2"/>
  </si>
  <si>
    <t>UR-05091-03</t>
  </si>
  <si>
    <t>211973423</t>
  </si>
  <si>
    <t>UR-06101-01</t>
  </si>
  <si>
    <t>211974055</t>
  </si>
  <si>
    <t>UR-0476</t>
  </si>
  <si>
    <t>211976584</t>
  </si>
  <si>
    <t>UR-4338-03</t>
  </si>
  <si>
    <t>211976424</t>
  </si>
  <si>
    <t>UR-4424</t>
  </si>
  <si>
    <t>211973513</t>
  </si>
  <si>
    <t>UR-0523</t>
  </si>
  <si>
    <t>211976588</t>
  </si>
  <si>
    <t>URS-0430</t>
  </si>
  <si>
    <t>211976593</t>
  </si>
  <si>
    <t>実績データなし</t>
    <rPh sb="0" eb="2">
      <t>ジッセキ</t>
    </rPh>
    <phoneticPr fontId="2"/>
  </si>
  <si>
    <t>UR-0559-05</t>
  </si>
  <si>
    <t>211976602</t>
  </si>
  <si>
    <t>10/4 目視</t>
  </si>
  <si>
    <t>UR-42143-02</t>
  </si>
  <si>
    <t>211976037</t>
  </si>
  <si>
    <t>URS-42881</t>
  </si>
  <si>
    <t>211976046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</si>
</sst>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h&quot;"/>
  </numFmts>
  <fonts count="7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</cellXfs>
  <cellStyles count="1">
    <cellStyle name="標準" xfId="0" builtinId="0"/>
  </cellStyles>
  <dxfs count="6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zoomScale="70" zoomScaleNormal="70" workbookViewId="0">
      <selection activeCell="D1" sqref="D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1</v>
      </c>
      <c r="J1" s="2"/>
      <c r="K1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 t="s">
        <v>10</v>
      </c>
      <c r="D4" s="6" t="s">
        <v>11</v>
      </c>
      <c r="E4" s="8">
        <v>0.72916666666666663</v>
      </c>
      <c r="F4" s="9">
        <v>0.77821250222935612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9</v>
      </c>
      <c r="C5" s="6">
        <v>211976585</v>
      </c>
      <c r="D5" s="6" t="s">
        <v>12</v>
      </c>
      <c r="E5" s="7">
        <v>0.77656250000000004</v>
      </c>
      <c r="F5" s="7">
        <v>0.80890046296296292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13</v>
      </c>
      <c r="C7" s="6" t="s">
        <v>14</v>
      </c>
      <c r="D7" s="6" t="s">
        <v>11</v>
      </c>
      <c r="E7" s="16">
        <v>0.77821250222935612</v>
      </c>
      <c r="F7" s="16">
        <v>0.87940297841983228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13</v>
      </c>
      <c r="C8" s="6">
        <v>211973423</v>
      </c>
      <c r="D8" s="6" t="s">
        <v>12</v>
      </c>
      <c r="E8" s="7">
        <v>0.95333333333333337</v>
      </c>
      <c r="F8" s="7">
        <v>0.96755787037037033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15</v>
      </c>
      <c r="C10" s="6" t="s">
        <v>16</v>
      </c>
      <c r="D10" s="6" t="s">
        <v>11</v>
      </c>
      <c r="E10" s="7">
        <v>0.87940297841983228</v>
      </c>
      <c r="F10" s="7">
        <v>0.91082798482303318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15</v>
      </c>
      <c r="C11" s="6">
        <v>211974055</v>
      </c>
      <c r="D11" s="6" t="s">
        <v>12</v>
      </c>
      <c r="E11" s="7">
        <v>0.85471064814814812</v>
      </c>
      <c r="F11" s="7">
        <v>0.88880787037037035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17</v>
      </c>
      <c r="C13" s="6" t="s">
        <v>18</v>
      </c>
      <c r="D13" s="6" t="s">
        <v>11</v>
      </c>
      <c r="E13" s="8">
        <v>0.91082798482303318</v>
      </c>
      <c r="F13" s="9">
        <v>0.92118242040068299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17</v>
      </c>
      <c r="C14" s="6">
        <v>211976584</v>
      </c>
      <c r="D14" s="6" t="s">
        <v>12</v>
      </c>
      <c r="E14" s="7">
        <v>0.81172453703703706</v>
      </c>
      <c r="F14" s="7">
        <v>0.81942129629629634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19</v>
      </c>
      <c r="C16" s="6" t="s">
        <v>20</v>
      </c>
      <c r="D16" s="6" t="s">
        <v>11</v>
      </c>
      <c r="E16" s="7">
        <v>0.92118242040068299</v>
      </c>
      <c r="F16" s="7">
        <v>0.96284908706734962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19</v>
      </c>
      <c r="C17" s="6">
        <v>211976424</v>
      </c>
      <c r="D17" s="6" t="s">
        <v>12</v>
      </c>
      <c r="E17" s="7">
        <v>0.72796296296296292</v>
      </c>
      <c r="F17" s="7">
        <v>0.7484143518518519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19</v>
      </c>
      <c r="C18" s="6">
        <v>211976424</v>
      </c>
      <c r="D18" s="6" t="s">
        <v>12</v>
      </c>
      <c r="E18" s="7">
        <v>0.76123842592592594</v>
      </c>
      <c r="F18" s="7">
        <v>0.77204861111111112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21</v>
      </c>
      <c r="C19" s="6" t="s">
        <v>22</v>
      </c>
      <c r="D19" s="6" t="s">
        <v>11</v>
      </c>
      <c r="E19" s="7">
        <v>0.96284908706734962</v>
      </c>
      <c r="F19" s="7">
        <v>1.098205262057671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21</v>
      </c>
      <c r="C20" s="6">
        <v>211973513</v>
      </c>
      <c r="D20" s="6" t="s">
        <v>12</v>
      </c>
      <c r="E20" s="7">
        <v>0.78787037037037033</v>
      </c>
      <c r="F20" s="7">
        <v>0.80631944444444448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21</v>
      </c>
      <c r="C21" s="6">
        <v>211973513</v>
      </c>
      <c r="D21" s="6" t="s">
        <v>12</v>
      </c>
      <c r="E21" s="8">
        <v>0.81604166666666667</v>
      </c>
      <c r="F21" s="9">
        <v>0.8724305555555556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23</v>
      </c>
      <c r="C22" s="6" t="s">
        <v>24</v>
      </c>
      <c r="D22" s="6" t="s">
        <v>11</v>
      </c>
      <c r="E22" s="8">
        <v>1.098205262057671</v>
      </c>
      <c r="F22" s="9">
        <v>1.1577812854494838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23</v>
      </c>
      <c r="C23" s="6">
        <v>211976588</v>
      </c>
      <c r="D23" s="6" t="s">
        <v>12</v>
      </c>
      <c r="E23" s="7">
        <v>0.80466435185185181</v>
      </c>
      <c r="F23" s="7">
        <v>0.82100694444444444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25</v>
      </c>
      <c r="C25" s="6" t="s">
        <v>26</v>
      </c>
      <c r="D25" s="6" t="s">
        <v>11</v>
      </c>
      <c r="E25" s="7">
        <v>1.2903967680431607</v>
      </c>
      <c r="F25" s="7">
        <v>1.3847440307577703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27</v>
      </c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 t="s">
        <v>28</v>
      </c>
      <c r="C28" s="6" t="s">
        <v>29</v>
      </c>
      <c r="D28" s="6" t="s">
        <v>11</v>
      </c>
      <c r="E28" s="7">
        <v>1.3847440307577703</v>
      </c>
      <c r="F28" s="7">
        <v>1.4130267648847545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 t="s">
        <v>28</v>
      </c>
      <c r="C29" s="6">
        <v>211976602</v>
      </c>
      <c r="D29" s="6" t="s">
        <v>12</v>
      </c>
      <c r="E29" s="7">
        <v>0.89505787037037032</v>
      </c>
      <c r="F29" s="7">
        <v>0.92136574074074074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 t="s">
        <v>28</v>
      </c>
      <c r="C30" s="6">
        <v>211976602</v>
      </c>
      <c r="D30" s="6" t="s">
        <v>12</v>
      </c>
      <c r="E30" s="7">
        <v>0.92155092592592591</v>
      </c>
      <c r="F30" s="7">
        <v>0.92609953703703707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8"/>
      <c r="F38" s="9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19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8"/>
      <c r="F45" s="9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5" priority="3">
      <formula>AND($D4="計画", $E4 &lt;= F$3, F$3 &lt; $F4 + IF($F4 &lt; $E4, 1, 0))</formula>
    </cfRule>
  </conditionalFormatting>
  <conditionalFormatting sqref="H4:DH134">
    <cfRule type="expression" dxfId="4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selection activeCell="B4" sqref="B4:F9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3" priority="1">
      <formula>AND($D4="計画", $E4 &lt;= G$3, G$3 &lt; $F4 + IF($F4 &lt; $E4, 1, 0))</formula>
    </cfRule>
    <cfRule type="expression" dxfId="2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zoomScale="85" zoomScaleNormal="85" workbookViewId="0"/>
  </sheetViews>
  <sheetFormatPr defaultRowHeight="18.75"/>
  <cols>
    <col min="1" max="1" width="4" customWidth="1"/>
    <col min="2" max="2" width="14.625" customWidth="1"/>
    <col min="3" max="3" width="15" bestFit="1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30</v>
      </c>
      <c r="J1" s="2"/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20" t="s">
        <v>31</v>
      </c>
      <c r="C4" s="20" t="s">
        <v>32</v>
      </c>
      <c r="D4" s="6" t="s">
        <v>11</v>
      </c>
      <c r="E4" s="8">
        <v>0.72916666666666663</v>
      </c>
      <c r="F4" s="9">
        <v>0.74374930624930624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20" t="s">
        <v>31</v>
      </c>
      <c r="C5" s="20" t="s">
        <v>32</v>
      </c>
      <c r="D5" s="6" t="s">
        <v>12</v>
      </c>
      <c r="E5" s="7">
        <v>0.74733796296296295</v>
      </c>
      <c r="F5" s="7">
        <v>0.75753472222222218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20" t="s">
        <v>33</v>
      </c>
      <c r="C6" s="20" t="s">
        <v>34</v>
      </c>
      <c r="D6" s="6" t="s">
        <v>11</v>
      </c>
      <c r="E6" s="7">
        <v>0.74374930624930624</v>
      </c>
      <c r="F6" s="7">
        <v>0.76555249269801506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33</v>
      </c>
      <c r="C7" s="6">
        <v>211976046</v>
      </c>
      <c r="D7" s="6" t="s">
        <v>12</v>
      </c>
      <c r="E7" s="7">
        <v>0.75862268518518516</v>
      </c>
      <c r="F7" s="7">
        <v>0.76716435185185183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20" t="s">
        <v>9</v>
      </c>
      <c r="C8" s="20" t="s">
        <v>10</v>
      </c>
      <c r="D8" s="6" t="s">
        <v>11</v>
      </c>
      <c r="E8" s="7">
        <v>0.76555249269801506</v>
      </c>
      <c r="F8" s="7">
        <v>0.81396964982303732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9</v>
      </c>
      <c r="C9" s="6">
        <v>211976585</v>
      </c>
      <c r="D9" s="6" t="s">
        <v>12</v>
      </c>
      <c r="E9" s="7">
        <v>0.88016203703703699</v>
      </c>
      <c r="F9" s="7">
        <v>0.88993055555555556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20" t="s">
        <v>13</v>
      </c>
      <c r="C10" s="20" t="s">
        <v>14</v>
      </c>
      <c r="D10" s="6" t="s">
        <v>11</v>
      </c>
      <c r="E10" s="7">
        <v>0.81396964982303732</v>
      </c>
      <c r="F10" s="7">
        <v>0.89531885617224372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13</v>
      </c>
      <c r="C11" s="6">
        <v>211973423</v>
      </c>
      <c r="D11" s="6" t="s">
        <v>12</v>
      </c>
      <c r="E11" s="7">
        <v>0.96607638888888892</v>
      </c>
      <c r="F11" s="7">
        <v>2.6342592592592591E-2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20" t="s">
        <v>15</v>
      </c>
      <c r="C12" s="20" t="s">
        <v>16</v>
      </c>
      <c r="D12" s="6" t="s">
        <v>11</v>
      </c>
      <c r="E12" s="7">
        <v>0.89531885617224372</v>
      </c>
      <c r="F12" s="7">
        <v>0.93059616668941469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15</v>
      </c>
      <c r="C13" s="6">
        <v>211974055</v>
      </c>
      <c r="D13" s="6" t="s">
        <v>12</v>
      </c>
      <c r="E13" s="8">
        <v>0.89473379629629635</v>
      </c>
      <c r="F13" s="9">
        <v>0.9161111111111111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23</v>
      </c>
      <c r="C14" s="6" t="s">
        <v>24</v>
      </c>
      <c r="D14" s="6" t="s">
        <v>11</v>
      </c>
      <c r="E14" s="7">
        <v>1.1577812854494838</v>
      </c>
      <c r="F14" s="7">
        <v>1.2109350030768855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23</v>
      </c>
      <c r="C15" s="6">
        <v>211976588</v>
      </c>
      <c r="D15" s="6" t="s">
        <v>12</v>
      </c>
      <c r="E15" s="7">
        <v>0.85547453703703702</v>
      </c>
      <c r="F15" s="7">
        <v>0.87868055555555558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28</v>
      </c>
      <c r="C16" s="6" t="s">
        <v>29</v>
      </c>
      <c r="D16" s="6" t="s">
        <v>11</v>
      </c>
      <c r="E16" s="8">
        <v>1.4130267648847545</v>
      </c>
      <c r="F16" s="9">
        <v>1.4406362252022149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28</v>
      </c>
      <c r="C17" s="6">
        <v>211976602</v>
      </c>
      <c r="D17" s="6" t="s">
        <v>12</v>
      </c>
      <c r="E17" s="7">
        <v>0.92256944444444444</v>
      </c>
      <c r="F17" s="7">
        <v>0.95862268518518523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8"/>
      <c r="F19" s="9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8"/>
      <c r="F20" s="9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8"/>
      <c r="F24" s="9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G4:DH99">
    <cfRule type="expression" dxfId="1" priority="1">
      <formula>AND($D4="計画", $E4 &lt;= F$3, F$3 &lt; $F4 + IF($F4 &lt; $E4, 1, 0))</formula>
    </cfRule>
    <cfRule type="expression" dxfId="0" priority="2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B6089C-DC21-4487-A7DE-E222667BF51D}"/>
</file>

<file path=customXml/itemProps2.xml><?xml version="1.0" encoding="utf-8"?>
<ds:datastoreItem xmlns:ds="http://schemas.openxmlformats.org/officeDocument/2006/customXml" ds:itemID="{319C3116-BB26-4046-9CEE-30119B9D2759}"/>
</file>

<file path=customXml/itemProps3.xml><?xml version="1.0" encoding="utf-8"?>
<ds:datastoreItem xmlns:ds="http://schemas.openxmlformats.org/officeDocument/2006/customXml" ds:itemID="{B5A2F61A-2479-455F-A713-7C97E605ED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2024-10-07T23:31:37Z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