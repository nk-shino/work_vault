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44" documentId="8_{5DC75F76-543B-4378-82C8-D5FE5A79E1E4}" xr6:coauthVersionLast="47" xr6:coauthVersionMax="47" xr10:uidLastSave="{21E3F2CA-D189-419E-9C6C-DF6B091E234D}"/>
  <bookViews>
    <workbookView xWindow="20370" yWindow="-4650" windowWidth="29040" windowHeight="15840" xr2:uid="{66D40786-C3EF-4208-8AC5-A8E28D46B20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6" l="1"/>
  <c r="I36" i="6" s="1"/>
  <c r="J36" i="6" s="1"/>
  <c r="I37" i="6" s="1"/>
  <c r="J37" i="6" s="1"/>
  <c r="I38" i="6" s="1"/>
  <c r="J38" i="6" s="1"/>
  <c r="J22" i="6"/>
  <c r="I23" i="6" s="1"/>
  <c r="J23" i="6" s="1"/>
  <c r="I24" i="6" s="1"/>
  <c r="J24" i="6" s="1"/>
  <c r="I25" i="6" s="1"/>
  <c r="J25" i="6" s="1"/>
  <c r="I26" i="6" s="1"/>
  <c r="J26" i="6" s="1"/>
  <c r="I27" i="6" s="1"/>
  <c r="J27" i="6" s="1"/>
  <c r="I28" i="6" s="1"/>
  <c r="J28" i="6" s="1"/>
  <c r="I7" i="6"/>
  <c r="J7" i="6" s="1"/>
  <c r="I8" i="6" s="1"/>
  <c r="J8" i="6" s="1"/>
  <c r="I9" i="6" s="1"/>
  <c r="J9" i="6" s="1"/>
  <c r="I10" i="6" s="1"/>
  <c r="J10" i="6" s="1"/>
  <c r="I11" i="6" s="1"/>
  <c r="J11" i="6" s="1"/>
  <c r="I12" i="6" s="1"/>
  <c r="J12" i="6" s="1"/>
  <c r="I13" i="6" s="1"/>
  <c r="J13" i="6" s="1"/>
  <c r="I14" i="6" s="1"/>
  <c r="J14" i="6" s="1"/>
  <c r="I15" i="6" s="1"/>
  <c r="J15" i="6" s="1"/>
  <c r="I16" i="6" s="1"/>
  <c r="J16" i="6" s="1"/>
  <c r="J6" i="6"/>
  <c r="I6" i="5"/>
  <c r="H7" i="5" s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  <c r="H19" i="5" s="1"/>
  <c r="I19" i="5" s="1"/>
  <c r="H20" i="5" s="1"/>
  <c r="I20" i="5" s="1"/>
  <c r="H21" i="5" s="1"/>
  <c r="I21" i="5" s="1"/>
  <c r="H22" i="5" s="1"/>
  <c r="I22" i="5" s="1"/>
  <c r="H23" i="5" s="1"/>
  <c r="I23" i="5" s="1"/>
</calcChain>
</file>

<file path=xl/sharedStrings.xml><?xml version="1.0" encoding="utf-8"?>
<sst xmlns="http://schemas.openxmlformats.org/spreadsheetml/2006/main" count="354" uniqueCount="88">
  <si>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</si>
  <si>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</si>
  <si>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</si>
  <si>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</si>
  <si>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</si>
  <si>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</si>
  <si>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</si>
  <si>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</si>
  <si>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</si>
  <si>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</si>
  <si>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</si>
  <si>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</si>
  <si>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</si>
  <si>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</si>
  <si>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</si>
  <si>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</si>
  <si>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</si>
  <si>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</si>
  <si>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</si>
  <si>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</si>
  <si>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</si>
  <si>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</si>
  <si>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Line-3</t>
  </si>
  <si>
    <t>―</t>
  </si>
  <si>
    <t>Line-2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</si>
  <si>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</si>
  <si>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</si>
  <si>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</si>
  <si>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</si>
  <si>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UR-0550</t>
  </si>
  <si>
    <t>211982134</t>
  </si>
  <si>
    <t>211980558</t>
  </si>
  <si>
    <t>211978923</t>
  </si>
  <si>
    <t>UR-0489</t>
  </si>
  <si>
    <t>UR-4461</t>
  </si>
  <si>
    <t>211982664</t>
  </si>
  <si>
    <t>UR-0511</t>
  </si>
  <si>
    <t>211982678</t>
  </si>
  <si>
    <t>211982685</t>
  </si>
  <si>
    <t>AOI終了予定時刻</t>
    <rPh sb="3" eb="5">
      <t>シュウリョウ</t>
    </rPh>
    <rPh sb="5" eb="9">
      <t>ヨテイジコク</t>
    </rPh>
    <phoneticPr fontId="9"/>
  </si>
  <si>
    <t>UR-0559-06</t>
  </si>
  <si>
    <t>211983197</t>
  </si>
  <si>
    <t>211981792</t>
  </si>
  <si>
    <t>URS-0543</t>
  </si>
  <si>
    <t>211983188</t>
  </si>
  <si>
    <t>211983205</t>
  </si>
  <si>
    <t>UR-0488-01</t>
  </si>
  <si>
    <t>211981790</t>
  </si>
  <si>
    <t>UT-2508</t>
  </si>
  <si>
    <t>211983194</t>
  </si>
  <si>
    <t>211983142</t>
  </si>
  <si>
    <t>UR-0519</t>
  </si>
  <si>
    <t>211983171</t>
  </si>
  <si>
    <t>211980559</t>
  </si>
  <si>
    <t>UR-42143-02</t>
  </si>
  <si>
    <t>211983168</t>
  </si>
  <si>
    <t>211980561</t>
  </si>
  <si>
    <t>UR-43014</t>
  </si>
  <si>
    <t>211983178</t>
  </si>
  <si>
    <t>URS-4272</t>
  </si>
  <si>
    <t>211983143</t>
  </si>
  <si>
    <t>UR-4425</t>
  </si>
  <si>
    <t>211983182</t>
  </si>
  <si>
    <t>URS-0386-01</t>
  </si>
  <si>
    <t>211983187</t>
  </si>
  <si>
    <t>UR-0524</t>
  </si>
  <si>
    <t>211983172</t>
  </si>
  <si>
    <t>UR-4346</t>
  </si>
  <si>
    <t>211979990</t>
  </si>
  <si>
    <t>UR-42952</t>
  </si>
  <si>
    <t>211983177</t>
  </si>
  <si>
    <t>UR-06191</t>
  </si>
  <si>
    <t>211983174</t>
  </si>
  <si>
    <t>UR-0625</t>
  </si>
  <si>
    <t>211983175</t>
  </si>
  <si>
    <t>UR-0600</t>
  </si>
  <si>
    <t>211983173</t>
  </si>
  <si>
    <t>URS-0437-01</t>
  </si>
  <si>
    <t>211983216</t>
  </si>
  <si>
    <t>UR-0476</t>
  </si>
  <si>
    <t>211983170</t>
  </si>
  <si>
    <t>10/23 目視</t>
    <phoneticPr fontId="2"/>
  </si>
  <si>
    <t>実績</t>
  </si>
  <si>
    <t>実績</t>
    <rPh sb="0" eb="2">
      <t>ジッセキ</t>
    </rPh>
    <phoneticPr fontId="2"/>
  </si>
  <si>
    <t>計画</t>
    <rPh sb="0" eb="2">
      <t>ケイカク</t>
    </rPh>
    <phoneticPr fontId="2"/>
  </si>
  <si>
    <t>実績データなし</t>
    <rPh sb="0" eb="2">
      <t>ジッセキ</t>
    </rPh>
    <phoneticPr fontId="2"/>
  </si>
  <si>
    <t>3号機で計画</t>
    <rPh sb="1" eb="3">
      <t>ゴウキ</t>
    </rPh>
    <rPh sb="4" eb="6">
      <t>ケイカク</t>
    </rPh>
    <phoneticPr fontId="2"/>
  </si>
  <si>
    <t>２号機で計画</t>
    <rPh sb="1" eb="3">
      <t>ゴウキ</t>
    </rPh>
    <rPh sb="4" eb="6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</si>
</sst>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77" fontId="0" fillId="2" borderId="1" xfId="0" applyNumberFormat="1" applyFill="1" applyBorder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BB9CB50-E861-488F-A2BC-FE28FE4EBA44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17</xdr:row>
      <xdr:rowOff>0</xdr:rowOff>
    </xdr:from>
    <xdr:to>
      <xdr:col>6</xdr:col>
      <xdr:colOff>0</xdr:colOff>
      <xdr:row>19</xdr:row>
      <xdr:rowOff>28161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7065E5D-86BC-44E9-A716-B98A8EFED491}"/>
            </a:ext>
          </a:extLst>
        </xdr:cNvPr>
        <xdr:cNvSpPr txBox="1"/>
      </xdr:nvSpPr>
      <xdr:spPr>
        <a:xfrm>
          <a:off x="780222" y="40481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30</xdr:row>
      <xdr:rowOff>0</xdr:rowOff>
    </xdr:from>
    <xdr:to>
      <xdr:col>6</xdr:col>
      <xdr:colOff>0</xdr:colOff>
      <xdr:row>32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EF45960-AD9D-4979-99CF-F99E6ECADD3D}"/>
            </a:ext>
          </a:extLst>
        </xdr:cNvPr>
        <xdr:cNvSpPr txBox="1"/>
      </xdr:nvSpPr>
      <xdr:spPr>
        <a:xfrm>
          <a:off x="780222" y="71437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91EF75C-E2EA-42F0-9DE6-EF36F1431A53}"/>
            </a:ext>
          </a:extLst>
        </xdr:cNvPr>
        <xdr:cNvSpPr txBox="1"/>
      </xdr:nvSpPr>
      <xdr:spPr>
        <a:xfrm>
          <a:off x="702365" y="94111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AH4" activePane="bottomRight" state="frozen"/>
      <selection pane="topRight" activeCell="G1" sqref="G1"/>
      <selection pane="bottomLeft" activeCell="A4" sqref="A4"/>
      <selection pane="bottomRight" activeCell="D27" sqref="D27:D33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211981792</v>
      </c>
      <c r="D4" s="6" t="s">
        <v>83</v>
      </c>
      <c r="E4" s="7">
        <v>0.73206018518518523</v>
      </c>
      <c r="F4" s="7">
        <v>0.74530092592592589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83</v>
      </c>
      <c r="E5" s="7">
        <v>0.97969907407407408</v>
      </c>
      <c r="F5" s="7">
        <v>0.98530092592592589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6"/>
      <c r="C6" s="25" t="s">
        <v>86</v>
      </c>
      <c r="D6" s="26" t="s">
        <v>84</v>
      </c>
      <c r="E6" s="27">
        <v>0.75</v>
      </c>
      <c r="F6" s="27">
        <v>0.78142500640320089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40</v>
      </c>
      <c r="C7" s="6">
        <v>211983205</v>
      </c>
      <c r="D7" s="6" t="s">
        <v>82</v>
      </c>
      <c r="E7" s="7">
        <v>0.74694444444444441</v>
      </c>
      <c r="F7" s="7">
        <v>0.76406249999999998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6"/>
      <c r="C8" s="26"/>
      <c r="D8" s="26" t="s">
        <v>82</v>
      </c>
      <c r="E8" s="27">
        <v>0.98540509259259257</v>
      </c>
      <c r="F8" s="27">
        <v>0.99046296296296299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6"/>
      <c r="C9" s="25" t="s">
        <v>86</v>
      </c>
      <c r="D9" s="26" t="s">
        <v>84</v>
      </c>
      <c r="E9" s="27">
        <v>0.78142500640320089</v>
      </c>
      <c r="F9" s="27">
        <v>0.80970774053018502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71</v>
      </c>
      <c r="C10" s="6">
        <v>211983174</v>
      </c>
      <c r="D10" s="6" t="s">
        <v>82</v>
      </c>
      <c r="E10" s="7">
        <v>0.78107638888888886</v>
      </c>
      <c r="F10" s="7">
        <v>0.8005902777777778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82</v>
      </c>
      <c r="E11" s="7">
        <v>0.99056712962962967</v>
      </c>
      <c r="F11" s="7">
        <v>0.99690972222222218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6"/>
      <c r="C12" s="25" t="s">
        <v>87</v>
      </c>
      <c r="D12" s="26" t="s">
        <v>84</v>
      </c>
      <c r="E12" s="27">
        <v>0.75</v>
      </c>
      <c r="F12" s="27">
        <v>0.78125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75</v>
      </c>
      <c r="C13" s="6">
        <v>211983173</v>
      </c>
      <c r="D13" s="6" t="s">
        <v>82</v>
      </c>
      <c r="E13" s="7">
        <v>0.80108796296296292</v>
      </c>
      <c r="F13" s="7">
        <v>0.80480324074074072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6"/>
      <c r="C14" s="25" t="s">
        <v>87</v>
      </c>
      <c r="D14" s="26" t="s">
        <v>84</v>
      </c>
      <c r="E14" s="27">
        <v>0.87699091503669013</v>
      </c>
      <c r="F14" s="27">
        <v>0.90824091503669013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43</v>
      </c>
      <c r="C15" s="6">
        <v>211983188</v>
      </c>
      <c r="D15" s="6" t="s">
        <v>82</v>
      </c>
      <c r="E15" s="7">
        <v>0.80706018518518519</v>
      </c>
      <c r="F15" s="7">
        <v>0.80716435185185187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82</v>
      </c>
      <c r="E16" s="7">
        <v>0.80730324074074078</v>
      </c>
      <c r="F16" s="7">
        <v>0.81527777777777777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6"/>
      <c r="C17" s="26"/>
      <c r="D17" s="26" t="s">
        <v>84</v>
      </c>
      <c r="E17" s="27">
        <v>0.75</v>
      </c>
      <c r="F17" s="27">
        <v>0.7857142857142857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59</v>
      </c>
      <c r="C18" s="6">
        <v>211983143</v>
      </c>
      <c r="D18" s="6" t="s">
        <v>82</v>
      </c>
      <c r="E18" s="7">
        <v>0.99733796296296295</v>
      </c>
      <c r="F18" s="7">
        <v>0.9974305555555556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26"/>
      <c r="C19" s="26"/>
      <c r="D19" s="6" t="s">
        <v>82</v>
      </c>
      <c r="E19" s="27">
        <v>0.99753472222222217</v>
      </c>
      <c r="F19" s="27">
        <v>2.4004629629629629E-2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26"/>
      <c r="C20" s="26"/>
      <c r="D20" s="6" t="s">
        <v>84</v>
      </c>
      <c r="E20" s="27">
        <v>0.7857142857142857</v>
      </c>
      <c r="F20" s="27">
        <v>0.7992424242424242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61</v>
      </c>
      <c r="C21" s="6">
        <v>211983182</v>
      </c>
      <c r="D21" s="6" t="s">
        <v>82</v>
      </c>
      <c r="E21" s="7">
        <v>2.4108796296296295E-2</v>
      </c>
      <c r="F21" s="7">
        <v>2.4189814814814813E-2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 t="s">
        <v>82</v>
      </c>
      <c r="E22" s="7">
        <v>2.4340277777777777E-2</v>
      </c>
      <c r="F22" s="7">
        <v>3.1284722222222221E-2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26"/>
      <c r="C23" s="26"/>
      <c r="D23" s="26" t="s">
        <v>84</v>
      </c>
      <c r="E23" s="27">
        <v>0.7992424242424242</v>
      </c>
      <c r="F23" s="27">
        <v>0.81269223701374016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26"/>
      <c r="C24" s="26"/>
      <c r="D24" s="26"/>
      <c r="E24" s="27"/>
      <c r="F24" s="2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26" t="s">
        <v>85</v>
      </c>
      <c r="C25" s="26"/>
      <c r="D25" s="26"/>
      <c r="E25" s="27"/>
      <c r="F25" s="2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63</v>
      </c>
      <c r="C26" s="6" t="s">
        <v>64</v>
      </c>
      <c r="D26" s="26" t="s">
        <v>84</v>
      </c>
      <c r="E26" s="27">
        <v>0.81269223701374016</v>
      </c>
      <c r="F26" s="27">
        <v>0.82558906241056551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48</v>
      </c>
      <c r="C27" s="6" t="s">
        <v>49</v>
      </c>
      <c r="D27" s="26" t="s">
        <v>84</v>
      </c>
      <c r="E27" s="7">
        <v>0.82558906241056551</v>
      </c>
      <c r="F27" s="7">
        <v>0.83927127140527447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51</v>
      </c>
      <c r="C28" s="6" t="s">
        <v>52</v>
      </c>
      <c r="D28" s="26" t="s">
        <v>84</v>
      </c>
      <c r="E28" s="7">
        <v>0.83927127140527447</v>
      </c>
      <c r="F28" s="7">
        <v>0.88176465764866074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65</v>
      </c>
      <c r="C29" s="6" t="s">
        <v>66</v>
      </c>
      <c r="D29" s="26" t="s">
        <v>84</v>
      </c>
      <c r="E29" s="7">
        <v>0.88176465764866074</v>
      </c>
      <c r="F29" s="7">
        <v>0.95517735606135912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67</v>
      </c>
      <c r="C30" s="6" t="s">
        <v>68</v>
      </c>
      <c r="D30" s="26" t="s">
        <v>84</v>
      </c>
      <c r="E30" s="8">
        <v>0.95517735606135912</v>
      </c>
      <c r="F30" s="9">
        <v>0.97656872510897819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 t="s">
        <v>54</v>
      </c>
      <c r="C31" s="6" t="s">
        <v>55</v>
      </c>
      <c r="D31" s="26" t="s">
        <v>84</v>
      </c>
      <c r="E31" s="7">
        <v>0.97656872510897819</v>
      </c>
      <c r="F31" s="7">
        <v>1.010465384005637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 t="s">
        <v>57</v>
      </c>
      <c r="C32" s="6" t="s">
        <v>58</v>
      </c>
      <c r="D32" s="26" t="s">
        <v>84</v>
      </c>
      <c r="E32" s="8">
        <v>1.010465384005637</v>
      </c>
      <c r="F32" s="9">
        <v>1.0240235850638382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 t="s">
        <v>69</v>
      </c>
      <c r="C33" s="6" t="s">
        <v>70</v>
      </c>
      <c r="D33" s="26" t="s">
        <v>84</v>
      </c>
      <c r="E33" s="7">
        <v>1.0240235850638382</v>
      </c>
      <c r="F33" s="7">
        <v>1.0446089025241556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selection activeCell="D17" sqref="D17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73</v>
      </c>
      <c r="C4" s="6">
        <v>211983175</v>
      </c>
      <c r="D4" s="6" t="s">
        <v>82</v>
      </c>
      <c r="E4" s="7">
        <v>0.76730324074074074</v>
      </c>
      <c r="F4" s="7">
        <v>0.77344907407407404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6"/>
      <c r="C5" s="26"/>
      <c r="D5" s="26" t="s">
        <v>84</v>
      </c>
      <c r="E5" s="27">
        <v>0.78125</v>
      </c>
      <c r="F5" s="27">
        <v>0.8020833313492064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77</v>
      </c>
      <c r="C6" s="6">
        <v>211983216</v>
      </c>
      <c r="D6" s="6" t="s">
        <v>82</v>
      </c>
      <c r="E6" s="7">
        <v>0.77728009259259256</v>
      </c>
      <c r="F6" s="7">
        <v>0.7788194444444444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82</v>
      </c>
      <c r="E7" s="7">
        <v>0.77894675925925927</v>
      </c>
      <c r="F7" s="7">
        <v>0.7981597222222222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6"/>
      <c r="C8" s="26"/>
      <c r="D8" s="26" t="s">
        <v>84</v>
      </c>
      <c r="E8" s="27">
        <v>0.90824091503669013</v>
      </c>
      <c r="F8" s="27">
        <v>0.96607610585060433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46</v>
      </c>
      <c r="C9" s="6">
        <v>211981790</v>
      </c>
      <c r="D9" s="6" t="s">
        <v>82</v>
      </c>
      <c r="E9" s="7">
        <v>0.81746527777777778</v>
      </c>
      <c r="F9" s="7">
        <v>0.861724537037037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82</v>
      </c>
      <c r="E10" s="7">
        <v>0.8618865740740741</v>
      </c>
      <c r="F10" s="7">
        <v>0.88225694444444447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26"/>
      <c r="C11" s="26"/>
      <c r="D11" s="26" t="s">
        <v>84</v>
      </c>
      <c r="E11" s="27">
        <v>0.8020833313492064</v>
      </c>
      <c r="F11" s="27">
        <v>0.82726753266977138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79</v>
      </c>
      <c r="C12" s="6">
        <v>211983170</v>
      </c>
      <c r="D12" s="6" t="s">
        <v>82</v>
      </c>
      <c r="E12" s="7">
        <v>2.1956018518518517E-2</v>
      </c>
      <c r="F12" s="7">
        <v>2.3379629629629629E-2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26"/>
      <c r="C13" s="26"/>
      <c r="D13" s="26" t="s">
        <v>84</v>
      </c>
      <c r="E13" s="27">
        <v>0.96607610585060433</v>
      </c>
      <c r="F13" s="27">
        <v>0.97643054142825414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6"/>
      <c r="C14" s="26"/>
      <c r="D14" s="26"/>
      <c r="E14" s="27"/>
      <c r="F14" s="2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26" t="s">
        <v>85</v>
      </c>
      <c r="C15" s="26"/>
      <c r="D15" s="26"/>
      <c r="E15" s="27"/>
      <c r="F15" s="2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33</v>
      </c>
      <c r="C16" s="6" t="s">
        <v>50</v>
      </c>
      <c r="D16" s="6" t="s">
        <v>84</v>
      </c>
      <c r="E16" s="7">
        <v>0.82726753266977138</v>
      </c>
      <c r="F16" s="7">
        <v>0.87699091503669013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selection activeCell="D10" sqref="D1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8</v>
      </c>
      <c r="C4" s="6">
        <v>211980559</v>
      </c>
      <c r="D4" s="6" t="s">
        <v>82</v>
      </c>
      <c r="E4" s="7">
        <v>0.88951388888888894</v>
      </c>
      <c r="F4" s="7">
        <v>0.97815972222222225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82</v>
      </c>
      <c r="E5" s="7">
        <v>0.97844907407407411</v>
      </c>
      <c r="F5" s="7">
        <v>1.6562500000000001E-2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84</v>
      </c>
      <c r="E6" s="8">
        <v>0.80970774053018502</v>
      </c>
      <c r="F6" s="9">
        <v>0.91089821672066118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85</v>
      </c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8</v>
      </c>
      <c r="C9" s="6" t="s">
        <v>56</v>
      </c>
      <c r="D9" s="6" t="s">
        <v>84</v>
      </c>
      <c r="E9" s="7">
        <v>0.91089821672066118</v>
      </c>
      <c r="F9" s="7">
        <v>1.0120886929111372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U4" activePane="bottomRight" state="frozen"/>
      <selection pane="topRight" activeCell="G1" sqref="G1"/>
      <selection pane="bottomLeft" activeCell="A4" sqref="A4"/>
      <selection pane="bottomRight" activeCell="D9" sqref="D9:D2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81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36</v>
      </c>
      <c r="C4" s="6">
        <v>211982678</v>
      </c>
      <c r="D4" s="6" t="s">
        <v>83</v>
      </c>
      <c r="E4" s="7">
        <v>0.8794791666666667</v>
      </c>
      <c r="F4" s="7">
        <v>0.99509259259259264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84</v>
      </c>
      <c r="E5" s="7">
        <v>0.89880952380952384</v>
      </c>
      <c r="F5" s="7">
        <v>0.91028393410676489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85</v>
      </c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29</v>
      </c>
      <c r="C8" s="6" t="s">
        <v>30</v>
      </c>
      <c r="D8" s="6" t="s">
        <v>84</v>
      </c>
      <c r="E8" s="7">
        <v>0.75</v>
      </c>
      <c r="F8" s="7">
        <v>0.89880952380952384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40</v>
      </c>
      <c r="C9" s="6" t="s">
        <v>38</v>
      </c>
      <c r="D9" s="6" t="s">
        <v>84</v>
      </c>
      <c r="E9" s="7">
        <v>0.91028393410676489</v>
      </c>
      <c r="F9" s="7">
        <v>0.93789339442422526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8</v>
      </c>
      <c r="C10" s="6" t="s">
        <v>31</v>
      </c>
      <c r="D10" s="6" t="s">
        <v>84</v>
      </c>
      <c r="E10" s="7">
        <v>0.93789339442422526</v>
      </c>
      <c r="F10" s="7">
        <v>1.0192426007734317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9</v>
      </c>
      <c r="C11" s="6" t="s">
        <v>32</v>
      </c>
      <c r="D11" s="6" t="s">
        <v>84</v>
      </c>
      <c r="E11" s="7">
        <v>1.0192426007734317</v>
      </c>
      <c r="F11" s="7">
        <v>1.0545199112906025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34</v>
      </c>
      <c r="C12" s="6" t="s">
        <v>35</v>
      </c>
      <c r="D12" s="6" t="s">
        <v>84</v>
      </c>
      <c r="E12" s="7">
        <v>1.0545199112906025</v>
      </c>
      <c r="F12" s="7">
        <v>1.2525357843064755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36</v>
      </c>
      <c r="C13" s="6" t="s">
        <v>41</v>
      </c>
      <c r="D13" s="6" t="s">
        <v>84</v>
      </c>
      <c r="E13" s="7">
        <v>1.2525357843064755</v>
      </c>
      <c r="F13" s="7">
        <v>1.2640101946037166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9</v>
      </c>
      <c r="C14" s="6" t="s">
        <v>42</v>
      </c>
      <c r="D14" s="6" t="s">
        <v>84</v>
      </c>
      <c r="E14" s="7">
        <v>1.2640101946037166</v>
      </c>
      <c r="F14" s="7">
        <v>1.2992875051208874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43</v>
      </c>
      <c r="C15" s="6" t="s">
        <v>44</v>
      </c>
      <c r="D15" s="6" t="s">
        <v>84</v>
      </c>
      <c r="E15" s="7">
        <v>1.2992875051208874</v>
      </c>
      <c r="F15" s="7">
        <v>1.3449224257558081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40</v>
      </c>
      <c r="C16" s="6" t="s">
        <v>45</v>
      </c>
      <c r="D16" s="6" t="s">
        <v>84</v>
      </c>
      <c r="E16" s="7">
        <v>1.3449224257558081</v>
      </c>
      <c r="F16" s="7">
        <v>1.3725318860732685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46</v>
      </c>
      <c r="C17" s="6" t="s">
        <v>47</v>
      </c>
      <c r="D17" s="6" t="s">
        <v>84</v>
      </c>
      <c r="E17" s="7">
        <v>1.3725318860732685</v>
      </c>
      <c r="F17" s="7">
        <v>1.3937669641265285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48</v>
      </c>
      <c r="C18" s="6" t="s">
        <v>49</v>
      </c>
      <c r="D18" s="6" t="s">
        <v>84</v>
      </c>
      <c r="E18" s="7">
        <v>1.3937669641265285</v>
      </c>
      <c r="F18" s="7">
        <v>1.4413860117455761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33</v>
      </c>
      <c r="C19" s="6" t="s">
        <v>50</v>
      </c>
      <c r="D19" s="6" t="s">
        <v>84</v>
      </c>
      <c r="E19" s="7">
        <v>1.4413860117455761</v>
      </c>
      <c r="F19" s="7">
        <v>1.4789488412686029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51</v>
      </c>
      <c r="C20" s="6" t="s">
        <v>52</v>
      </c>
      <c r="D20" s="6" t="s">
        <v>84</v>
      </c>
      <c r="E20" s="7">
        <v>1.4789488412686029</v>
      </c>
      <c r="F20" s="7">
        <v>1.5364058518506136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8</v>
      </c>
      <c r="C21" s="6" t="s">
        <v>53</v>
      </c>
      <c r="D21" s="6" t="s">
        <v>84</v>
      </c>
      <c r="E21" s="16">
        <v>1.5364058518506136</v>
      </c>
      <c r="F21" s="16">
        <v>1.6177550581998199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54</v>
      </c>
      <c r="C22" s="6" t="s">
        <v>55</v>
      </c>
      <c r="D22" s="6" t="s">
        <v>84</v>
      </c>
      <c r="E22" s="7">
        <v>1.6177550581998199</v>
      </c>
      <c r="F22" s="7">
        <v>1.6323376977824595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8</v>
      </c>
      <c r="C23" s="6" t="s">
        <v>56</v>
      </c>
      <c r="D23" s="6" t="s">
        <v>84</v>
      </c>
      <c r="E23" s="7">
        <v>1.6323376977824595</v>
      </c>
      <c r="F23" s="7">
        <v>1.7136869041316658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57</v>
      </c>
      <c r="C24" s="6" t="s">
        <v>58</v>
      </c>
      <c r="D24" s="6" t="s">
        <v>84</v>
      </c>
      <c r="E24" s="7">
        <v>1.7136869041316658</v>
      </c>
      <c r="F24" s="7">
        <v>1.7344651228265511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8"/>
      <c r="F25" s="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7 C9 C11 C13 C23 C26:C1048576 C1:C4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2:J38"/>
  <sheetViews>
    <sheetView workbookViewId="0">
      <selection activeCell="I13" sqref="I13:J13"/>
    </sheetView>
  </sheetViews>
  <sheetFormatPr defaultColWidth="9.25" defaultRowHeight="18.75"/>
  <cols>
    <col min="2" max="2" width="13.37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1:10">
      <c r="H2" s="21"/>
      <c r="I2" t="s">
        <v>10</v>
      </c>
    </row>
    <row r="4" spans="1:10">
      <c r="I4" s="2"/>
      <c r="J4" s="2"/>
    </row>
    <row r="5" spans="1:10">
      <c r="B5" s="6" t="s">
        <v>11</v>
      </c>
      <c r="C5" s="6" t="s">
        <v>12</v>
      </c>
      <c r="D5" s="6" t="s">
        <v>13</v>
      </c>
      <c r="E5" s="6" t="s">
        <v>14</v>
      </c>
      <c r="F5" s="29" t="s">
        <v>15</v>
      </c>
      <c r="G5" s="22" t="s">
        <v>16</v>
      </c>
      <c r="H5" s="22" t="s">
        <v>17</v>
      </c>
      <c r="I5" s="6" t="s">
        <v>18</v>
      </c>
      <c r="J5" s="6" t="s">
        <v>19</v>
      </c>
    </row>
    <row r="6" spans="1:10">
      <c r="A6" s="31"/>
      <c r="B6" s="6" t="s">
        <v>43</v>
      </c>
      <c r="C6" s="6" t="s">
        <v>44</v>
      </c>
      <c r="D6" s="6">
        <v>24</v>
      </c>
      <c r="E6" s="6" t="s">
        <v>20</v>
      </c>
      <c r="F6" s="28" t="s">
        <v>21</v>
      </c>
      <c r="G6" s="22">
        <v>0.85714285714285721</v>
      </c>
      <c r="H6" s="22">
        <v>1.0952380952380953</v>
      </c>
      <c r="I6" s="16">
        <v>0.75</v>
      </c>
      <c r="J6" s="16">
        <f t="shared" ref="J6:J16" si="0">I6+G6/24</f>
        <v>0.7857142857142857</v>
      </c>
    </row>
    <row r="7" spans="1:10">
      <c r="A7" s="31"/>
      <c r="B7" s="6" t="s">
        <v>59</v>
      </c>
      <c r="C7" s="6" t="s">
        <v>60</v>
      </c>
      <c r="D7" s="6">
        <v>144</v>
      </c>
      <c r="E7" s="6" t="s">
        <v>20</v>
      </c>
      <c r="F7" s="28" t="s">
        <v>21</v>
      </c>
      <c r="G7" s="22">
        <v>0.32467532467532467</v>
      </c>
      <c r="H7" s="22" t="s">
        <v>23</v>
      </c>
      <c r="I7" s="16">
        <f t="shared" ref="I7:I13" si="1">J6</f>
        <v>0.7857142857142857</v>
      </c>
      <c r="J7" s="16">
        <f t="shared" si="0"/>
        <v>0.7992424242424242</v>
      </c>
    </row>
    <row r="8" spans="1:10">
      <c r="A8" s="31"/>
      <c r="B8" s="6" t="s">
        <v>61</v>
      </c>
      <c r="C8" s="6" t="s">
        <v>62</v>
      </c>
      <c r="D8" s="6">
        <v>96</v>
      </c>
      <c r="E8" s="6" t="s">
        <v>20</v>
      </c>
      <c r="F8" s="28" t="s">
        <v>21</v>
      </c>
      <c r="G8" s="22">
        <v>0.32279550651158173</v>
      </c>
      <c r="H8" s="22" t="s">
        <v>23</v>
      </c>
      <c r="I8" s="16">
        <f t="shared" si="1"/>
        <v>0.7992424242424242</v>
      </c>
      <c r="J8" s="16">
        <f t="shared" si="0"/>
        <v>0.81269223701374016</v>
      </c>
    </row>
    <row r="9" spans="1:10">
      <c r="A9" s="31"/>
      <c r="B9" s="6" t="s">
        <v>63</v>
      </c>
      <c r="C9" s="6" t="s">
        <v>64</v>
      </c>
      <c r="D9" s="6">
        <v>12</v>
      </c>
      <c r="E9" s="6" t="s">
        <v>20</v>
      </c>
      <c r="F9" s="28" t="s">
        <v>21</v>
      </c>
      <c r="G9" s="22">
        <v>0.30952380952380953</v>
      </c>
      <c r="H9" s="22" t="s">
        <v>23</v>
      </c>
      <c r="I9" s="16">
        <f t="shared" si="1"/>
        <v>0.81269223701374016</v>
      </c>
      <c r="J9" s="16">
        <f t="shared" si="0"/>
        <v>0.82558906241056551</v>
      </c>
    </row>
    <row r="10" spans="1:10">
      <c r="B10" s="6" t="s">
        <v>48</v>
      </c>
      <c r="C10" s="6" t="s">
        <v>49</v>
      </c>
      <c r="D10" s="6">
        <v>48</v>
      </c>
      <c r="E10" s="6" t="s">
        <v>20</v>
      </c>
      <c r="F10" s="29">
        <v>45588.77275462963</v>
      </c>
      <c r="G10" s="22">
        <v>0.32837301587301587</v>
      </c>
      <c r="H10" s="22">
        <v>1.142857142857143</v>
      </c>
      <c r="I10" s="16">
        <f>J9</f>
        <v>0.82558906241056551</v>
      </c>
      <c r="J10" s="16">
        <f t="shared" si="0"/>
        <v>0.83927127140527447</v>
      </c>
    </row>
    <row r="11" spans="1:10">
      <c r="B11" s="6" t="s">
        <v>51</v>
      </c>
      <c r="C11" s="6" t="s">
        <v>52</v>
      </c>
      <c r="D11" s="6">
        <v>48</v>
      </c>
      <c r="E11" s="6" t="s">
        <v>20</v>
      </c>
      <c r="F11" s="29">
        <v>45588.850289351853</v>
      </c>
      <c r="G11" s="22">
        <v>1.0198412698412695</v>
      </c>
      <c r="H11" s="22">
        <v>1.3789682539682542</v>
      </c>
      <c r="I11" s="16">
        <f t="shared" si="1"/>
        <v>0.83927127140527447</v>
      </c>
      <c r="J11" s="16">
        <f t="shared" si="0"/>
        <v>0.88176465764866074</v>
      </c>
    </row>
    <row r="12" spans="1:10">
      <c r="B12" s="6" t="s">
        <v>65</v>
      </c>
      <c r="C12" s="6" t="s">
        <v>66</v>
      </c>
      <c r="D12" s="6">
        <v>48</v>
      </c>
      <c r="E12" s="6" t="s">
        <v>20</v>
      </c>
      <c r="F12" s="29">
        <v>45588.903854166667</v>
      </c>
      <c r="G12" s="22">
        <v>1.7619047619047621</v>
      </c>
      <c r="H12" s="22" t="s">
        <v>23</v>
      </c>
      <c r="I12" s="16">
        <f>J11</f>
        <v>0.88176465764866074</v>
      </c>
      <c r="J12" s="16">
        <f t="shared" si="0"/>
        <v>0.95517735606135912</v>
      </c>
    </row>
    <row r="13" spans="1:10">
      <c r="B13" s="6" t="s">
        <v>67</v>
      </c>
      <c r="C13" s="6" t="s">
        <v>68</v>
      </c>
      <c r="D13" s="6">
        <v>24</v>
      </c>
      <c r="E13" s="6" t="s">
        <v>20</v>
      </c>
      <c r="F13" s="29">
        <v>45588.936168981483</v>
      </c>
      <c r="G13" s="22">
        <v>0.51339285714285721</v>
      </c>
      <c r="H13" s="22" t="s">
        <v>23</v>
      </c>
      <c r="I13" s="16">
        <f t="shared" si="1"/>
        <v>0.95517735606135912</v>
      </c>
      <c r="J13" s="16">
        <f t="shared" si="0"/>
        <v>0.97656872510897819</v>
      </c>
    </row>
    <row r="14" spans="1:10">
      <c r="B14" s="6" t="s">
        <v>54</v>
      </c>
      <c r="C14" s="6" t="s">
        <v>55</v>
      </c>
      <c r="D14" s="6">
        <v>48</v>
      </c>
      <c r="E14" s="6" t="s">
        <v>20</v>
      </c>
      <c r="F14" s="29">
        <v>45588.984768518516</v>
      </c>
      <c r="G14" s="22">
        <v>0.81351981351981351</v>
      </c>
      <c r="H14" s="22">
        <v>0.34998334998335007</v>
      </c>
      <c r="I14" s="16">
        <f>J13</f>
        <v>0.97656872510897819</v>
      </c>
      <c r="J14" s="16">
        <f>I14+G14/24</f>
        <v>1.010465384005637</v>
      </c>
    </row>
    <row r="15" spans="1:10">
      <c r="B15" s="6" t="s">
        <v>57</v>
      </c>
      <c r="C15" s="6" t="s">
        <v>58</v>
      </c>
      <c r="D15" s="6">
        <v>96</v>
      </c>
      <c r="E15" s="6" t="s">
        <v>20</v>
      </c>
      <c r="F15" s="29">
        <v>45589.018495370372</v>
      </c>
      <c r="G15" s="22">
        <v>0.32539682539682541</v>
      </c>
      <c r="H15" s="22">
        <v>0.49867724867724872</v>
      </c>
      <c r="I15" s="16">
        <f>J14</f>
        <v>1.010465384005637</v>
      </c>
      <c r="J15" s="16">
        <f>I15+G15/24</f>
        <v>1.0240235850638382</v>
      </c>
    </row>
    <row r="16" spans="1:10">
      <c r="B16" s="6" t="s">
        <v>69</v>
      </c>
      <c r="C16" s="6" t="s">
        <v>70</v>
      </c>
      <c r="D16" s="6">
        <v>96</v>
      </c>
      <c r="E16" s="6" t="s">
        <v>20</v>
      </c>
      <c r="F16" s="29">
        <v>45589.045277777775</v>
      </c>
      <c r="G16" s="22">
        <v>0.49404761904761907</v>
      </c>
      <c r="H16" s="22" t="s">
        <v>23</v>
      </c>
      <c r="I16" s="16">
        <f>J15</f>
        <v>1.0240235850638382</v>
      </c>
      <c r="J16" s="16">
        <f t="shared" si="0"/>
        <v>1.0446089025241556</v>
      </c>
    </row>
    <row r="20" spans="1:10">
      <c r="I20" s="2"/>
    </row>
    <row r="21" spans="1:10">
      <c r="B21" s="6" t="s">
        <v>11</v>
      </c>
      <c r="C21" s="6" t="s">
        <v>12</v>
      </c>
      <c r="D21" s="6" t="s">
        <v>13</v>
      </c>
      <c r="E21" s="6" t="s">
        <v>14</v>
      </c>
      <c r="F21" s="29" t="s">
        <v>15</v>
      </c>
      <c r="G21" s="22" t="s">
        <v>16</v>
      </c>
      <c r="H21" s="22" t="s">
        <v>17</v>
      </c>
      <c r="I21" s="6" t="s">
        <v>18</v>
      </c>
      <c r="J21" s="6" t="s">
        <v>19</v>
      </c>
    </row>
    <row r="22" spans="1:10">
      <c r="A22" s="31"/>
      <c r="B22" s="6" t="s">
        <v>71</v>
      </c>
      <c r="C22" s="6" t="s">
        <v>72</v>
      </c>
      <c r="D22" s="6">
        <v>24</v>
      </c>
      <c r="E22" s="6" t="s">
        <v>24</v>
      </c>
      <c r="F22" s="28" t="s">
        <v>21</v>
      </c>
      <c r="G22" s="30">
        <v>0.75</v>
      </c>
      <c r="H22" s="22" t="s">
        <v>23</v>
      </c>
      <c r="I22" s="16">
        <v>0.75</v>
      </c>
      <c r="J22" s="16">
        <f>I22+G22/24</f>
        <v>0.78125</v>
      </c>
    </row>
    <row r="23" spans="1:10">
      <c r="A23" s="31"/>
      <c r="B23" s="6" t="s">
        <v>73</v>
      </c>
      <c r="C23" s="6" t="s">
        <v>74</v>
      </c>
      <c r="D23" s="6">
        <v>72</v>
      </c>
      <c r="E23" s="6" t="s">
        <v>24</v>
      </c>
      <c r="F23" s="28" t="s">
        <v>21</v>
      </c>
      <c r="G23" s="22">
        <v>0.49999995238095235</v>
      </c>
      <c r="H23" s="22" t="s">
        <v>23</v>
      </c>
      <c r="I23" s="16">
        <f t="shared" ref="I23:I28" si="2">J22</f>
        <v>0.78125</v>
      </c>
      <c r="J23" s="16">
        <f t="shared" ref="J23:J28" si="3">I23+G23/24</f>
        <v>0.8020833313492064</v>
      </c>
    </row>
    <row r="24" spans="1:10">
      <c r="A24" s="31"/>
      <c r="B24" s="6" t="s">
        <v>46</v>
      </c>
      <c r="C24" s="6" t="s">
        <v>47</v>
      </c>
      <c r="D24" s="6">
        <v>60</v>
      </c>
      <c r="E24" s="6" t="s">
        <v>24</v>
      </c>
      <c r="F24" s="29">
        <v>45588.75271990741</v>
      </c>
      <c r="G24" s="22">
        <v>0.60442083169355953</v>
      </c>
      <c r="H24" s="22">
        <v>0.50964187327823696</v>
      </c>
      <c r="I24" s="16">
        <f t="shared" si="2"/>
        <v>0.8020833313492064</v>
      </c>
      <c r="J24" s="16">
        <f t="shared" si="3"/>
        <v>0.82726753266977138</v>
      </c>
    </row>
    <row r="25" spans="1:10">
      <c r="A25" s="31"/>
      <c r="B25" s="6" t="s">
        <v>33</v>
      </c>
      <c r="C25" s="6" t="s">
        <v>50</v>
      </c>
      <c r="D25" s="6">
        <v>48</v>
      </c>
      <c r="E25" s="6" t="s">
        <v>24</v>
      </c>
      <c r="F25" s="29">
        <v>45588.816099537034</v>
      </c>
      <c r="G25" s="22">
        <v>1.1933611768060515</v>
      </c>
      <c r="H25" s="22">
        <v>0.90150790855264284</v>
      </c>
      <c r="I25" s="16">
        <f t="shared" si="2"/>
        <v>0.82726753266977138</v>
      </c>
      <c r="J25" s="16">
        <f t="shared" si="3"/>
        <v>0.87699091503669013</v>
      </c>
    </row>
    <row r="26" spans="1:10">
      <c r="A26" s="31"/>
      <c r="B26" s="6" t="s">
        <v>75</v>
      </c>
      <c r="C26" s="6" t="s">
        <v>76</v>
      </c>
      <c r="D26" s="6">
        <v>12</v>
      </c>
      <c r="E26" s="6" t="s">
        <v>24</v>
      </c>
      <c r="F26" s="28" t="s">
        <v>21</v>
      </c>
      <c r="G26" s="30">
        <v>0.75</v>
      </c>
      <c r="H26" s="22" t="s">
        <v>23</v>
      </c>
      <c r="I26" s="16">
        <f t="shared" si="2"/>
        <v>0.87699091503669013</v>
      </c>
      <c r="J26" s="16">
        <f t="shared" si="3"/>
        <v>0.90824091503669013</v>
      </c>
    </row>
    <row r="27" spans="1:10">
      <c r="A27" s="31"/>
      <c r="B27" s="6" t="s">
        <v>77</v>
      </c>
      <c r="C27" s="6" t="s">
        <v>78</v>
      </c>
      <c r="D27" s="6">
        <v>192</v>
      </c>
      <c r="E27" s="6" t="s">
        <v>24</v>
      </c>
      <c r="F27" s="28" t="s">
        <v>21</v>
      </c>
      <c r="G27" s="22">
        <v>1.3880445795339416</v>
      </c>
      <c r="H27" s="22" t="s">
        <v>23</v>
      </c>
      <c r="I27" s="16">
        <f t="shared" si="2"/>
        <v>0.90824091503669013</v>
      </c>
      <c r="J27" s="16">
        <f t="shared" si="3"/>
        <v>0.96607610585060433</v>
      </c>
    </row>
    <row r="28" spans="1:10">
      <c r="A28" s="31"/>
      <c r="B28" s="6" t="s">
        <v>79</v>
      </c>
      <c r="C28" s="6" t="s">
        <v>80</v>
      </c>
      <c r="D28" s="6">
        <v>60</v>
      </c>
      <c r="E28" s="6" t="s">
        <v>24</v>
      </c>
      <c r="F28" s="29">
        <v>45588.76253472222</v>
      </c>
      <c r="G28" s="22">
        <v>0.24850645386359674</v>
      </c>
      <c r="H28" s="22" t="s">
        <v>23</v>
      </c>
      <c r="I28" s="16">
        <f t="shared" si="2"/>
        <v>0.96607610585060433</v>
      </c>
      <c r="J28" s="16">
        <f t="shared" si="3"/>
        <v>0.97643054142825414</v>
      </c>
    </row>
    <row r="33" spans="1:10">
      <c r="I33" s="2"/>
    </row>
    <row r="34" spans="1:10">
      <c r="B34" s="6" t="s">
        <v>11</v>
      </c>
      <c r="C34" s="6" t="s">
        <v>12</v>
      </c>
      <c r="D34" s="6" t="s">
        <v>13</v>
      </c>
      <c r="E34" s="6" t="s">
        <v>14</v>
      </c>
      <c r="F34" s="29" t="s">
        <v>15</v>
      </c>
      <c r="G34" s="22" t="s">
        <v>16</v>
      </c>
      <c r="H34" s="22" t="s">
        <v>17</v>
      </c>
      <c r="I34" s="6" t="s">
        <v>18</v>
      </c>
      <c r="J34" s="6" t="s">
        <v>19</v>
      </c>
    </row>
    <row r="35" spans="1:10">
      <c r="A35" s="31"/>
      <c r="B35" s="6" t="s">
        <v>9</v>
      </c>
      <c r="C35" s="6" t="s">
        <v>42</v>
      </c>
      <c r="D35" s="6">
        <v>48</v>
      </c>
      <c r="E35" s="6" t="s">
        <v>22</v>
      </c>
      <c r="F35" s="28" t="s">
        <v>21</v>
      </c>
      <c r="G35" s="22">
        <v>0.75420015367682192</v>
      </c>
      <c r="H35" s="22">
        <v>0.84665545241210305</v>
      </c>
      <c r="I35" s="16">
        <v>0.75</v>
      </c>
      <c r="J35" s="16">
        <f>I35+G35/24</f>
        <v>0.78142500640320089</v>
      </c>
    </row>
    <row r="36" spans="1:10">
      <c r="A36" s="31"/>
      <c r="B36" s="6" t="s">
        <v>40</v>
      </c>
      <c r="C36" s="6" t="s">
        <v>45</v>
      </c>
      <c r="D36" s="6">
        <v>48</v>
      </c>
      <c r="E36" s="6" t="s">
        <v>22</v>
      </c>
      <c r="F36" s="28" t="s">
        <v>21</v>
      </c>
      <c r="G36" s="22">
        <v>0.67878561904761914</v>
      </c>
      <c r="H36" s="22">
        <v>0.66262704761904767</v>
      </c>
      <c r="I36" s="16">
        <f t="shared" ref="I36:I38" si="4">J35</f>
        <v>0.78142500640320089</v>
      </c>
      <c r="J36" s="16">
        <f t="shared" ref="J36:J38" si="5">I36+G36/24</f>
        <v>0.80970774053018502</v>
      </c>
    </row>
    <row r="37" spans="1:10">
      <c r="A37" s="31"/>
      <c r="B37" s="6" t="s">
        <v>8</v>
      </c>
      <c r="C37" s="6" t="s">
        <v>53</v>
      </c>
      <c r="D37" s="6">
        <v>288</v>
      </c>
      <c r="E37" s="6" t="s">
        <v>22</v>
      </c>
      <c r="F37" s="29">
        <v>45588.90662037037</v>
      </c>
      <c r="G37" s="22">
        <v>2.428571428571427</v>
      </c>
      <c r="H37" s="22">
        <v>1.9523809523809526</v>
      </c>
      <c r="I37" s="16">
        <f t="shared" si="4"/>
        <v>0.80970774053018502</v>
      </c>
      <c r="J37" s="16">
        <f t="shared" si="5"/>
        <v>0.91089821672066118</v>
      </c>
    </row>
    <row r="38" spans="1:10">
      <c r="B38" s="6" t="s">
        <v>8</v>
      </c>
      <c r="C38" s="6" t="s">
        <v>56</v>
      </c>
      <c r="D38" s="6">
        <v>288</v>
      </c>
      <c r="E38" s="6" t="s">
        <v>22</v>
      </c>
      <c r="F38" s="29">
        <v>45588.99927083333</v>
      </c>
      <c r="G38" s="22">
        <v>2.428571428571427</v>
      </c>
      <c r="H38" s="22">
        <v>1.9523809523809526</v>
      </c>
      <c r="I38" s="16">
        <f t="shared" si="4"/>
        <v>0.91089821672066118</v>
      </c>
      <c r="J38" s="16">
        <f t="shared" si="5"/>
        <v>1.0120886929111372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4"/>
  <sheetViews>
    <sheetView workbookViewId="0">
      <selection sqref="A1:XFD1048576"/>
    </sheetView>
  </sheetViews>
  <sheetFormatPr defaultColWidth="9.375"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4"/>
    </row>
    <row r="2" spans="2:9">
      <c r="F2" s="24"/>
      <c r="G2" s="21"/>
      <c r="H2" t="s">
        <v>10</v>
      </c>
    </row>
    <row r="3" spans="2:9">
      <c r="F3" s="24"/>
    </row>
    <row r="4" spans="2:9">
      <c r="F4" s="24"/>
    </row>
    <row r="5" spans="2:9">
      <c r="B5" s="6" t="s">
        <v>25</v>
      </c>
      <c r="C5" s="6" t="s">
        <v>26</v>
      </c>
      <c r="D5" s="6" t="s">
        <v>13</v>
      </c>
      <c r="E5" s="6" t="s">
        <v>14</v>
      </c>
      <c r="F5" s="28" t="s">
        <v>39</v>
      </c>
      <c r="G5" s="22" t="s">
        <v>17</v>
      </c>
      <c r="H5" s="6" t="s">
        <v>27</v>
      </c>
      <c r="I5" s="6" t="s">
        <v>28</v>
      </c>
    </row>
    <row r="6" spans="2:9">
      <c r="B6" s="6" t="s">
        <v>29</v>
      </c>
      <c r="C6" s="6" t="s">
        <v>30</v>
      </c>
      <c r="D6" s="6">
        <v>48</v>
      </c>
      <c r="E6" s="6" t="s">
        <v>20</v>
      </c>
      <c r="F6" s="28" t="s">
        <v>21</v>
      </c>
      <c r="G6" s="22">
        <v>3.5714285714285716</v>
      </c>
      <c r="H6" s="16">
        <v>0.75</v>
      </c>
      <c r="I6" s="16">
        <f>H6+G6/24</f>
        <v>0.89880952380952384</v>
      </c>
    </row>
    <row r="7" spans="2:9">
      <c r="B7" s="6" t="s">
        <v>36</v>
      </c>
      <c r="C7" s="6" t="s">
        <v>37</v>
      </c>
      <c r="D7" s="6">
        <v>448</v>
      </c>
      <c r="E7" s="6" t="s">
        <v>22</v>
      </c>
      <c r="F7" s="28" t="s">
        <v>21</v>
      </c>
      <c r="G7" s="22">
        <v>0.27538584713378622</v>
      </c>
      <c r="H7" s="16">
        <f>I6</f>
        <v>0.89880952380952384</v>
      </c>
      <c r="I7" s="16">
        <f>H7+G7/24</f>
        <v>0.91028393410676489</v>
      </c>
    </row>
    <row r="8" spans="2:9">
      <c r="B8" s="6" t="s">
        <v>40</v>
      </c>
      <c r="C8" s="6" t="s">
        <v>38</v>
      </c>
      <c r="D8" s="6">
        <v>48</v>
      </c>
      <c r="E8" s="6" t="s">
        <v>22</v>
      </c>
      <c r="F8" s="28" t="s">
        <v>21</v>
      </c>
      <c r="G8" s="22">
        <v>0.66262704761904767</v>
      </c>
      <c r="H8" s="16">
        <f t="shared" ref="H8:H23" si="0">I7</f>
        <v>0.91028393410676489</v>
      </c>
      <c r="I8" s="16">
        <f t="shared" ref="I8:I23" si="1">H8+G8/24</f>
        <v>0.93789339442422526</v>
      </c>
    </row>
    <row r="9" spans="2:9">
      <c r="B9" s="6" t="s">
        <v>8</v>
      </c>
      <c r="C9" s="6" t="s">
        <v>31</v>
      </c>
      <c r="D9" s="6">
        <v>288</v>
      </c>
      <c r="E9" s="6" t="s">
        <v>22</v>
      </c>
      <c r="F9" s="28" t="s">
        <v>21</v>
      </c>
      <c r="G9" s="22">
        <v>1.9523809523809526</v>
      </c>
      <c r="H9" s="16">
        <f t="shared" si="0"/>
        <v>0.93789339442422526</v>
      </c>
      <c r="I9" s="16">
        <f t="shared" si="1"/>
        <v>1.0192426007734317</v>
      </c>
    </row>
    <row r="10" spans="2:9">
      <c r="B10" s="6" t="s">
        <v>9</v>
      </c>
      <c r="C10" s="6" t="s">
        <v>32</v>
      </c>
      <c r="D10" s="6">
        <v>48</v>
      </c>
      <c r="E10" s="6" t="s">
        <v>22</v>
      </c>
      <c r="F10" s="28" t="s">
        <v>21</v>
      </c>
      <c r="G10" s="22">
        <v>0.84665545241210305</v>
      </c>
      <c r="H10" s="16">
        <f t="shared" si="0"/>
        <v>1.0192426007734317</v>
      </c>
      <c r="I10" s="16">
        <f t="shared" si="1"/>
        <v>1.0545199112906025</v>
      </c>
    </row>
    <row r="11" spans="2:9">
      <c r="B11" s="6" t="s">
        <v>34</v>
      </c>
      <c r="C11" s="6" t="s">
        <v>35</v>
      </c>
      <c r="D11" s="6">
        <v>192</v>
      </c>
      <c r="E11" s="6" t="s">
        <v>20</v>
      </c>
      <c r="F11" s="28" t="s">
        <v>21</v>
      </c>
      <c r="G11" s="22">
        <v>4.7523809523809533</v>
      </c>
      <c r="H11" s="16">
        <f t="shared" si="0"/>
        <v>1.0545199112906025</v>
      </c>
      <c r="I11" s="16">
        <f t="shared" si="1"/>
        <v>1.2525357843064755</v>
      </c>
    </row>
    <row r="12" spans="2:9">
      <c r="B12" s="6" t="s">
        <v>36</v>
      </c>
      <c r="C12" s="6" t="s">
        <v>41</v>
      </c>
      <c r="D12" s="6">
        <v>448</v>
      </c>
      <c r="E12" s="6" t="s">
        <v>22</v>
      </c>
      <c r="F12" s="28" t="s">
        <v>21</v>
      </c>
      <c r="G12" s="22">
        <v>0.27538584713378622</v>
      </c>
      <c r="H12" s="16">
        <f t="shared" si="0"/>
        <v>1.2525357843064755</v>
      </c>
      <c r="I12" s="16">
        <f t="shared" si="1"/>
        <v>1.2640101946037166</v>
      </c>
    </row>
    <row r="13" spans="2:9">
      <c r="B13" s="6" t="s">
        <v>9</v>
      </c>
      <c r="C13" s="6" t="s">
        <v>42</v>
      </c>
      <c r="D13" s="6">
        <v>48</v>
      </c>
      <c r="E13" s="6" t="s">
        <v>22</v>
      </c>
      <c r="F13" s="16">
        <v>0.78142500640320089</v>
      </c>
      <c r="G13" s="22">
        <v>0.84665545241210305</v>
      </c>
      <c r="H13" s="16">
        <f t="shared" si="0"/>
        <v>1.2640101946037166</v>
      </c>
      <c r="I13" s="16">
        <f t="shared" si="1"/>
        <v>1.2992875051208874</v>
      </c>
    </row>
    <row r="14" spans="2:9">
      <c r="B14" s="6" t="s">
        <v>43</v>
      </c>
      <c r="C14" s="6" t="s">
        <v>44</v>
      </c>
      <c r="D14" s="6">
        <v>24</v>
      </c>
      <c r="E14" s="6" t="s">
        <v>20</v>
      </c>
      <c r="F14" s="16">
        <v>0.7857142857142857</v>
      </c>
      <c r="G14" s="22">
        <v>1.0952380952380953</v>
      </c>
      <c r="H14" s="16">
        <f t="shared" si="0"/>
        <v>1.2992875051208874</v>
      </c>
      <c r="I14" s="16">
        <f t="shared" si="1"/>
        <v>1.3449224257558081</v>
      </c>
    </row>
    <row r="15" spans="2:9">
      <c r="B15" s="6" t="s">
        <v>40</v>
      </c>
      <c r="C15" s="6" t="s">
        <v>45</v>
      </c>
      <c r="D15" s="6">
        <v>48</v>
      </c>
      <c r="E15" s="6" t="s">
        <v>22</v>
      </c>
      <c r="F15" s="16">
        <v>0.80970774053018502</v>
      </c>
      <c r="G15" s="22">
        <v>0.66262704761904767</v>
      </c>
      <c r="H15" s="16">
        <f t="shared" si="0"/>
        <v>1.3449224257558081</v>
      </c>
      <c r="I15" s="16">
        <f t="shared" si="1"/>
        <v>1.3725318860732685</v>
      </c>
    </row>
    <row r="16" spans="2:9">
      <c r="B16" s="6" t="s">
        <v>46</v>
      </c>
      <c r="C16" s="6" t="s">
        <v>47</v>
      </c>
      <c r="D16" s="6">
        <v>60</v>
      </c>
      <c r="E16" s="6" t="s">
        <v>24</v>
      </c>
      <c r="F16" s="16">
        <v>0.82726753266977138</v>
      </c>
      <c r="G16" s="22">
        <v>0.50964187327823696</v>
      </c>
      <c r="H16" s="16">
        <f t="shared" si="0"/>
        <v>1.3725318860732685</v>
      </c>
      <c r="I16" s="16">
        <f t="shared" si="1"/>
        <v>1.3937669641265285</v>
      </c>
    </row>
    <row r="17" spans="2:9">
      <c r="B17" s="6" t="s">
        <v>48</v>
      </c>
      <c r="C17" s="6" t="s">
        <v>49</v>
      </c>
      <c r="D17" s="6">
        <v>48</v>
      </c>
      <c r="E17" s="6" t="s">
        <v>20</v>
      </c>
      <c r="F17" s="16">
        <v>0.83927127140527447</v>
      </c>
      <c r="G17" s="22">
        <v>1.142857142857143</v>
      </c>
      <c r="H17" s="16">
        <f t="shared" si="0"/>
        <v>1.3937669641265285</v>
      </c>
      <c r="I17" s="16">
        <f t="shared" si="1"/>
        <v>1.4413860117455761</v>
      </c>
    </row>
    <row r="18" spans="2:9">
      <c r="B18" s="6" t="s">
        <v>33</v>
      </c>
      <c r="C18" s="6" t="s">
        <v>50</v>
      </c>
      <c r="D18" s="6">
        <v>48</v>
      </c>
      <c r="E18" s="6" t="s">
        <v>24</v>
      </c>
      <c r="F18" s="16">
        <v>0.87699091503669013</v>
      </c>
      <c r="G18" s="22">
        <v>0.90150790855264284</v>
      </c>
      <c r="H18" s="16">
        <f t="shared" si="0"/>
        <v>1.4413860117455761</v>
      </c>
      <c r="I18" s="16">
        <f t="shared" si="1"/>
        <v>1.4789488412686029</v>
      </c>
    </row>
    <row r="19" spans="2:9">
      <c r="B19" s="6" t="s">
        <v>51</v>
      </c>
      <c r="C19" s="6" t="s">
        <v>52</v>
      </c>
      <c r="D19" s="6">
        <v>48</v>
      </c>
      <c r="E19" s="6" t="s">
        <v>20</v>
      </c>
      <c r="F19" s="16">
        <v>0.88176465764866074</v>
      </c>
      <c r="G19" s="22">
        <v>1.3789682539682542</v>
      </c>
      <c r="H19" s="16">
        <f t="shared" si="0"/>
        <v>1.4789488412686029</v>
      </c>
      <c r="I19" s="16">
        <f t="shared" si="1"/>
        <v>1.5364058518506136</v>
      </c>
    </row>
    <row r="20" spans="2:9">
      <c r="B20" s="6" t="s">
        <v>8</v>
      </c>
      <c r="C20" s="6" t="s">
        <v>53</v>
      </c>
      <c r="D20" s="6">
        <v>288</v>
      </c>
      <c r="E20" s="6" t="s">
        <v>22</v>
      </c>
      <c r="F20" s="16">
        <v>0.91089821672066118</v>
      </c>
      <c r="G20" s="22">
        <v>1.9523809523809526</v>
      </c>
      <c r="H20" s="16">
        <f t="shared" si="0"/>
        <v>1.5364058518506136</v>
      </c>
      <c r="I20" s="16">
        <f t="shared" si="1"/>
        <v>1.6177550581998199</v>
      </c>
    </row>
    <row r="21" spans="2:9">
      <c r="B21" s="6" t="s">
        <v>54</v>
      </c>
      <c r="C21" s="6" t="s">
        <v>55</v>
      </c>
      <c r="D21" s="6">
        <v>48</v>
      </c>
      <c r="E21" s="6" t="s">
        <v>20</v>
      </c>
      <c r="F21" s="16">
        <v>1.010465384005637</v>
      </c>
      <c r="G21" s="22">
        <v>0.34998334998335007</v>
      </c>
      <c r="H21" s="16">
        <f t="shared" si="0"/>
        <v>1.6177550581998199</v>
      </c>
      <c r="I21" s="16">
        <f t="shared" si="1"/>
        <v>1.6323376977824595</v>
      </c>
    </row>
    <row r="22" spans="2:9">
      <c r="B22" s="6" t="s">
        <v>8</v>
      </c>
      <c r="C22" s="6" t="s">
        <v>56</v>
      </c>
      <c r="D22" s="6">
        <v>288</v>
      </c>
      <c r="E22" s="6" t="s">
        <v>22</v>
      </c>
      <c r="F22" s="16">
        <v>1.0120886929111372</v>
      </c>
      <c r="G22" s="22">
        <v>1.9523809523809526</v>
      </c>
      <c r="H22" s="16">
        <f t="shared" si="0"/>
        <v>1.6323376977824595</v>
      </c>
      <c r="I22" s="16">
        <f t="shared" si="1"/>
        <v>1.7136869041316658</v>
      </c>
    </row>
    <row r="23" spans="2:9">
      <c r="B23" s="6" t="s">
        <v>57</v>
      </c>
      <c r="C23" s="6" t="s">
        <v>58</v>
      </c>
      <c r="D23" s="6">
        <v>96</v>
      </c>
      <c r="E23" s="6" t="s">
        <v>20</v>
      </c>
      <c r="F23" s="16">
        <v>1.0240235850638382</v>
      </c>
      <c r="G23" s="22">
        <v>0.49867724867724872</v>
      </c>
      <c r="H23" s="16">
        <f t="shared" si="0"/>
        <v>1.7136869041316658</v>
      </c>
      <c r="I23" s="16">
        <f t="shared" si="1"/>
        <v>1.7344651228265511</v>
      </c>
    </row>
    <row r="24" spans="2:9">
      <c r="F24" s="24"/>
      <c r="G24" s="23"/>
      <c r="H24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992A36-2DAE-4B72-BC85-8410A88930C1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2024-10-23T23:58:26Z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