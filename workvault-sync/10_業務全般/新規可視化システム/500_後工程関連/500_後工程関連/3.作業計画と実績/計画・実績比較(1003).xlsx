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66" documentId="8_{6FB24CBE-2D70-4891-B9BD-3AC2DC66D269}" xr6:coauthVersionLast="47" xr6:coauthVersionMax="47" xr10:uidLastSave="{B5BD2594-DB0D-4445-B420-8539AC7EDE6D}"/>
  <bookViews>
    <workbookView xWindow="20370" yWindow="-120" windowWidth="29040" windowHeight="15840" firstSheet="2" activeTab="2" xr2:uid="{D4E99A79-39B5-4714-8CFE-6838D0007EB9}"/>
  </bookViews>
  <sheets>
    <sheet name="AOI1号機" sheetId="1" r:id="rId1"/>
    <sheet name="AOI2号機" sheetId="3" r:id="rId2"/>
    <sheet name="目視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<sst xmlns="http://schemas.openxmlformats.org/spreadsheetml/2006/main" count="118" uniqueCount="30">
  <si>
    <t>作業ガントチャート</t>
    <rPh sb="0" eb="2">
      <t>サギョウ</t>
    </rPh>
    <phoneticPr fontId="3"/>
  </si>
  <si>
    <t>10/3 AOI_1号機</t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</si>
  <si>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</si>
  <si>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</si>
  <si>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</si>
  <si>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</si>
  <si>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</si>
  <si>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</si>
  <si>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</si>
  <si>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UR-0550</t>
  </si>
  <si>
    <t>計画</t>
    <rPh sb="0" eb="2">
      <t>ケイカク</t>
    </rPh>
    <phoneticPr fontId="2"/>
  </si>
  <si>
    <t>実績</t>
    <rPh sb="0" eb="2">
      <t>ジッセキ</t>
    </rPh>
    <phoneticPr fontId="2"/>
  </si>
  <si>
    <t>UR-0541</t>
  </si>
  <si>
    <t>UR-06101-01</t>
  </si>
  <si>
    <t>UR-0520</t>
  </si>
  <si>
    <t>UR-0608</t>
  </si>
  <si>
    <t>UTS-0918</t>
  </si>
  <si>
    <t>UR-0382</t>
  </si>
  <si>
    <t>実績データなし</t>
    <rPh sb="0" eb="2">
      <t>ジッセキ</t>
    </rPh>
    <phoneticPr fontId="2"/>
  </si>
  <si>
    <t>UR-0551</t>
  </si>
  <si>
    <t>211976035</t>
  </si>
  <si>
    <t>UR-42143-02</t>
  </si>
  <si>
    <t>211976037</t>
  </si>
  <si>
    <t>UR-43014</t>
  </si>
  <si>
    <t>211976039</t>
  </si>
  <si>
    <t>AOI</t>
  </si>
  <si>
    <t>URS-42881</t>
  </si>
  <si>
    <t>211976046</t>
  </si>
  <si>
    <t>10/3 目視</t>
  </si>
  <si>
    <t>UR-05091-03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</si>
</sst>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</cellXfs>
  <cellStyles count="1">
    <cellStyle name="標準" xfId="0" builtinId="0"/>
  </cellStyles>
  <dxfs count="6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zoomScale="70" zoomScaleNormal="70" workbookViewId="0">
      <selection activeCell="D1" sqref="D1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hidden="1" customWidth="1"/>
    <col min="16" max="57" width="3.5" hidden="1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D1" t="s">
        <v>1</v>
      </c>
      <c r="J1" s="2"/>
      <c r="K1" t="s">
        <v>2</v>
      </c>
    </row>
    <row r="3" spans="1:112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9</v>
      </c>
      <c r="C4" s="6">
        <v>211975532</v>
      </c>
      <c r="D4" s="6" t="s">
        <v>10</v>
      </c>
      <c r="E4" s="8">
        <v>0.72916666666666663</v>
      </c>
      <c r="F4" s="9">
        <v>0.84057539682539684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 t="s">
        <v>9</v>
      </c>
      <c r="C5" s="6">
        <v>211975532</v>
      </c>
      <c r="D5" s="6" t="s">
        <v>11</v>
      </c>
      <c r="E5" s="7">
        <v>0.74842592592592594</v>
      </c>
      <c r="F5" s="7">
        <v>0.78965277777777776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9</v>
      </c>
      <c r="C6" s="6">
        <v>211975532</v>
      </c>
      <c r="D6" s="6" t="s">
        <v>11</v>
      </c>
      <c r="E6" s="7">
        <v>0.78976851851851848</v>
      </c>
      <c r="F6" s="7">
        <v>0.80326388888888889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12</v>
      </c>
      <c r="C7" s="6">
        <v>211976034</v>
      </c>
      <c r="D7" s="6" t="s">
        <v>10</v>
      </c>
      <c r="E7" s="7">
        <v>0.84057539682539684</v>
      </c>
      <c r="F7" s="7">
        <v>0.85550595238095239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12</v>
      </c>
      <c r="C8" s="6">
        <v>211976034</v>
      </c>
      <c r="D8" s="6" t="s">
        <v>11</v>
      </c>
      <c r="E8" s="7">
        <v>0.7415046296296296</v>
      </c>
      <c r="F8" s="7">
        <v>0.7416666666666667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 t="s">
        <v>12</v>
      </c>
      <c r="C9" s="6">
        <v>211976034</v>
      </c>
      <c r="D9" s="6" t="s">
        <v>11</v>
      </c>
      <c r="E9" s="7">
        <v>0.74178240740740742</v>
      </c>
      <c r="F9" s="7">
        <v>0.74790509259259264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13</v>
      </c>
      <c r="C10" s="6">
        <v>211974054</v>
      </c>
      <c r="D10" s="6" t="s">
        <v>10</v>
      </c>
      <c r="E10" s="7">
        <v>0.85550595238095239</v>
      </c>
      <c r="F10" s="7">
        <v>0.88693095878415329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 t="s">
        <v>13</v>
      </c>
      <c r="C11" s="6">
        <v>211974054</v>
      </c>
      <c r="D11" s="6" t="s">
        <v>11</v>
      </c>
      <c r="E11" s="7">
        <v>0.91364583333333338</v>
      </c>
      <c r="F11" s="7">
        <v>0.93184027777777778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 t="s">
        <v>13</v>
      </c>
      <c r="C12" s="6">
        <v>211974054</v>
      </c>
      <c r="D12" s="6" t="s">
        <v>11</v>
      </c>
      <c r="E12" s="7">
        <v>0.93197916666666669</v>
      </c>
      <c r="F12" s="7">
        <v>0.95560185185185187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 t="s">
        <v>14</v>
      </c>
      <c r="C13" s="6">
        <v>211976033</v>
      </c>
      <c r="D13" s="6" t="s">
        <v>10</v>
      </c>
      <c r="E13" s="8">
        <v>0.88693095878415329</v>
      </c>
      <c r="F13" s="9">
        <v>0.96018649862385153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 t="s">
        <v>14</v>
      </c>
      <c r="C14" s="6">
        <v>211976033</v>
      </c>
      <c r="D14" s="6" t="s">
        <v>11</v>
      </c>
      <c r="E14" s="7">
        <v>0.87944444444444447</v>
      </c>
      <c r="F14" s="7">
        <v>0.89189814814814816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 t="s">
        <v>14</v>
      </c>
      <c r="C15" s="6">
        <v>211976033</v>
      </c>
      <c r="D15" s="6" t="s">
        <v>11</v>
      </c>
      <c r="E15" s="7">
        <v>0.89818287037037037</v>
      </c>
      <c r="F15" s="7">
        <v>0.90768518518518515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 t="s">
        <v>15</v>
      </c>
      <c r="C16" s="6">
        <v>211976036</v>
      </c>
      <c r="D16" s="6" t="s">
        <v>10</v>
      </c>
      <c r="E16" s="7">
        <v>0.96018649862385153</v>
      </c>
      <c r="F16" s="7">
        <v>0.97020013949686745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 t="s">
        <v>15</v>
      </c>
      <c r="C17" s="6">
        <v>211976036</v>
      </c>
      <c r="D17" s="6" t="s">
        <v>11</v>
      </c>
      <c r="E17" s="7">
        <v>0.95572916666666663</v>
      </c>
      <c r="F17" s="7">
        <v>0.95582175925925927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 t="s">
        <v>15</v>
      </c>
      <c r="C18" s="6">
        <v>211976036</v>
      </c>
      <c r="D18" s="6" t="s">
        <v>11</v>
      </c>
      <c r="E18" s="7">
        <v>0.95592592592592596</v>
      </c>
      <c r="F18" s="7">
        <v>0.96135416666666662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 t="s">
        <v>16</v>
      </c>
      <c r="C19" s="6">
        <v>211976052</v>
      </c>
      <c r="D19" s="6" t="s">
        <v>10</v>
      </c>
      <c r="E19" s="7">
        <v>0.97020013949686745</v>
      </c>
      <c r="F19" s="7">
        <v>0.98726363156035957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 t="s">
        <v>16</v>
      </c>
      <c r="C20" s="6">
        <v>211976052</v>
      </c>
      <c r="D20" s="6" t="s">
        <v>11</v>
      </c>
      <c r="E20" s="7">
        <v>0.9850578703703704</v>
      </c>
      <c r="F20" s="7">
        <v>0.9886342592592593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 t="s">
        <v>17</v>
      </c>
      <c r="C21" s="6">
        <v>211976030</v>
      </c>
      <c r="D21" s="6" t="s">
        <v>10</v>
      </c>
      <c r="E21" s="8">
        <v>0.98726363156035957</v>
      </c>
      <c r="F21" s="9">
        <v>0.99867236171908969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 t="s">
        <v>18</v>
      </c>
      <c r="C22" s="6"/>
      <c r="D22" s="6"/>
      <c r="E22" s="8"/>
      <c r="F22" s="9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 t="s">
        <v>19</v>
      </c>
      <c r="C23" s="6" t="s">
        <v>20</v>
      </c>
      <c r="D23" s="6" t="s">
        <v>10</v>
      </c>
      <c r="E23" s="7">
        <v>0.99867236171908969</v>
      </c>
      <c r="F23" s="7">
        <v>1.0422939770318815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 t="s">
        <v>19</v>
      </c>
      <c r="C24" s="6">
        <v>211976035</v>
      </c>
      <c r="D24" s="6" t="s">
        <v>11</v>
      </c>
      <c r="E24" s="7">
        <v>0.97136574074074078</v>
      </c>
      <c r="F24" s="7">
        <v>0.98346064814814815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 t="s">
        <v>19</v>
      </c>
      <c r="C25" s="6">
        <v>211976035</v>
      </c>
      <c r="D25" s="6" t="s">
        <v>11</v>
      </c>
      <c r="E25" s="7">
        <v>0.99214120370370373</v>
      </c>
      <c r="F25" s="7">
        <v>0.99869212962962961</v>
      </c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 t="s">
        <v>21</v>
      </c>
      <c r="C26" s="6" t="s">
        <v>22</v>
      </c>
      <c r="D26" s="6" t="s">
        <v>10</v>
      </c>
      <c r="E26" s="8">
        <v>1.0422939770318815</v>
      </c>
      <c r="F26" s="9">
        <v>1.0761906359285405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 t="s">
        <v>18</v>
      </c>
      <c r="C27" s="6"/>
      <c r="D27" s="6"/>
      <c r="E27" s="8"/>
      <c r="F27" s="9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 t="s">
        <v>23</v>
      </c>
      <c r="C28" s="6" t="s">
        <v>24</v>
      </c>
      <c r="D28" s="6" t="s">
        <v>10</v>
      </c>
      <c r="E28" s="7">
        <v>1.0761906359285405</v>
      </c>
      <c r="F28" s="7">
        <v>1.0897488369867416</v>
      </c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 t="s">
        <v>23</v>
      </c>
      <c r="C29" s="6">
        <v>211976039</v>
      </c>
      <c r="D29" s="6" t="s">
        <v>11</v>
      </c>
      <c r="E29" s="7">
        <v>4.5717592592592589E-3</v>
      </c>
      <c r="F29" s="7">
        <v>2.3240740740740742E-2</v>
      </c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 t="s">
        <v>23</v>
      </c>
      <c r="C30" s="6">
        <v>211976039</v>
      </c>
      <c r="D30" s="6" t="s">
        <v>25</v>
      </c>
      <c r="E30" s="7">
        <v>2.34375E-2</v>
      </c>
      <c r="F30" s="7">
        <v>2.9351851851851851E-2</v>
      </c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 t="s">
        <v>26</v>
      </c>
      <c r="C31" s="6" t="s">
        <v>27</v>
      </c>
      <c r="D31" s="6" t="s">
        <v>11</v>
      </c>
      <c r="E31" s="7">
        <v>1.0897488369867416</v>
      </c>
      <c r="F31" s="7">
        <v>1.118548292092167</v>
      </c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 t="s">
        <v>18</v>
      </c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8"/>
      <c r="F38" s="9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19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8"/>
      <c r="F45" s="9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H4:DH134">
    <cfRule type="expression" dxfId="5" priority="4">
      <formula>AND($D4="実績", $E4 &lt;= G$3, G$3 &lt; $F4 + IF($F4 &lt; $E4, 1, 0))</formula>
    </cfRule>
  </conditionalFormatting>
  <conditionalFormatting sqref="G4:DH134">
    <cfRule type="expression" dxfId="4" priority="3">
      <formula>AND($D4="計画",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dimension ref="A1:DH66"/>
  <sheetViews>
    <sheetView zoomScale="85" zoomScaleNormal="85" workbookViewId="0">
      <selection activeCell="B4" sqref="B4:F9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2</v>
      </c>
    </row>
    <row r="3" spans="1:112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/>
      <c r="C4" s="6"/>
      <c r="D4" s="6"/>
      <c r="E4" s="8"/>
      <c r="F4" s="9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/>
      <c r="E6" s="8"/>
      <c r="F6" s="9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/>
      <c r="E8" s="8"/>
      <c r="F8" s="9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/>
      <c r="E10" s="8"/>
      <c r="F10" s="9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/>
      <c r="E11" s="8"/>
      <c r="F11" s="9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3" priority="1">
      <formula>AND($D4="計画", $E4 &lt;= G$3, G$3 &lt; $F4 + IF($F4 &lt; $E4, 1, 0))</formula>
    </cfRule>
    <cfRule type="expression" dxfId="2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tabSelected="1" zoomScale="85" zoomScaleNormal="85" workbookViewId="0">
      <selection activeCell="G1" sqref="G1:BE1048576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hidden="1" customWidth="1"/>
    <col min="16" max="57" width="3.5" hidden="1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D1" t="s">
        <v>28</v>
      </c>
      <c r="J1" s="2"/>
    </row>
    <row r="3" spans="1:112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4.8611111111111098E-2</v>
      </c>
      <c r="CY3" s="5">
        <v>9.0277777777777804E-2</v>
      </c>
      <c r="CZ3" s="5">
        <v>0.131944444444444</v>
      </c>
      <c r="DA3" s="5">
        <v>0.17361111111111099</v>
      </c>
      <c r="DB3" s="5">
        <v>0.21527777777777801</v>
      </c>
      <c r="DC3" s="5">
        <v>0.25694444444444398</v>
      </c>
      <c r="DD3" s="5">
        <v>0.29861111111111099</v>
      </c>
      <c r="DE3" s="5">
        <v>0.34027777777777801</v>
      </c>
      <c r="DF3" s="5">
        <v>0.38194444444444398</v>
      </c>
      <c r="DG3" s="5">
        <v>0.42361111111111099</v>
      </c>
      <c r="DH3" s="5">
        <v>0.46527777777777801</v>
      </c>
    </row>
    <row r="4" spans="1:112" ht="21.6" customHeight="1">
      <c r="A4" s="6"/>
      <c r="B4" s="6" t="s">
        <v>29</v>
      </c>
      <c r="C4" s="6">
        <v>211973422</v>
      </c>
      <c r="D4" s="6" t="s">
        <v>10</v>
      </c>
      <c r="E4" s="8">
        <v>0.72916666666666663</v>
      </c>
      <c r="F4" s="9">
        <v>0.81051587301587302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 t="s">
        <v>29</v>
      </c>
      <c r="C5" s="6">
        <v>211973422</v>
      </c>
      <c r="D5" s="6" t="s">
        <v>11</v>
      </c>
      <c r="E5" s="7">
        <v>0.75072916666666667</v>
      </c>
      <c r="F5" s="7">
        <v>0.85668981481481477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9</v>
      </c>
      <c r="C6" s="6">
        <v>211975532</v>
      </c>
      <c r="D6" s="6" t="s">
        <v>10</v>
      </c>
      <c r="E6" s="7">
        <v>0.84057539682539684</v>
      </c>
      <c r="F6" s="7">
        <v>1.0298941798941799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9</v>
      </c>
      <c r="C7" s="6">
        <v>211975532</v>
      </c>
      <c r="D7" s="6" t="s">
        <v>11</v>
      </c>
      <c r="E7" s="7">
        <v>0.86859953703703707</v>
      </c>
      <c r="F7" s="7">
        <v>0.91991898148148143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12</v>
      </c>
      <c r="C8" s="6">
        <v>211976034</v>
      </c>
      <c r="D8" s="6" t="s">
        <v>10</v>
      </c>
      <c r="E8" s="7">
        <v>1.0298941798941799</v>
      </c>
      <c r="F8" s="7">
        <v>1.0480489417989418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 t="s">
        <v>12</v>
      </c>
      <c r="C9" s="6">
        <v>211976034</v>
      </c>
      <c r="D9" s="6" t="s">
        <v>11</v>
      </c>
      <c r="E9" s="7">
        <v>0.85930555555555554</v>
      </c>
      <c r="F9" s="7">
        <v>0.86319444444444449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13</v>
      </c>
      <c r="C10" s="6">
        <v>211974054</v>
      </c>
      <c r="D10" s="6" t="s">
        <v>10</v>
      </c>
      <c r="E10" s="7">
        <v>1.0480489417989418</v>
      </c>
      <c r="F10" s="7">
        <v>1.0833262523161127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 t="s">
        <v>13</v>
      </c>
      <c r="C11" s="6">
        <v>211974054</v>
      </c>
      <c r="D11" s="6" t="s">
        <v>11</v>
      </c>
      <c r="E11" s="7">
        <v>0.95765046296296297</v>
      </c>
      <c r="F11" s="7">
        <v>0.97385416666666669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 t="s">
        <v>14</v>
      </c>
      <c r="C12" s="6">
        <v>211976033</v>
      </c>
      <c r="D12" s="6" t="s">
        <v>10</v>
      </c>
      <c r="E12" s="8">
        <v>1.0833262523161127</v>
      </c>
      <c r="F12" s="9">
        <v>1.1264073461397808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 t="s">
        <v>14</v>
      </c>
      <c r="C13" s="6">
        <v>211976033</v>
      </c>
      <c r="D13" s="6" t="s">
        <v>11</v>
      </c>
      <c r="E13" s="7">
        <v>0.92306712962962967</v>
      </c>
      <c r="F13" s="7">
        <v>0.9337037037037037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 t="s">
        <v>19</v>
      </c>
      <c r="C14" s="6">
        <v>211976035</v>
      </c>
      <c r="D14" s="6" t="s">
        <v>10</v>
      </c>
      <c r="E14" s="7">
        <v>1.1264073461397808</v>
      </c>
      <c r="F14" s="7">
        <v>1.1747704413778761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 t="s">
        <v>18</v>
      </c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 t="s">
        <v>21</v>
      </c>
      <c r="C16" s="6">
        <v>211976037</v>
      </c>
      <c r="D16" s="6" t="s">
        <v>10</v>
      </c>
      <c r="E16" s="7">
        <v>1.1747704413778761</v>
      </c>
      <c r="F16" s="7">
        <v>1.1893530809605157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 t="s">
        <v>18</v>
      </c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 t="s">
        <v>23</v>
      </c>
      <c r="C18" s="6">
        <v>211976039</v>
      </c>
      <c r="D18" s="6" t="s">
        <v>10</v>
      </c>
      <c r="E18" s="7">
        <v>1.1893530809605157</v>
      </c>
      <c r="F18" s="7">
        <v>1.210131299655401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 t="s">
        <v>23</v>
      </c>
      <c r="C19" s="6">
        <v>211976039</v>
      </c>
      <c r="D19" s="6" t="s">
        <v>11</v>
      </c>
      <c r="E19" s="7">
        <v>2.9768518518518517E-2</v>
      </c>
      <c r="F19" s="7">
        <v>4.2453703703703702E-2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 t="s">
        <v>26</v>
      </c>
      <c r="C20" s="6">
        <v>211976046</v>
      </c>
      <c r="D20" s="6" t="s">
        <v>10</v>
      </c>
      <c r="E20" s="8">
        <v>1.210131299655401</v>
      </c>
      <c r="F20" s="9">
        <v>1.2319344861041099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 t="s">
        <v>15</v>
      </c>
      <c r="C22" s="6">
        <v>211976036</v>
      </c>
      <c r="D22" s="6" t="s">
        <v>11</v>
      </c>
      <c r="E22" s="7">
        <v>0.97790509259259262</v>
      </c>
      <c r="F22" s="7">
        <v>0.98221064814814818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8"/>
      <c r="F24" s="9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8"/>
      <c r="F26" s="9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8"/>
      <c r="F27" s="9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17"/>
      <c r="F29" s="18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7"/>
      <c r="F30" s="18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G4:DH99">
    <cfRule type="expression" dxfId="1" priority="1">
      <formula>AND($D4="計画", $E4 &lt;= F$3, F$3 &lt; $F4 + IF($F4 &lt; $E4, 1, 0))</formula>
    </cfRule>
    <cfRule type="expression" dxfId="0" priority="2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B6089C-DC21-4487-A7DE-E222667BF51D}"/>
</file>

<file path=customXml/itemProps2.xml><?xml version="1.0" encoding="utf-8"?>
<ds:datastoreItem xmlns:ds="http://schemas.openxmlformats.org/officeDocument/2006/customXml" ds:itemID="{C7BC6FB9-F4D1-4940-A0A6-1D3B2DBC6252}"/>
</file>

<file path=customXml/itemProps3.xml><?xml version="1.0" encoding="utf-8"?>
<ds:datastoreItem xmlns:ds="http://schemas.openxmlformats.org/officeDocument/2006/customXml" ds:itemID="{319C3116-BB26-4046-9CEE-30119B9D27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MOTEKI Yumiko (茂木 由美子)</cp:lastModifiedBy>
  <cp:revision/>
  <dcterms:created xsi:type="dcterms:W3CDTF">2024-09-18T03:10:58Z</dcterms:created>
  <dcterms:modified xsi:type="dcterms:W3CDTF">2024-10-07T05:35:01Z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