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3.作業計画と実績/"/>
    </mc:Choice>
  </mc:AlternateContent>
  <xr:revisionPtr revIDLastSave="100" documentId="8_{FE49A73B-5728-4FCC-ABB8-2BF59FAFF666}" xr6:coauthVersionLast="47" xr6:coauthVersionMax="47" xr10:uidLastSave="{0E81352A-13CD-4696-80E1-9530CEAFE5F2}"/>
  <bookViews>
    <workbookView xWindow="-120" yWindow="-120" windowWidth="20730" windowHeight="11160" activeTab="4" xr2:uid="{66D40786-C3EF-4208-8AC5-A8E28D46B20B}"/>
    <workbookView xWindow="20370" yWindow="-4650" windowWidth="29040" windowHeight="15840" xr2:uid="{5A5E0B32-2F09-43AB-9E5B-DE53E3BE1A3D}"/>
  </bookViews>
  <sheets>
    <sheet name="AOI1号機" sheetId="1" r:id="rId1"/>
    <sheet name="AOI2号機" sheetId="3" r:id="rId2"/>
    <sheet name="AOI3号機" sheetId="4" r:id="rId3"/>
    <sheet name="目視" sheetId="2" r:id="rId4"/>
    <sheet name="AOI計画" sheetId="6" r:id="rId5"/>
    <sheet name="目視計画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5" l="1"/>
  <c r="I7" i="5" s="1"/>
  <c r="H8" i="5" s="1"/>
  <c r="I8" i="5" s="1"/>
  <c r="H9" i="5" s="1"/>
  <c r="I9" i="5" s="1"/>
  <c r="H10" i="5" s="1"/>
  <c r="I10" i="5" s="1"/>
  <c r="H11" i="5" s="1"/>
  <c r="I11" i="5" s="1"/>
  <c r="H12" i="5" s="1"/>
  <c r="I12" i="5" s="1"/>
  <c r="H13" i="5" s="1"/>
  <c r="I13" i="5" s="1"/>
  <c r="H14" i="5" s="1"/>
  <c r="I14" i="5" s="1"/>
  <c r="I6" i="5"/>
  <c r="J31" i="6"/>
  <c r="J20" i="6"/>
  <c r="I21" i="6" s="1"/>
  <c r="J21" i="6" s="1"/>
  <c r="I22" i="6" s="1"/>
  <c r="J22" i="6" s="1"/>
  <c r="I23" i="6" s="1"/>
  <c r="J23" i="6" s="1"/>
  <c r="I24" i="6" s="1"/>
  <c r="J24" i="6" s="1"/>
  <c r="J6" i="6"/>
  <c r="I7" i="6" s="1"/>
  <c r="J7" i="6" s="1"/>
  <c r="I8" i="6" s="1"/>
  <c r="J8" i="6" s="1"/>
  <c r="I9" i="6" s="1"/>
  <c r="J9" i="6" s="1"/>
  <c r="I10" i="6" s="1"/>
  <c r="J10" i="6" s="1"/>
  <c r="I11" i="6" s="1"/>
  <c r="J11" i="6" s="1"/>
  <c r="I12" i="6" s="1"/>
  <c r="J12" i="6" s="1"/>
  <c r="I13" i="6" s="1"/>
  <c r="J13" i="6" s="1"/>
</calcChain>
</file>

<file path=xl/sharedStrings.xml><?xml version="1.0" encoding="utf-8"?>
<sst xmlns="http://schemas.openxmlformats.org/spreadsheetml/2006/main" count="231" uniqueCount="68">
  <si>
    <t>作業ガントチャート</t>
    <rPh sb="0" eb="2">
      <t>サギョウ</t>
    </rPh>
    <phoneticPr fontId="3"/>
  </si>
  <si>
    <t xml:space="preserve"> </t>
    <phoneticPr fontId="2"/>
  </si>
  <si>
    <t>No.</t>
  </si>
  <si>
    <t>品目</t>
    <phoneticPr fontId="3"/>
  </si>
  <si>
    <t>指図</t>
    <phoneticPr fontId="2"/>
  </si>
  <si>
    <t>作業項目</t>
    <phoneticPr fontId="3"/>
  </si>
  <si>
    <t>開始時間</t>
    <phoneticPr fontId="3"/>
  </si>
  <si>
    <t>終了時間</t>
    <phoneticPr fontId="3"/>
  </si>
  <si>
    <t>UR-05091-03</t>
  </si>
  <si>
    <t>UR-06101-01</t>
  </si>
  <si>
    <t>←マスタ未登録</t>
    <rPh sb="4" eb="7">
      <t>ミ</t>
    </rPh>
    <phoneticPr fontId="2"/>
  </si>
  <si>
    <t>品目名</t>
    <rPh sb="0" eb="3">
      <t>ヒンモクメイ</t>
    </rPh>
    <phoneticPr fontId="2"/>
  </si>
  <si>
    <t>指図</t>
    <rPh sb="0" eb="2">
      <t>サシズ</t>
    </rPh>
    <phoneticPr fontId="2"/>
  </si>
  <si>
    <t>台数</t>
    <rPh sb="0" eb="2">
      <t>ダイスウ</t>
    </rPh>
    <phoneticPr fontId="2"/>
  </si>
  <si>
    <t>ライン</t>
    <phoneticPr fontId="2"/>
  </si>
  <si>
    <t>SMT終了予定時刻</t>
    <rPh sb="3" eb="7">
      <t>シュウリョウヨテイ</t>
    </rPh>
    <rPh sb="7" eb="9">
      <t>ジコク</t>
    </rPh>
    <phoneticPr fontId="2"/>
  </si>
  <si>
    <t>AOI工数</t>
    <rPh sb="3" eb="5">
      <t>コウスウ</t>
    </rPh>
    <phoneticPr fontId="9"/>
  </si>
  <si>
    <t>目視工数</t>
    <rPh sb="0" eb="2">
      <t>モクシ</t>
    </rPh>
    <rPh sb="2" eb="4">
      <t>コウスウ</t>
    </rPh>
    <phoneticPr fontId="9"/>
  </si>
  <si>
    <t>AOI作業開始予定時刻</t>
    <rPh sb="3" eb="5">
      <t>サギョウ</t>
    </rPh>
    <rPh sb="5" eb="7">
      <t>カイシ</t>
    </rPh>
    <rPh sb="7" eb="9">
      <t>ヨテイ</t>
    </rPh>
    <rPh sb="9" eb="11">
      <t>ジコク</t>
    </rPh>
    <phoneticPr fontId="2"/>
  </si>
  <si>
    <t>AOI作業終了予定時刻</t>
    <rPh sb="5" eb="7">
      <t>シュウリョウ</t>
    </rPh>
    <phoneticPr fontId="2"/>
  </si>
  <si>
    <t>Line-1</t>
  </si>
  <si>
    <t>仕掛</t>
    <rPh sb="0" eb="2">
      <t>シカカリ</t>
    </rPh>
    <phoneticPr fontId="2"/>
  </si>
  <si>
    <t>Line-3</t>
  </si>
  <si>
    <t>―</t>
  </si>
  <si>
    <t>Line-2</t>
  </si>
  <si>
    <t>TypeID</t>
  </si>
  <si>
    <t>orderNumber</t>
  </si>
  <si>
    <t>目視開始予定</t>
    <rPh sb="0" eb="2">
      <t>モクシ</t>
    </rPh>
    <rPh sb="2" eb="6">
      <t>カイシヨテイ</t>
    </rPh>
    <phoneticPr fontId="2"/>
  </si>
  <si>
    <t>目視終了予定</t>
    <rPh sb="0" eb="2">
      <t>モクシ</t>
    </rPh>
    <rPh sb="2" eb="4">
      <t>シュウリョウ</t>
    </rPh>
    <rPh sb="4" eb="6">
      <t>ヨテイ</t>
    </rPh>
    <phoneticPr fontId="2"/>
  </si>
  <si>
    <t>10/21 目視</t>
    <phoneticPr fontId="2"/>
  </si>
  <si>
    <t>UR-0550</t>
  </si>
  <si>
    <t>211982134</t>
  </si>
  <si>
    <t>UR-0559-06</t>
    <phoneticPr fontId="2"/>
  </si>
  <si>
    <t>UT-1027</t>
  </si>
  <si>
    <t>211982633</t>
  </si>
  <si>
    <t>UT-1010</t>
  </si>
  <si>
    <t>211982632</t>
  </si>
  <si>
    <t>URS-0540</t>
  </si>
  <si>
    <t>211982666</t>
  </si>
  <si>
    <t>211980558</t>
  </si>
  <si>
    <t>211978923</t>
  </si>
  <si>
    <t>UR-4207-02</t>
  </si>
  <si>
    <t>211982660</t>
  </si>
  <si>
    <t>UR-43511</t>
  </si>
  <si>
    <t>211982662</t>
  </si>
  <si>
    <t>URS-42144-02</t>
  </si>
  <si>
    <t>211977901</t>
  </si>
  <si>
    <t>UR-0489</t>
  </si>
  <si>
    <t>211982630</t>
  </si>
  <si>
    <t>UR-4461</t>
  </si>
  <si>
    <t>211982664</t>
  </si>
  <si>
    <t>UR-42721</t>
  </si>
  <si>
    <t>211982661</t>
  </si>
  <si>
    <t>UR-0591</t>
  </si>
  <si>
    <t>211982658</t>
  </si>
  <si>
    <t>211982677</t>
  </si>
  <si>
    <t>AOI終了予定時刻</t>
    <rPh sb="3" eb="7">
      <t>シュウリョウヨテイ</t>
    </rPh>
    <rPh sb="7" eb="9">
      <t>ジコク</t>
    </rPh>
    <phoneticPr fontId="2"/>
  </si>
  <si>
    <t>UR-0511</t>
  </si>
  <si>
    <t>211982678</t>
  </si>
  <si>
    <t>UR-0523</t>
  </si>
  <si>
    <t>211982656</t>
  </si>
  <si>
    <t>211982685</t>
  </si>
  <si>
    <t>実績データなし</t>
    <rPh sb="0" eb="2">
      <t>ジッセキ</t>
    </rPh>
    <phoneticPr fontId="2"/>
  </si>
  <si>
    <t>計画</t>
    <rPh sb="0" eb="2">
      <t>ケイカク</t>
    </rPh>
    <phoneticPr fontId="2"/>
  </si>
  <si>
    <t>１号機で計画</t>
    <rPh sb="1" eb="3">
      <t>ゴウキ</t>
    </rPh>
    <rPh sb="4" eb="6">
      <t>ケイカク</t>
    </rPh>
    <phoneticPr fontId="2"/>
  </si>
  <si>
    <t>実績</t>
    <rPh sb="0" eb="2">
      <t>ジッセキ</t>
    </rPh>
    <phoneticPr fontId="2"/>
  </si>
  <si>
    <t>２号機で計画</t>
    <rPh sb="1" eb="3">
      <t>ゴウキ</t>
    </rPh>
    <rPh sb="4" eb="6">
      <t>ケイカク</t>
    </rPh>
    <phoneticPr fontId="2"/>
  </si>
  <si>
    <t>デバック待ち</t>
    <rPh sb="4" eb="5">
      <t>マ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</si>
</sst>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hh:mm"/>
    <numFmt numFmtId="177" formatCode="0.00&quot;h&quot;"/>
  </numFmts>
  <fonts count="10">
    <font>
      <sz val="11"/>
      <color theme="1"/>
      <name val="游ゴシック"/>
      <family val="2"/>
      <charset val="128"/>
      <scheme val="minor"/>
    </font>
    <font>
      <b/>
      <sz val="16"/>
      <color rgb="FF000000"/>
      <name val="游ゴシック"/>
      <family val="3"/>
      <charset val="128"/>
    </font>
    <font>
      <sz val="6"/>
      <name val="游ゴシック"/>
      <family val="2"/>
      <charset val="128"/>
      <scheme val="minor"/>
    </font>
    <font>
      <sz val="6"/>
      <name val="游ゴシック"/>
      <family val="2"/>
      <charset val="128"/>
    </font>
    <font>
      <sz val="7"/>
      <color theme="1"/>
      <name val="游ゴシック"/>
      <family val="3"/>
      <charset val="128"/>
      <scheme val="minor"/>
    </font>
    <font>
      <sz val="5"/>
      <color theme="1"/>
      <name val="游ゴシック"/>
      <family val="2"/>
      <charset val="128"/>
      <scheme val="minor"/>
    </font>
    <font>
      <sz val="11"/>
      <color rgb="FF000000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2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0" fontId="0" fillId="0" borderId="1" xfId="0" applyBorder="1">
      <alignment vertical="center"/>
    </xf>
    <xf numFmtId="20" fontId="0" fillId="0" borderId="1" xfId="0" applyNumberFormat="1" applyBorder="1" applyAlignment="1">
      <alignment horizontal="center" vertical="center"/>
    </xf>
    <xf numFmtId="20" fontId="6" fillId="0" borderId="1" xfId="0" applyNumberFormat="1" applyFont="1" applyBorder="1">
      <alignment vertical="center"/>
    </xf>
    <xf numFmtId="20" fontId="6" fillId="0" borderId="2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6" fillId="0" borderId="2" xfId="0" applyFont="1" applyBorder="1">
      <alignment vertical="center"/>
    </xf>
    <xf numFmtId="20" fontId="6" fillId="0" borderId="3" xfId="0" applyNumberFormat="1" applyFont="1" applyBorder="1">
      <alignment vertical="center"/>
    </xf>
    <xf numFmtId="20" fontId="6" fillId="0" borderId="4" xfId="0" applyNumberFormat="1" applyFont="1" applyBorder="1">
      <alignment vertical="center"/>
    </xf>
    <xf numFmtId="0" fontId="6" fillId="0" borderId="3" xfId="0" applyFont="1" applyBorder="1">
      <alignment vertical="center"/>
    </xf>
    <xf numFmtId="0" fontId="6" fillId="0" borderId="4" xfId="0" applyFont="1" applyBorder="1">
      <alignment vertical="center"/>
    </xf>
    <xf numFmtId="20" fontId="0" fillId="0" borderId="1" xfId="0" applyNumberFormat="1" applyBorder="1">
      <alignment vertical="center"/>
    </xf>
    <xf numFmtId="20" fontId="0" fillId="0" borderId="3" xfId="0" applyNumberFormat="1" applyBorder="1" applyAlignment="1">
      <alignment horizontal="center" vertical="center"/>
    </xf>
    <xf numFmtId="20" fontId="0" fillId="0" borderId="4" xfId="0" applyNumberFormat="1" applyBorder="1" applyAlignment="1">
      <alignment horizontal="center" vertical="center"/>
    </xf>
    <xf numFmtId="20" fontId="0" fillId="0" borderId="2" xfId="0" applyNumberFormat="1" applyBorder="1" applyAlignment="1">
      <alignment horizontal="center" vertical="center"/>
    </xf>
    <xf numFmtId="176" fontId="0" fillId="0" borderId="0" xfId="0" applyNumberFormat="1">
      <alignment vertical="center"/>
    </xf>
    <xf numFmtId="177" fontId="0" fillId="2" borderId="0" xfId="0" applyNumberFormat="1" applyFill="1">
      <alignment vertical="center"/>
    </xf>
    <xf numFmtId="177" fontId="0" fillId="0" borderId="1" xfId="0" applyNumberFormat="1" applyBorder="1">
      <alignment vertical="center"/>
    </xf>
    <xf numFmtId="177" fontId="0" fillId="0" borderId="0" xfId="0" applyNumberFormat="1">
      <alignment vertical="center"/>
    </xf>
    <xf numFmtId="176" fontId="8" fillId="0" borderId="0" xfId="0" applyNumberFormat="1" applyFont="1">
      <alignment vertical="center"/>
    </xf>
    <xf numFmtId="176" fontId="0" fillId="0" borderId="1" xfId="0" applyNumberFormat="1" applyBorder="1" applyAlignment="1">
      <alignment horizontal="right" vertical="center"/>
    </xf>
    <xf numFmtId="0" fontId="0" fillId="3" borderId="1" xfId="0" applyFill="1" applyBorder="1">
      <alignment vertical="center"/>
    </xf>
    <xf numFmtId="0" fontId="0" fillId="0" borderId="1" xfId="0" applyFill="1" applyBorder="1">
      <alignment vertical="center"/>
    </xf>
    <xf numFmtId="20" fontId="0" fillId="0" borderId="1" xfId="0" applyNumberFormat="1" applyFill="1" applyBorder="1" applyAlignment="1">
      <alignment horizontal="center" vertical="center"/>
    </xf>
    <xf numFmtId="20" fontId="0" fillId="0" borderId="1" xfId="0" applyNumberFormat="1" applyFill="1" applyBorder="1">
      <alignment vertical="center"/>
    </xf>
    <xf numFmtId="20" fontId="6" fillId="0" borderId="1" xfId="0" applyNumberFormat="1" applyFont="1" applyFill="1" applyBorder="1">
      <alignment vertical="center"/>
    </xf>
    <xf numFmtId="20" fontId="6" fillId="0" borderId="2" xfId="0" applyNumberFormat="1" applyFont="1" applyFill="1" applyBorder="1">
      <alignment vertical="center"/>
    </xf>
    <xf numFmtId="176" fontId="8" fillId="0" borderId="0" xfId="0" applyNumberFormat="1" applyFont="1" applyAlignment="1">
      <alignment horizontal="right" vertical="center"/>
    </xf>
    <xf numFmtId="176" fontId="7" fillId="0" borderId="1" xfId="0" applyNumberFormat="1" applyFont="1" applyBorder="1" applyAlignment="1">
      <alignment horizontal="left" vertical="center"/>
    </xf>
    <xf numFmtId="176" fontId="7" fillId="0" borderId="1" xfId="0" applyNumberFormat="1" applyFont="1" applyBorder="1" applyAlignment="1">
      <alignment horizontal="right" vertical="center"/>
    </xf>
    <xf numFmtId="176" fontId="8" fillId="0" borderId="1" xfId="0" applyNumberFormat="1" applyFont="1" applyBorder="1" applyAlignment="1">
      <alignment horizontal="right" vertical="center"/>
    </xf>
    <xf numFmtId="0" fontId="0" fillId="0" borderId="0" xfId="0" applyFill="1">
      <alignment vertical="center"/>
    </xf>
  </cellXfs>
  <cellStyles count="1">
    <cellStyle name="標準" xfId="0" builtinId="0"/>
  </cellStyles>
  <dxfs count="14"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358588</xdr:colOff>
      <xdr:row>4</xdr:row>
      <xdr:rowOff>89648</xdr:rowOff>
    </xdr:from>
    <xdr:to>
      <xdr:col>5</xdr:col>
      <xdr:colOff>22412</xdr:colOff>
      <xdr:row>6</xdr:row>
      <xdr:rowOff>134472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EDB26F4-04D6-D41C-3A55-ABAACC190485}"/>
            </a:ext>
          </a:extLst>
        </xdr:cNvPr>
        <xdr:cNvSpPr txBox="1"/>
      </xdr:nvSpPr>
      <xdr:spPr>
        <a:xfrm>
          <a:off x="661147" y="1154207"/>
          <a:ext cx="2846294" cy="58270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2000">
              <a:solidFill>
                <a:srgbClr val="FF0000"/>
              </a:solidFill>
            </a:rPr>
            <a:t>アンローダー故障中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248478</xdr:colOff>
      <xdr:row>0</xdr:row>
      <xdr:rowOff>207065</xdr:rowOff>
    </xdr:from>
    <xdr:to>
      <xdr:col>6</xdr:col>
      <xdr:colOff>0</xdr:colOff>
      <xdr:row>3</xdr:row>
      <xdr:rowOff>66261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FBD8220-393A-4C93-825E-887BA2F52F5A}"/>
            </a:ext>
          </a:extLst>
        </xdr:cNvPr>
        <xdr:cNvSpPr txBox="1"/>
      </xdr:nvSpPr>
      <xdr:spPr>
        <a:xfrm>
          <a:off x="934278" y="207065"/>
          <a:ext cx="5095047" cy="57357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</a:t>
          </a:r>
          <a:r>
            <a:rPr kumimoji="1" lang="en-US" altLang="ja-JP" sz="2000" b="1" baseline="0"/>
            <a:t> 1</a:t>
          </a:r>
          <a:r>
            <a:rPr kumimoji="1" lang="ja-JP" altLang="en-US" sz="2000" b="1" baseline="0"/>
            <a:t>号機</a:t>
          </a:r>
          <a:r>
            <a:rPr kumimoji="1" lang="ja-JP" altLang="en-US" sz="2000" b="1"/>
            <a:t>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15</xdr:row>
      <xdr:rowOff>0</xdr:rowOff>
    </xdr:from>
    <xdr:to>
      <xdr:col>6</xdr:col>
      <xdr:colOff>0</xdr:colOff>
      <xdr:row>17</xdr:row>
      <xdr:rowOff>28161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925975A5-EE95-428A-B4F1-C29A9AFEB1FE}"/>
            </a:ext>
          </a:extLst>
        </xdr:cNvPr>
        <xdr:cNvSpPr txBox="1"/>
      </xdr:nvSpPr>
      <xdr:spPr>
        <a:xfrm>
          <a:off x="780222" y="3571875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AOI2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  <xdr:twoCellAnchor>
    <xdr:from>
      <xdr:col>1</xdr:col>
      <xdr:colOff>94422</xdr:colOff>
      <xdr:row>26</xdr:row>
      <xdr:rowOff>0</xdr:rowOff>
    </xdr:from>
    <xdr:to>
      <xdr:col>6</xdr:col>
      <xdr:colOff>0</xdr:colOff>
      <xdr:row>28</xdr:row>
      <xdr:rowOff>28161</xdr:rowOff>
    </xdr:to>
    <xdr:sp macro="" textlink="">
      <xdr:nvSpPr>
        <xdr:cNvPr id="7" name="テキスト ボックス 6">
          <a:extLst>
            <a:ext uri="{FF2B5EF4-FFF2-40B4-BE49-F238E27FC236}">
              <a16:creationId xmlns:a16="http://schemas.microsoft.com/office/drawing/2014/main" id="{2C7FBF0D-A4B2-4991-AF53-E9FED4587B54}"/>
            </a:ext>
          </a:extLst>
        </xdr:cNvPr>
        <xdr:cNvSpPr txBox="1"/>
      </xdr:nvSpPr>
      <xdr:spPr>
        <a:xfrm>
          <a:off x="780222" y="6191250"/>
          <a:ext cx="5249103" cy="5044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2000" b="1"/>
            <a:t>AOI3</a:t>
          </a:r>
          <a:r>
            <a:rPr kumimoji="1" lang="ja-JP" altLang="en-US" sz="2000" b="1"/>
            <a:t>号機作業計画</a:t>
          </a:r>
          <a:endParaRPr kumimoji="1" lang="en-US" altLang="ja-JP" sz="2000" b="1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16565</xdr:colOff>
      <xdr:row>0</xdr:row>
      <xdr:rowOff>124240</xdr:rowOff>
    </xdr:from>
    <xdr:to>
      <xdr:col>5</xdr:col>
      <xdr:colOff>0</xdr:colOff>
      <xdr:row>2</xdr:row>
      <xdr:rowOff>223632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3383787-BF4F-483B-BC3A-8487B1CEB3BB}"/>
            </a:ext>
          </a:extLst>
        </xdr:cNvPr>
        <xdr:cNvSpPr txBox="1"/>
      </xdr:nvSpPr>
      <xdr:spPr>
        <a:xfrm>
          <a:off x="702365" y="7744240"/>
          <a:ext cx="3517210" cy="5756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2000" b="1"/>
            <a:t>目視作業計画</a:t>
          </a:r>
          <a:endParaRPr kumimoji="1" lang="en-US" altLang="ja-JP" sz="20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D5B3A-2AE2-4EA3-90E3-02841C68473D}">
  <sheetPr codeName="Sheet1"/>
  <dimension ref="A1:DH131"/>
  <sheetViews>
    <sheetView workbookViewId="0">
      <pane xSplit="6" ySplit="3" topLeftCell="BI4" activePane="bottomRight" state="frozen"/>
      <selection pane="topRight" activeCell="G1" sqref="G1"/>
      <selection pane="bottomLeft" activeCell="A4" sqref="A4"/>
      <selection pane="bottomRight" activeCell="G4" sqref="G4"/>
    </sheetView>
    <sheetView tabSelected="1" workbookViewId="1">
      <selection activeCell="D27" sqref="D27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37</v>
      </c>
      <c r="C4" s="6">
        <v>211982666</v>
      </c>
      <c r="D4" s="6" t="s">
        <v>65</v>
      </c>
      <c r="E4" s="7">
        <v>0.76011574074074073</v>
      </c>
      <c r="F4" s="7">
        <v>0.76891203703703703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 t="s">
        <v>65</v>
      </c>
      <c r="E5" s="7">
        <v>0.79197916666666668</v>
      </c>
      <c r="F5" s="7">
        <v>0.79538194444444443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 t="s">
        <v>63</v>
      </c>
      <c r="E6" s="7">
        <v>0.77292436045175184</v>
      </c>
      <c r="F6" s="7">
        <v>0.81736880489619623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51</v>
      </c>
      <c r="C7" s="6">
        <v>211982661</v>
      </c>
      <c r="D7" s="6" t="s">
        <v>65</v>
      </c>
      <c r="E7" s="7">
        <v>0.77172453703703703</v>
      </c>
      <c r="F7" s="7">
        <v>0.7744212962962963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 t="s">
        <v>65</v>
      </c>
      <c r="E8" s="7">
        <v>0.79549768518518515</v>
      </c>
      <c r="F8" s="7">
        <v>0.80008101851851854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26" t="s">
        <v>66</v>
      </c>
      <c r="D9" s="6" t="s">
        <v>63</v>
      </c>
      <c r="E9" s="7">
        <v>0.82023429506533141</v>
      </c>
      <c r="F9" s="7">
        <v>0.83144761877862505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35</v>
      </c>
      <c r="C10" s="6">
        <v>211982632</v>
      </c>
      <c r="D10" s="6" t="s">
        <v>65</v>
      </c>
      <c r="E10" s="7">
        <v>0.77453703703703702</v>
      </c>
      <c r="F10" s="7">
        <v>0.78337962962962959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65</v>
      </c>
      <c r="E11" s="7">
        <v>0.8003703703703704</v>
      </c>
      <c r="F11" s="7">
        <v>0.80476851851851849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 t="s">
        <v>63</v>
      </c>
      <c r="E12" s="7">
        <v>0.76280608788230742</v>
      </c>
      <c r="F12" s="7">
        <v>0.77292436045175184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53</v>
      </c>
      <c r="C13" s="6">
        <v>211982658</v>
      </c>
      <c r="D13" s="6" t="s">
        <v>65</v>
      </c>
      <c r="E13" s="7">
        <v>0.78348379629629628</v>
      </c>
      <c r="F13" s="7">
        <v>0.791875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26" t="s">
        <v>66</v>
      </c>
      <c r="D14" s="6" t="s">
        <v>63</v>
      </c>
      <c r="E14" s="7">
        <v>0.83144761877862505</v>
      </c>
      <c r="F14" s="7">
        <v>0.8814476187786251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 t="s">
        <v>33</v>
      </c>
      <c r="C15" s="6">
        <v>211982633</v>
      </c>
      <c r="D15" s="6" t="s">
        <v>65</v>
      </c>
      <c r="E15" s="7">
        <v>0.82104166666666667</v>
      </c>
      <c r="F15" s="7">
        <v>0.82112268518518516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 t="s">
        <v>65</v>
      </c>
      <c r="E16" s="7">
        <v>0.82126157407407407</v>
      </c>
      <c r="F16" s="7">
        <v>0.84987268518518522</v>
      </c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 t="s">
        <v>63</v>
      </c>
      <c r="E17" s="7">
        <v>0.75</v>
      </c>
      <c r="F17" s="7">
        <v>0.76280608788230742</v>
      </c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 t="s">
        <v>8</v>
      </c>
      <c r="C18" s="6">
        <v>211980558</v>
      </c>
      <c r="D18" s="6" t="s">
        <v>65</v>
      </c>
      <c r="E18" s="7">
        <v>0.88907407407407413</v>
      </c>
      <c r="F18" s="7">
        <v>0.98069444444444442</v>
      </c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 t="s">
        <v>65</v>
      </c>
      <c r="E19" s="7">
        <v>0.9808796296296296</v>
      </c>
      <c r="F19" s="7">
        <v>1.6319444444444445E-3</v>
      </c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 t="s">
        <v>63</v>
      </c>
      <c r="E20" s="7">
        <v>0.81736880489619623</v>
      </c>
      <c r="F20" s="7">
        <v>0.9185592810866724</v>
      </c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 t="s">
        <v>9</v>
      </c>
      <c r="C21" s="6">
        <v>211978923</v>
      </c>
      <c r="D21" s="6" t="s">
        <v>65</v>
      </c>
      <c r="E21" s="7">
        <v>1.7476851851851852E-3</v>
      </c>
      <c r="F21" s="7">
        <v>2.4953703703703704E-2</v>
      </c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 t="s">
        <v>65</v>
      </c>
      <c r="E22" s="7">
        <v>2.5069444444444443E-2</v>
      </c>
      <c r="F22" s="7">
        <v>3.1631944444444442E-2</v>
      </c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 t="s">
        <v>63</v>
      </c>
      <c r="E23" s="7">
        <v>0.9185592810866724</v>
      </c>
      <c r="F23" s="7">
        <v>0.94998428748987329</v>
      </c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 t="s">
        <v>67</v>
      </c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 t="s">
        <v>45</v>
      </c>
      <c r="C26" s="6" t="s">
        <v>46</v>
      </c>
      <c r="D26" s="6" t="s">
        <v>63</v>
      </c>
      <c r="E26" s="7">
        <v>0.97505109157251701</v>
      </c>
      <c r="F26" s="7">
        <v>1.035782195588576</v>
      </c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8"/>
      <c r="F30" s="9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8"/>
      <c r="F32" s="9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8"/>
      <c r="F34" s="9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7"/>
      <c r="F43" s="7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7"/>
      <c r="F45" s="7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19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8"/>
      <c r="F52" s="9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8"/>
      <c r="F54" s="9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8"/>
      <c r="F55" s="9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7"/>
      <c r="F59" s="7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7"/>
      <c r="F60" s="7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7"/>
      <c r="F61" s="7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.6" customHeight="1">
      <c r="A67" s="6"/>
      <c r="B67" s="6"/>
      <c r="C67" s="6"/>
      <c r="D67" s="6"/>
      <c r="E67" s="7"/>
      <c r="F67" s="7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.6" customHeight="1">
      <c r="A68" s="6"/>
      <c r="B68" s="6"/>
      <c r="C68" s="6"/>
      <c r="D68" s="6"/>
      <c r="E68" s="7"/>
      <c r="F68" s="7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.6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.6" customHeight="1">
      <c r="A70" s="6"/>
      <c r="B70" s="6"/>
      <c r="C70" s="6"/>
      <c r="D70" s="6"/>
      <c r="E70" s="7"/>
      <c r="F70" s="7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.6" customHeight="1">
      <c r="A71" s="6"/>
      <c r="B71" s="6"/>
      <c r="C71" s="6"/>
      <c r="D71" s="6"/>
      <c r="E71" s="7"/>
      <c r="F71" s="7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.6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7"/>
      <c r="F74" s="7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7"/>
      <c r="F81" s="7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12"/>
      <c r="F86" s="13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12"/>
      <c r="F87" s="13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12"/>
      <c r="F88" s="13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6"/>
      <c r="D90" s="6"/>
      <c r="E90" s="7"/>
      <c r="F90" s="7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  <row r="93" spans="1:112" ht="21.6" customHeight="1">
      <c r="A93" s="6"/>
      <c r="B93" s="6"/>
      <c r="C93" s="6"/>
      <c r="D93" s="6"/>
      <c r="E93" s="7"/>
      <c r="F93" s="7"/>
      <c r="G93" s="7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6"/>
      <c r="BY93" s="6"/>
      <c r="BZ93" s="6"/>
      <c r="CA93" s="6"/>
      <c r="CB93" s="6"/>
      <c r="CC93" s="6"/>
      <c r="CD93" s="6"/>
      <c r="CE93" s="6"/>
      <c r="CF93" s="6"/>
      <c r="CG93" s="6"/>
      <c r="CH93" s="6"/>
      <c r="CI93" s="6"/>
      <c r="CJ93" s="6"/>
      <c r="CK93" s="6"/>
      <c r="CL93" s="6"/>
      <c r="CM93" s="6"/>
      <c r="CN93" s="6"/>
      <c r="CO93" s="6"/>
      <c r="CP93" s="6"/>
      <c r="CQ93" s="6"/>
      <c r="CR93" s="6"/>
      <c r="CS93" s="6"/>
      <c r="CT93" s="6"/>
      <c r="CU93" s="6"/>
      <c r="CV93" s="6"/>
      <c r="CW93" s="6"/>
      <c r="CX93" s="6"/>
      <c r="CY93" s="6"/>
      <c r="CZ93" s="6"/>
      <c r="DA93" s="6"/>
      <c r="DB93" s="6"/>
      <c r="DC93" s="6"/>
      <c r="DD93" s="6"/>
      <c r="DE93" s="6"/>
      <c r="DF93" s="6"/>
      <c r="DG93" s="6"/>
      <c r="DH93" s="6"/>
    </row>
    <row r="94" spans="1:112" ht="21.6" customHeight="1">
      <c r="A94" s="6"/>
      <c r="B94" s="6"/>
      <c r="C94" s="6"/>
      <c r="D94" s="6"/>
      <c r="E94" s="17"/>
      <c r="F94" s="18"/>
      <c r="G94" s="7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6"/>
      <c r="BY94" s="6"/>
      <c r="BZ94" s="6"/>
      <c r="CA94" s="6"/>
      <c r="CB94" s="6"/>
      <c r="CC94" s="6"/>
      <c r="CD94" s="6"/>
      <c r="CE94" s="6"/>
      <c r="CF94" s="6"/>
      <c r="CG94" s="6"/>
      <c r="CH94" s="6"/>
      <c r="CI94" s="6"/>
      <c r="CJ94" s="6"/>
      <c r="CK94" s="6"/>
      <c r="CL94" s="6"/>
      <c r="CM94" s="6"/>
      <c r="CN94" s="6"/>
      <c r="CO94" s="6"/>
      <c r="CP94" s="6"/>
      <c r="CQ94" s="6"/>
      <c r="CR94" s="6"/>
      <c r="CS94" s="6"/>
      <c r="CT94" s="6"/>
      <c r="CU94" s="6"/>
      <c r="CV94" s="6"/>
      <c r="CW94" s="6"/>
      <c r="CX94" s="6"/>
      <c r="CY94" s="6"/>
      <c r="CZ94" s="6"/>
      <c r="DA94" s="6"/>
      <c r="DB94" s="6"/>
      <c r="DC94" s="6"/>
      <c r="DD94" s="6"/>
      <c r="DE94" s="6"/>
      <c r="DF94" s="6"/>
      <c r="DG94" s="6"/>
      <c r="DH94" s="6"/>
    </row>
    <row r="95" spans="1:112" ht="21.6" customHeight="1">
      <c r="A95" s="6"/>
      <c r="B95" s="6"/>
      <c r="C95" s="6"/>
      <c r="D95" s="6"/>
      <c r="E95" s="12"/>
      <c r="F95" s="13"/>
      <c r="G95" s="7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6"/>
      <c r="BY95" s="6"/>
      <c r="BZ95" s="6"/>
      <c r="CA95" s="6"/>
      <c r="CB95" s="6"/>
      <c r="CC95" s="6"/>
      <c r="CD95" s="6"/>
      <c r="CE95" s="6"/>
      <c r="CF95" s="6"/>
      <c r="CG95" s="6"/>
      <c r="CH95" s="6"/>
      <c r="CI95" s="6"/>
      <c r="CJ95" s="6"/>
      <c r="CK95" s="6"/>
      <c r="CL95" s="6"/>
      <c r="CM95" s="6"/>
      <c r="CN95" s="6"/>
      <c r="CO95" s="6"/>
      <c r="CP95" s="6"/>
      <c r="CQ95" s="6"/>
      <c r="CR95" s="6"/>
      <c r="CS95" s="6"/>
      <c r="CT95" s="6"/>
      <c r="CU95" s="6"/>
      <c r="CV95" s="6"/>
      <c r="CW95" s="6"/>
      <c r="CX95" s="6"/>
      <c r="CY95" s="6"/>
      <c r="CZ95" s="6"/>
      <c r="DA95" s="6"/>
      <c r="DB95" s="6"/>
      <c r="DC95" s="6"/>
      <c r="DD95" s="6"/>
      <c r="DE95" s="6"/>
      <c r="DF95" s="6"/>
      <c r="DG95" s="6"/>
      <c r="DH95" s="6"/>
    </row>
    <row r="96" spans="1:112" ht="21.6" customHeight="1">
      <c r="A96" s="6"/>
      <c r="B96" s="6"/>
      <c r="C96" s="6"/>
      <c r="D96" s="6"/>
      <c r="E96" s="12"/>
      <c r="F96" s="13"/>
      <c r="G96" s="7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6"/>
      <c r="BY96" s="6"/>
      <c r="BZ96" s="6"/>
      <c r="CA96" s="6"/>
      <c r="CB96" s="6"/>
      <c r="CC96" s="6"/>
      <c r="CD96" s="6"/>
      <c r="CE96" s="6"/>
      <c r="CF96" s="6"/>
      <c r="CG96" s="6"/>
      <c r="CH96" s="6"/>
      <c r="CI96" s="6"/>
      <c r="CJ96" s="6"/>
      <c r="CK96" s="6"/>
      <c r="CL96" s="6"/>
      <c r="CM96" s="6"/>
      <c r="CN96" s="6"/>
      <c r="CO96" s="6"/>
      <c r="CP96" s="6"/>
      <c r="CQ96" s="6"/>
      <c r="CR96" s="6"/>
      <c r="CS96" s="6"/>
      <c r="CT96" s="6"/>
      <c r="CU96" s="6"/>
      <c r="CV96" s="6"/>
      <c r="CW96" s="6"/>
      <c r="CX96" s="6"/>
      <c r="CY96" s="6"/>
      <c r="CZ96" s="6"/>
      <c r="DA96" s="6"/>
      <c r="DB96" s="6"/>
      <c r="DC96" s="6"/>
      <c r="DD96" s="6"/>
      <c r="DE96" s="6"/>
      <c r="DF96" s="6"/>
      <c r="DG96" s="6"/>
      <c r="DH96" s="6"/>
    </row>
    <row r="97" spans="1:112" ht="21" customHeight="1">
      <c r="A97" s="6"/>
      <c r="B97" s="6"/>
      <c r="C97" s="6"/>
      <c r="D97" s="6"/>
      <c r="E97" s="7"/>
      <c r="F97" s="7"/>
      <c r="G97" s="7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/>
      <c r="CA97" s="6"/>
      <c r="CB97" s="6"/>
      <c r="CC97" s="6"/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/>
      <c r="CY97" s="6"/>
      <c r="CZ97" s="6"/>
      <c r="DA97" s="6"/>
      <c r="DB97" s="6"/>
      <c r="DC97" s="6"/>
      <c r="DD97" s="6"/>
      <c r="DE97" s="6"/>
      <c r="DF97" s="6"/>
      <c r="DG97" s="6"/>
      <c r="DH97" s="6"/>
    </row>
    <row r="98" spans="1:112" ht="21.6" customHeight="1">
      <c r="A98" s="6"/>
      <c r="B98" s="6"/>
      <c r="C98" s="6"/>
      <c r="D98" s="6"/>
      <c r="E98" s="7"/>
      <c r="F98" s="7"/>
      <c r="G98" s="7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</row>
    <row r="99" spans="1:112" ht="21.6" customHeight="1">
      <c r="A99" s="6"/>
      <c r="B99" s="6"/>
      <c r="C99" s="6"/>
      <c r="D99" s="6"/>
      <c r="E99" s="7"/>
      <c r="F99" s="7"/>
      <c r="G99" s="7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</row>
    <row r="100" spans="1:112" ht="21.6" customHeight="1">
      <c r="A100" s="6"/>
      <c r="B100" s="6"/>
      <c r="C100" s="6"/>
      <c r="D100" s="6"/>
      <c r="E100" s="7"/>
      <c r="F100" s="7"/>
      <c r="G100" s="7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</row>
    <row r="101" spans="1:112" ht="21.6" customHeight="1">
      <c r="A101" s="6"/>
      <c r="B101" s="6"/>
      <c r="C101" s="6"/>
      <c r="D101" s="6"/>
      <c r="E101" s="7"/>
      <c r="F101" s="7"/>
      <c r="G101" s="7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</row>
    <row r="102" spans="1:112" ht="21.6" customHeight="1">
      <c r="A102" s="6"/>
      <c r="B102" s="6"/>
      <c r="C102" s="6"/>
      <c r="D102" s="6"/>
      <c r="E102" s="7"/>
      <c r="F102" s="7"/>
      <c r="G102" s="7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</row>
    <row r="103" spans="1:112" ht="21.6" customHeight="1">
      <c r="A103" s="6"/>
      <c r="B103" s="6"/>
      <c r="C103" s="6"/>
      <c r="D103" s="6"/>
      <c r="E103" s="7"/>
      <c r="F103" s="7"/>
      <c r="G103" s="7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</row>
    <row r="104" spans="1:112" ht="21.6" customHeight="1">
      <c r="A104" s="6"/>
      <c r="B104" s="6"/>
      <c r="C104" s="6"/>
      <c r="D104" s="6"/>
      <c r="E104" s="7"/>
      <c r="F104" s="7"/>
      <c r="G104" s="7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</row>
    <row r="105" spans="1:112" ht="21.6" customHeight="1">
      <c r="A105" s="6"/>
      <c r="B105" s="6"/>
      <c r="C105" s="6"/>
      <c r="D105" s="6"/>
      <c r="E105" s="7"/>
      <c r="F105" s="7"/>
      <c r="G105" s="7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</row>
    <row r="106" spans="1:112" ht="21.6" customHeight="1">
      <c r="A106" s="6"/>
      <c r="B106" s="6"/>
      <c r="C106" s="6"/>
      <c r="D106" s="6"/>
      <c r="E106" s="7"/>
      <c r="F106" s="7"/>
      <c r="G106" s="7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</row>
    <row r="107" spans="1:112" ht="21.6" customHeight="1">
      <c r="A107" s="6"/>
      <c r="B107" s="6"/>
      <c r="C107" s="6"/>
      <c r="D107" s="6"/>
      <c r="E107" s="7"/>
      <c r="F107" s="7"/>
      <c r="G107" s="7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</row>
    <row r="108" spans="1:112" ht="21.6" customHeight="1">
      <c r="A108" s="6"/>
      <c r="B108" s="6"/>
      <c r="C108" s="6"/>
      <c r="D108" s="6"/>
      <c r="E108" s="12"/>
      <c r="F108" s="13"/>
      <c r="G108" s="7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</row>
    <row r="109" spans="1:112" ht="21.6" customHeight="1">
      <c r="A109" s="6"/>
      <c r="B109" s="6"/>
      <c r="C109" s="6"/>
      <c r="D109" s="6"/>
      <c r="E109" s="7"/>
      <c r="F109" s="7"/>
      <c r="G109" s="7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</row>
    <row r="110" spans="1:112" ht="21.6" customHeight="1">
      <c r="A110" s="6"/>
      <c r="B110" s="6"/>
      <c r="C110" s="11"/>
      <c r="D110" s="6"/>
      <c r="E110" s="12"/>
      <c r="F110" s="13"/>
      <c r="G110" s="7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</row>
    <row r="111" spans="1:112" ht="21.6" customHeight="1">
      <c r="A111" s="6"/>
      <c r="B111" s="6"/>
      <c r="C111" s="6"/>
      <c r="D111" s="6"/>
      <c r="E111" s="7"/>
      <c r="F111" s="7"/>
      <c r="G111" s="7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</row>
    <row r="112" spans="1:112" ht="21.6" customHeight="1">
      <c r="A112" s="6"/>
      <c r="B112" s="14"/>
      <c r="C112" s="15"/>
      <c r="D112" s="6"/>
      <c r="E112" s="12"/>
      <c r="F112" s="13"/>
      <c r="G112" s="7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</row>
    <row r="113" spans="1:112" ht="21.6" customHeight="1">
      <c r="A113" s="6"/>
      <c r="B113" s="6"/>
      <c r="C113" s="6"/>
      <c r="D113" s="6"/>
      <c r="E113" s="7"/>
      <c r="F113" s="7"/>
      <c r="G113" s="7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</row>
    <row r="114" spans="1:112" ht="21.6" customHeight="1">
      <c r="A114" s="6"/>
      <c r="B114" s="6"/>
      <c r="C114" s="6"/>
      <c r="D114" s="6"/>
      <c r="E114" s="7"/>
      <c r="F114" s="7"/>
      <c r="G114" s="7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</row>
    <row r="115" spans="1:112" ht="21.6" customHeight="1">
      <c r="A115" s="6"/>
      <c r="B115" s="6"/>
      <c r="C115" s="15"/>
      <c r="D115" s="6"/>
      <c r="E115" s="12"/>
      <c r="F115" s="13"/>
      <c r="G115" s="7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</row>
    <row r="116" spans="1:112" ht="21.6" customHeight="1">
      <c r="A116" s="6"/>
      <c r="B116" s="10"/>
      <c r="C116" s="11"/>
      <c r="D116" s="6"/>
      <c r="E116" s="12"/>
      <c r="F116" s="13"/>
      <c r="G116" s="7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</row>
    <row r="117" spans="1:112" ht="21.6" customHeight="1">
      <c r="A117" s="6"/>
      <c r="B117" s="6"/>
      <c r="C117" s="15"/>
      <c r="D117" s="6"/>
      <c r="E117" s="12"/>
      <c r="F117" s="13"/>
      <c r="G117" s="7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</row>
    <row r="118" spans="1:112" ht="21.6" customHeight="1">
      <c r="A118" s="6"/>
      <c r="B118" s="14"/>
      <c r="C118" s="15"/>
      <c r="D118" s="6"/>
      <c r="E118" s="12"/>
      <c r="F118" s="13"/>
      <c r="G118" s="7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</row>
    <row r="119" spans="1:112" ht="21.6" customHeight="1">
      <c r="A119" s="6"/>
      <c r="B119" s="6"/>
      <c r="C119" s="15"/>
      <c r="D119" s="6"/>
      <c r="E119" s="12"/>
      <c r="F119" s="13"/>
      <c r="G119" s="7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</row>
    <row r="120" spans="1:112" ht="21.6" customHeight="1">
      <c r="A120" s="6"/>
      <c r="B120" s="14"/>
      <c r="C120" s="15"/>
      <c r="D120" s="6"/>
      <c r="E120" s="12"/>
      <c r="F120" s="13"/>
      <c r="G120" s="7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</row>
    <row r="121" spans="1:112" ht="21.6" customHeight="1">
      <c r="A121" s="6"/>
      <c r="B121" s="6"/>
      <c r="C121" s="15"/>
      <c r="D121" s="6"/>
      <c r="E121" s="12"/>
      <c r="F121" s="13"/>
      <c r="G121" s="7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</row>
    <row r="122" spans="1:112" ht="21.6" customHeight="1">
      <c r="A122" s="6"/>
      <c r="B122" s="14"/>
      <c r="C122" s="15"/>
      <c r="D122" s="6"/>
      <c r="E122" s="12"/>
      <c r="F122" s="13"/>
      <c r="G122" s="7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</row>
    <row r="123" spans="1:112" ht="21.6" customHeight="1">
      <c r="A123" s="6"/>
      <c r="B123" s="6"/>
      <c r="C123" s="15"/>
      <c r="D123" s="6"/>
      <c r="E123" s="12"/>
      <c r="F123" s="13"/>
      <c r="G123" s="7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</row>
    <row r="124" spans="1:112" ht="21.6" customHeight="1">
      <c r="A124" s="6"/>
      <c r="B124" s="14"/>
      <c r="C124" s="15"/>
      <c r="D124" s="6"/>
      <c r="E124" s="12"/>
      <c r="F124" s="13"/>
      <c r="G124" s="7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</row>
    <row r="125" spans="1:112" ht="21.6" customHeight="1">
      <c r="A125" s="6"/>
      <c r="B125" s="6"/>
      <c r="C125" s="15"/>
      <c r="D125" s="6"/>
      <c r="E125" s="12"/>
      <c r="F125" s="13"/>
      <c r="G125" s="7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</row>
    <row r="126" spans="1:112" ht="21.6" customHeight="1">
      <c r="A126" s="6"/>
      <c r="B126" s="14"/>
      <c r="C126" s="15"/>
      <c r="D126" s="6"/>
      <c r="E126" s="12"/>
      <c r="F126" s="13"/>
      <c r="G126" s="7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</row>
    <row r="127" spans="1:112" ht="21.6" customHeight="1">
      <c r="A127" s="6"/>
      <c r="B127" s="6"/>
      <c r="C127" s="15"/>
      <c r="D127" s="6"/>
      <c r="E127" s="12"/>
      <c r="F127" s="13"/>
      <c r="G127" s="7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</row>
    <row r="128" spans="1:112" ht="21.6" customHeight="1">
      <c r="A128" s="6"/>
      <c r="B128" s="14"/>
      <c r="C128" s="15"/>
      <c r="D128" s="6"/>
      <c r="E128" s="12"/>
      <c r="F128" s="13"/>
      <c r="G128" s="7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</row>
    <row r="129" spans="1:112" ht="21.6" customHeight="1">
      <c r="A129" s="6"/>
      <c r="B129" s="6"/>
      <c r="C129" s="15"/>
      <c r="D129" s="6"/>
      <c r="E129" s="12"/>
      <c r="F129" s="13"/>
      <c r="G129" s="7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</row>
    <row r="130" spans="1:112" ht="21.6" customHeight="1">
      <c r="A130" s="6"/>
      <c r="B130" s="14"/>
      <c r="C130" s="15"/>
      <c r="D130" s="6"/>
      <c r="E130" s="12"/>
      <c r="F130" s="13"/>
      <c r="G130" s="7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</row>
    <row r="131" spans="1:112" ht="21.6" customHeight="1">
      <c r="A131" s="6"/>
      <c r="B131" s="6"/>
      <c r="C131" s="6"/>
      <c r="D131" s="6"/>
      <c r="E131" s="7"/>
      <c r="F131" s="7"/>
      <c r="G131" s="7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</row>
  </sheetData>
  <phoneticPr fontId="2"/>
  <conditionalFormatting sqref="G4:DH134">
    <cfRule type="expression" dxfId="12" priority="5">
      <formula>AND($D4="計画", $E4 &lt;= F$3, F$3 &lt; $F4 + IF($F4 &lt; $E4, 1, 0))</formula>
    </cfRule>
  </conditionalFormatting>
  <conditionalFormatting sqref="H4:DH134">
    <cfRule type="expression" dxfId="11" priority="6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13194F-FECE-499E-8D65-8EEC10A1778C}">
  <dimension ref="A1:DH66"/>
  <sheetViews>
    <sheetView workbookViewId="0">
      <selection activeCell="D18" sqref="D18"/>
    </sheetView>
    <sheetView workbookViewId="1">
      <selection activeCell="B17" sqref="B17:F19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 t="s">
        <v>47</v>
      </c>
      <c r="C4" s="6">
        <v>211982630</v>
      </c>
      <c r="D4" s="6" t="s">
        <v>65</v>
      </c>
      <c r="E4" s="7">
        <v>0.72090277777777778</v>
      </c>
      <c r="F4" s="7">
        <v>0.74334490740740744</v>
      </c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27"/>
      <c r="C5" s="27"/>
      <c r="D5" s="27" t="s">
        <v>63</v>
      </c>
      <c r="E5" s="28">
        <v>0.75</v>
      </c>
      <c r="F5" s="28">
        <v>0.79972338236691876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41</v>
      </c>
      <c r="C6" s="6">
        <v>211982660</v>
      </c>
      <c r="D6" s="6" t="s">
        <v>65</v>
      </c>
      <c r="E6" s="7">
        <v>0.7547800925925926</v>
      </c>
      <c r="F6" s="7">
        <v>0.88518518518518519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27"/>
      <c r="C7" s="26" t="s">
        <v>64</v>
      </c>
      <c r="D7" s="27" t="s">
        <v>63</v>
      </c>
      <c r="E7" s="28"/>
      <c r="F7" s="28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41</v>
      </c>
      <c r="C8" s="6">
        <v>211982677</v>
      </c>
      <c r="D8" s="6" t="s">
        <v>65</v>
      </c>
      <c r="E8" s="7">
        <v>0.8853240740740741</v>
      </c>
      <c r="F8" s="7">
        <v>0.88542824074074078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27"/>
      <c r="C9" s="27"/>
      <c r="D9" s="27" t="s">
        <v>63</v>
      </c>
      <c r="E9" s="28">
        <v>0.8814476187786251</v>
      </c>
      <c r="F9" s="28">
        <v>0.89458210363728297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49</v>
      </c>
      <c r="C10" s="6">
        <v>211982664</v>
      </c>
      <c r="D10" s="6" t="s">
        <v>65</v>
      </c>
      <c r="E10" s="7">
        <v>0.9671643518518519</v>
      </c>
      <c r="F10" s="7">
        <v>0.97403935185185186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 t="s">
        <v>65</v>
      </c>
      <c r="E11" s="7">
        <v>0.9918865740740741</v>
      </c>
      <c r="F11" s="7">
        <v>0.99927083333333333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27"/>
      <c r="C12" s="27"/>
      <c r="D12" s="6" t="s">
        <v>63</v>
      </c>
      <c r="E12" s="28">
        <v>0.79972338236691876</v>
      </c>
      <c r="F12" s="28">
        <v>0.82023429506533141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43</v>
      </c>
      <c r="C13" s="6">
        <v>211982662</v>
      </c>
      <c r="D13" s="6" t="s">
        <v>65</v>
      </c>
      <c r="E13" s="7">
        <v>6.9097222222222225E-3</v>
      </c>
      <c r="F13" s="7">
        <v>1.8437499999999999E-2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 t="s">
        <v>65</v>
      </c>
      <c r="E14" s="7">
        <v>1.8599537037037036E-2</v>
      </c>
      <c r="F14" s="7">
        <v>2.2858796296296297E-2</v>
      </c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27"/>
      <c r="C15" s="26" t="s">
        <v>64</v>
      </c>
      <c r="D15" s="6" t="s">
        <v>63</v>
      </c>
      <c r="E15" s="28">
        <v>0.96311877234853116</v>
      </c>
      <c r="F15" s="28">
        <v>0.97505109157251701</v>
      </c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27"/>
      <c r="C16" s="27"/>
      <c r="D16" s="27"/>
      <c r="E16" s="28"/>
      <c r="F16" s="28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27"/>
      <c r="C17" s="27"/>
      <c r="D17" s="27"/>
      <c r="E17" s="28"/>
      <c r="F17" s="28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27"/>
      <c r="E18" s="29"/>
      <c r="F18" s="29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27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C17">
    <cfRule type="duplicateValues" dxfId="10" priority="2"/>
  </conditionalFormatting>
  <conditionalFormatting sqref="C18">
    <cfRule type="duplicateValues" dxfId="9" priority="1"/>
  </conditionalFormatting>
  <conditionalFormatting sqref="H4:DH69">
    <cfRule type="expression" dxfId="8" priority="3">
      <formula>AND($D4="計画", $E4 &lt;= G$3, G$3 &lt; $F4 + IF($F4 &lt; $E4, 1, 0))</formula>
    </cfRule>
    <cfRule type="expression" dxfId="7" priority="4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9DD66-17D1-4B9E-BFD4-D54398DB9601}">
  <dimension ref="A1:DH66"/>
  <sheetViews>
    <sheetView workbookViewId="0"/>
    <sheetView workbookViewId="1"/>
  </sheetViews>
  <sheetFormatPr defaultRowHeight="18.75"/>
  <cols>
    <col min="1" max="1" width="4" customWidth="1"/>
    <col min="2" max="2" width="14.625" customWidth="1"/>
    <col min="3" max="3" width="12.25" customWidth="1"/>
    <col min="5" max="5" width="6" bestFit="1" customWidth="1"/>
    <col min="6" max="6" width="5.875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J1" s="2"/>
      <c r="K1" t="s">
        <v>1</v>
      </c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6.9444444444444441E-3</v>
      </c>
      <c r="CY3" s="5">
        <v>1.3888888888888888E-2</v>
      </c>
      <c r="CZ3" s="5">
        <v>2.0833333333333301E-2</v>
      </c>
      <c r="DA3" s="5">
        <v>2.77777777777777E-2</v>
      </c>
      <c r="DB3" s="5">
        <v>3.4722222222222203E-2</v>
      </c>
      <c r="DC3" s="5">
        <v>4.1666666666666602E-2</v>
      </c>
      <c r="DD3" s="5">
        <v>4.8611111111111098E-2</v>
      </c>
      <c r="DE3" s="5">
        <v>5.5555555555555497E-2</v>
      </c>
      <c r="DF3" s="5">
        <v>6.25E-2</v>
      </c>
      <c r="DG3" s="5">
        <v>6.9444444444444406E-2</v>
      </c>
      <c r="DH3" s="5">
        <v>7.6388888888888895E-2</v>
      </c>
    </row>
    <row r="4" spans="1:112" ht="21.6" customHeight="1">
      <c r="A4" s="6"/>
      <c r="B4" s="6"/>
      <c r="C4" s="6"/>
      <c r="D4" s="6"/>
      <c r="E4" s="8"/>
      <c r="F4" s="9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/>
      <c r="C5" s="6"/>
      <c r="D5" s="6"/>
      <c r="E5" s="7"/>
      <c r="F5" s="7"/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/>
      <c r="C6" s="6"/>
      <c r="D6" s="6"/>
      <c r="E6" s="8"/>
      <c r="F6" s="9"/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/>
      <c r="C7" s="6"/>
      <c r="D7" s="6"/>
      <c r="E7" s="8"/>
      <c r="F7" s="9"/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/>
      <c r="C8" s="6"/>
      <c r="D8" s="6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/>
      <c r="C9" s="6"/>
      <c r="D9" s="6"/>
      <c r="E9" s="7"/>
      <c r="F9" s="7"/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/>
      <c r="C10" s="6"/>
      <c r="D10" s="6"/>
      <c r="E10" s="7"/>
      <c r="F10" s="7"/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/>
      <c r="C11" s="6"/>
      <c r="D11" s="6"/>
      <c r="E11" s="8"/>
      <c r="F11" s="9"/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/>
      <c r="C12" s="6"/>
      <c r="D12" s="6"/>
      <c r="E12" s="7"/>
      <c r="F12" s="7"/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/>
      <c r="C13" s="6"/>
      <c r="D13" s="6"/>
      <c r="E13" s="7"/>
      <c r="F13" s="7"/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6"/>
      <c r="C14" s="6"/>
      <c r="D14" s="6"/>
      <c r="E14" s="7"/>
      <c r="F14" s="7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6"/>
      <c r="C15" s="6"/>
      <c r="D15" s="6"/>
      <c r="E15" s="7"/>
      <c r="F15" s="7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6"/>
      <c r="C16" s="6"/>
      <c r="D16" s="6"/>
      <c r="E16" s="7"/>
      <c r="F16" s="7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6"/>
      <c r="C17" s="6"/>
      <c r="D17" s="6"/>
      <c r="E17" s="7"/>
      <c r="F17" s="7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6"/>
      <c r="C18" s="6"/>
      <c r="D18" s="6"/>
      <c r="E18" s="7"/>
      <c r="F18" s="7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6"/>
      <c r="C19" s="6"/>
      <c r="D19" s="6"/>
      <c r="E19" s="7"/>
      <c r="F19" s="7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6"/>
      <c r="C20" s="6"/>
      <c r="D20" s="6"/>
      <c r="E20" s="7"/>
      <c r="F20" s="7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6"/>
      <c r="C21" s="6"/>
      <c r="D21" s="6"/>
      <c r="E21" s="7"/>
      <c r="F21" s="7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6"/>
      <c r="C22" s="6"/>
      <c r="D22" s="6"/>
      <c r="E22" s="7"/>
      <c r="F22" s="7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6"/>
      <c r="C23" s="6"/>
      <c r="D23" s="6"/>
      <c r="E23" s="7"/>
      <c r="F23" s="7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6"/>
      <c r="C24" s="6"/>
      <c r="D24" s="6"/>
      <c r="E24" s="7"/>
      <c r="F24" s="7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6"/>
      <c r="C25" s="6"/>
      <c r="D25" s="6"/>
      <c r="E25" s="7"/>
      <c r="F25" s="7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6"/>
      <c r="C26" s="6"/>
      <c r="D26" s="6"/>
      <c r="E26" s="7"/>
      <c r="F26" s="7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6"/>
      <c r="C27" s="6"/>
      <c r="D27" s="6"/>
      <c r="E27" s="7"/>
      <c r="F27" s="7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6"/>
      <c r="C28" s="6"/>
      <c r="D28" s="6"/>
      <c r="E28" s="7"/>
      <c r="F28" s="7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7"/>
      <c r="F29" s="7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2"/>
      <c r="F30" s="13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" customHeight="1">
      <c r="A32" s="6"/>
      <c r="B32" s="6"/>
      <c r="C32" s="6"/>
      <c r="D32" s="6"/>
      <c r="E32" s="7"/>
      <c r="F32" s="7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7"/>
      <c r="F35" s="7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7"/>
      <c r="F36" s="7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7"/>
      <c r="F38" s="7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7"/>
      <c r="F40" s="7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7"/>
      <c r="F41" s="7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7"/>
      <c r="F42" s="7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7"/>
      <c r="F44" s="7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10"/>
      <c r="C45" s="11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14"/>
      <c r="C47" s="15"/>
      <c r="D47" s="6"/>
      <c r="E47" s="12"/>
      <c r="F47" s="13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15"/>
      <c r="D48" s="6"/>
      <c r="E48" s="12"/>
      <c r="F48" s="13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10"/>
      <c r="C49" s="11"/>
      <c r="D49" s="6"/>
      <c r="E49" s="8"/>
      <c r="F49" s="9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15"/>
      <c r="D50" s="6"/>
      <c r="E50" s="12"/>
      <c r="F50" s="13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10"/>
      <c r="C51" s="11"/>
      <c r="D51" s="6"/>
      <c r="E51" s="12"/>
      <c r="F51" s="13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15"/>
      <c r="D52" s="6"/>
      <c r="E52" s="12"/>
      <c r="F52" s="13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14"/>
      <c r="C53" s="15"/>
      <c r="D53" s="6"/>
      <c r="E53" s="12"/>
      <c r="F53" s="13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15"/>
      <c r="D54" s="6"/>
      <c r="E54" s="12"/>
      <c r="F54" s="13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14"/>
      <c r="C55" s="15"/>
      <c r="D55" s="6"/>
      <c r="E55" s="12"/>
      <c r="F55" s="13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15"/>
      <c r="D56" s="6"/>
      <c r="E56" s="12"/>
      <c r="F56" s="13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14"/>
      <c r="C57" s="15"/>
      <c r="D57" s="6"/>
      <c r="E57" s="12"/>
      <c r="F57" s="13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15"/>
      <c r="D58" s="6"/>
      <c r="E58" s="12"/>
      <c r="F58" s="13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14"/>
      <c r="C59" s="15"/>
      <c r="D59" s="6"/>
      <c r="E59" s="12"/>
      <c r="F59" s="13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15"/>
      <c r="D60" s="6"/>
      <c r="E60" s="12"/>
      <c r="F60" s="13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14"/>
      <c r="C61" s="15"/>
      <c r="D61" s="6"/>
      <c r="E61" s="12"/>
      <c r="F61" s="13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15"/>
      <c r="D62" s="6"/>
      <c r="E62" s="12"/>
      <c r="F62" s="13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14"/>
      <c r="C63" s="15"/>
      <c r="D63" s="6"/>
      <c r="E63" s="12"/>
      <c r="F63" s="13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15"/>
      <c r="D64" s="6"/>
      <c r="E64" s="12"/>
      <c r="F64" s="13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14"/>
      <c r="C65" s="15"/>
      <c r="D65" s="6"/>
      <c r="E65" s="12"/>
      <c r="F65" s="13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</sheetData>
  <phoneticPr fontId="2"/>
  <conditionalFormatting sqref="H4:DH69">
    <cfRule type="expression" dxfId="6" priority="1">
      <formula>AND($D4="計画", $E4 &lt;= G$3, G$3 &lt; $F4 + IF($F4 &lt; $E4, 1, 0))</formula>
    </cfRule>
    <cfRule type="expression" dxfId="5" priority="2">
      <formula>AND($D4="実績", $E4 &lt;= G$3, G$3 &lt; $F4 + IF($F4 &lt; $E4, 1, 0))</formula>
    </cfRule>
  </conditionalFormatting>
  <pageMargins left="0.7" right="0.7" top="0.75" bottom="0.75" header="0.3" footer="0.3"/>
  <pageSetup paperSize="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7C492-2043-4F0A-A32A-6F3E4BCC44E2}">
  <sheetPr codeName="Sheet2"/>
  <dimension ref="A1:DH92"/>
  <sheetViews>
    <sheetView workbookViewId="0">
      <pane xSplit="6" ySplit="3" topLeftCell="BU9" activePane="bottomRight" state="frozen"/>
      <selection pane="topRight" activeCell="G1" sqref="G1"/>
      <selection pane="bottomLeft" activeCell="A4" sqref="A4"/>
      <selection pane="bottomRight" activeCell="CV3" sqref="CV3:DH3"/>
    </sheetView>
    <sheetView workbookViewId="1">
      <selection activeCell="E5" sqref="E5:F13"/>
    </sheetView>
  </sheetViews>
  <sheetFormatPr defaultRowHeight="18.75"/>
  <cols>
    <col min="1" max="1" width="4" customWidth="1"/>
    <col min="2" max="2" width="14.625" customWidth="1"/>
    <col min="3" max="3" width="12.25" customWidth="1"/>
    <col min="5" max="6" width="6" bestFit="1" customWidth="1"/>
    <col min="7" max="15" width="3" customWidth="1"/>
    <col min="16" max="57" width="3.5" customWidth="1"/>
    <col min="58" max="99" width="3.5" bestFit="1" customWidth="1"/>
    <col min="100" max="112" width="3" bestFit="1" customWidth="1"/>
  </cols>
  <sheetData>
    <row r="1" spans="1:112" ht="25.5">
      <c r="A1" s="1" t="s">
        <v>0</v>
      </c>
      <c r="D1" t="s">
        <v>29</v>
      </c>
      <c r="J1" s="2"/>
    </row>
    <row r="2" spans="1:112">
      <c r="F2" s="2"/>
    </row>
    <row r="3" spans="1:112">
      <c r="A3" s="3" t="s">
        <v>2</v>
      </c>
      <c r="B3" s="3" t="s">
        <v>3</v>
      </c>
      <c r="C3" s="3" t="s">
        <v>4</v>
      </c>
      <c r="D3" s="3" t="s">
        <v>5</v>
      </c>
      <c r="E3" s="4" t="s">
        <v>6</v>
      </c>
      <c r="F3" s="4" t="s">
        <v>7</v>
      </c>
      <c r="G3" s="5">
        <v>0.35416666666666702</v>
      </c>
      <c r="H3" s="5">
        <v>0.3611111111111111</v>
      </c>
      <c r="I3" s="5">
        <v>0.36805555555555503</v>
      </c>
      <c r="J3" s="5">
        <v>0.374999999999999</v>
      </c>
      <c r="K3" s="5">
        <v>0.38194444444444298</v>
      </c>
      <c r="L3" s="5">
        <v>0.38888888888888701</v>
      </c>
      <c r="M3" s="5">
        <v>0.39583333333333198</v>
      </c>
      <c r="N3" s="5">
        <v>0.40277777777777601</v>
      </c>
      <c r="O3" s="5">
        <v>0.40972222222221999</v>
      </c>
      <c r="P3" s="5">
        <v>0.41666666666666402</v>
      </c>
      <c r="Q3" s="5">
        <v>0.423611111111108</v>
      </c>
      <c r="R3" s="5">
        <v>0.43055555555555203</v>
      </c>
      <c r="S3" s="5">
        <v>0.437499999999996</v>
      </c>
      <c r="T3" s="5">
        <v>0.44444444444443998</v>
      </c>
      <c r="U3" s="5">
        <v>0.45138888888888401</v>
      </c>
      <c r="V3" s="5">
        <v>0.45833333333332799</v>
      </c>
      <c r="W3" s="5">
        <v>0.46527777777777202</v>
      </c>
      <c r="X3" s="5">
        <v>0.47222222222221599</v>
      </c>
      <c r="Y3" s="5">
        <v>0.47916666666666102</v>
      </c>
      <c r="Z3" s="5">
        <v>0.486111111111105</v>
      </c>
      <c r="AA3" s="5">
        <v>0.49305555555554897</v>
      </c>
      <c r="AB3" s="5">
        <v>0.49999999999999301</v>
      </c>
      <c r="AC3" s="5">
        <v>0.50694444444443698</v>
      </c>
      <c r="AD3" s="5">
        <v>0.51388888888888096</v>
      </c>
      <c r="AE3" s="5">
        <v>0.52083333333332504</v>
      </c>
      <c r="AF3" s="5">
        <v>0.52777777777776902</v>
      </c>
      <c r="AG3" s="5">
        <v>0.534722222222213</v>
      </c>
      <c r="AH3" s="5">
        <v>0.54166666666665697</v>
      </c>
      <c r="AI3" s="5">
        <v>0.54861111111110095</v>
      </c>
      <c r="AJ3" s="5">
        <v>0.55555555555554603</v>
      </c>
      <c r="AK3" s="5">
        <v>0.56249999999999001</v>
      </c>
      <c r="AL3" s="5">
        <v>0.56944444444443398</v>
      </c>
      <c r="AM3" s="5">
        <v>0.57638888888887796</v>
      </c>
      <c r="AN3" s="5">
        <v>0.58333333333332205</v>
      </c>
      <c r="AO3" s="5">
        <v>0.59027777777776602</v>
      </c>
      <c r="AP3" s="5">
        <v>0.59722222222221</v>
      </c>
      <c r="AQ3" s="5">
        <v>0.60416666666665397</v>
      </c>
      <c r="AR3" s="5">
        <v>0.61111111111109795</v>
      </c>
      <c r="AS3" s="5">
        <v>0.61805555555554204</v>
      </c>
      <c r="AT3" s="5">
        <v>0.62499999999998601</v>
      </c>
      <c r="AU3" s="5">
        <v>0.63194444444442999</v>
      </c>
      <c r="AV3" s="5">
        <v>0.63888888888887496</v>
      </c>
      <c r="AW3" s="5">
        <v>0.64583333333331905</v>
      </c>
      <c r="AX3" s="5">
        <v>0.65277777777776302</v>
      </c>
      <c r="AY3" s="5">
        <v>0.659722222222207</v>
      </c>
      <c r="AZ3" s="5">
        <v>0.66666666666665098</v>
      </c>
      <c r="BA3" s="5">
        <v>0.67361111111109495</v>
      </c>
      <c r="BB3" s="5">
        <v>0.68055555555553904</v>
      </c>
      <c r="BC3" s="5">
        <v>0.68749999999998301</v>
      </c>
      <c r="BD3" s="5">
        <v>0.69444444444442699</v>
      </c>
      <c r="BE3" s="5">
        <v>0.70138888888887096</v>
      </c>
      <c r="BF3" s="5">
        <v>0.70833333333331505</v>
      </c>
      <c r="BG3" s="5">
        <v>0.71527777777776003</v>
      </c>
      <c r="BH3" s="5">
        <v>0.722222222222204</v>
      </c>
      <c r="BI3" s="5">
        <v>0.72916666666664798</v>
      </c>
      <c r="BJ3" s="5">
        <v>0.73611111111109195</v>
      </c>
      <c r="BK3" s="5">
        <v>0.74305555555553604</v>
      </c>
      <c r="BL3" s="5">
        <v>0.74999999999998002</v>
      </c>
      <c r="BM3" s="5">
        <v>0.75694444444442399</v>
      </c>
      <c r="BN3" s="5">
        <v>0.76388888888886797</v>
      </c>
      <c r="BO3" s="5">
        <v>0.77083333333331205</v>
      </c>
      <c r="BP3" s="5">
        <v>0.77777777777775603</v>
      </c>
      <c r="BQ3" s="5">
        <v>0.78472222222220001</v>
      </c>
      <c r="BR3" s="5">
        <v>0.79166666666664398</v>
      </c>
      <c r="BS3" s="5">
        <v>0.79861111111108896</v>
      </c>
      <c r="BT3" s="5">
        <v>0.80555555555553304</v>
      </c>
      <c r="BU3" s="5">
        <v>0.81249999999997702</v>
      </c>
      <c r="BV3" s="5">
        <v>0.81944444444442099</v>
      </c>
      <c r="BW3" s="5">
        <v>0.82638888888886497</v>
      </c>
      <c r="BX3" s="5">
        <v>0.83333333333330895</v>
      </c>
      <c r="BY3" s="5">
        <v>0.84027777777775303</v>
      </c>
      <c r="BZ3" s="5">
        <v>0.84722222222219701</v>
      </c>
      <c r="CA3" s="5">
        <v>0.85416666666664098</v>
      </c>
      <c r="CB3" s="5">
        <v>0.86111111111108496</v>
      </c>
      <c r="CC3" s="5">
        <v>0.86805555555552905</v>
      </c>
      <c r="CD3" s="5">
        <v>0.87499999999997402</v>
      </c>
      <c r="CE3" s="5">
        <v>0.881944444444418</v>
      </c>
      <c r="CF3" s="5">
        <v>0.88888888888886197</v>
      </c>
      <c r="CG3" s="5">
        <v>0.89583333333330595</v>
      </c>
      <c r="CH3" s="5">
        <v>0.90277777777775003</v>
      </c>
      <c r="CI3" s="5">
        <v>0.90972222222219401</v>
      </c>
      <c r="CJ3" s="5">
        <v>0.91666666666663799</v>
      </c>
      <c r="CK3" s="5">
        <v>0.92361111111108196</v>
      </c>
      <c r="CL3" s="5">
        <v>0.93055555555552605</v>
      </c>
      <c r="CM3" s="5">
        <v>0.93749999999997002</v>
      </c>
      <c r="CN3" s="5">
        <v>0.944444444444414</v>
      </c>
      <c r="CO3" s="5">
        <v>0.95138888888885798</v>
      </c>
      <c r="CP3" s="5">
        <v>0.95833333333330295</v>
      </c>
      <c r="CQ3" s="5">
        <v>0.96527777777774704</v>
      </c>
      <c r="CR3" s="5">
        <v>0.97222222222219101</v>
      </c>
      <c r="CS3" s="5">
        <v>0.97916666666663499</v>
      </c>
      <c r="CT3" s="5">
        <v>0.98611111111107896</v>
      </c>
      <c r="CU3" s="5">
        <v>0.99305555555552305</v>
      </c>
      <c r="CV3" s="5">
        <v>0.99999999999996703</v>
      </c>
      <c r="CW3" s="5">
        <v>6.9444444444444441E-3</v>
      </c>
      <c r="CX3" s="5">
        <v>1.38888888889169E-2</v>
      </c>
      <c r="CY3" s="5">
        <v>2.0833333333397E-2</v>
      </c>
      <c r="CZ3" s="5">
        <v>2.77777777778772E-2</v>
      </c>
      <c r="DA3" s="5">
        <v>3.4722222222357303E-2</v>
      </c>
      <c r="DB3" s="5">
        <v>4.16666666668268E-2</v>
      </c>
      <c r="DC3" s="5">
        <v>4.8611111111306997E-2</v>
      </c>
      <c r="DD3" s="5">
        <v>5.5555555555787201E-2</v>
      </c>
      <c r="DE3" s="5">
        <v>6.25000000002673E-2</v>
      </c>
      <c r="DF3" s="5">
        <v>6.9444444444736006E-2</v>
      </c>
      <c r="DG3" s="5">
        <v>7.6388888889265899E-2</v>
      </c>
      <c r="DH3" s="5">
        <v>8.3333333333666104E-2</v>
      </c>
    </row>
    <row r="4" spans="1:112" ht="21.6" customHeight="1">
      <c r="A4" s="6"/>
      <c r="B4" s="27" t="s">
        <v>62</v>
      </c>
      <c r="C4" s="27"/>
      <c r="D4" s="27"/>
      <c r="E4" s="28"/>
      <c r="F4" s="28"/>
      <c r="G4" s="7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</row>
    <row r="5" spans="1:112" ht="21.6" customHeight="1">
      <c r="A5" s="6"/>
      <c r="B5" s="6" t="s">
        <v>30</v>
      </c>
      <c r="C5" s="6" t="s">
        <v>31</v>
      </c>
      <c r="D5" s="27" t="s">
        <v>63</v>
      </c>
      <c r="E5" s="28">
        <v>0.75</v>
      </c>
      <c r="F5" s="28">
        <v>0.89880952380952384</v>
      </c>
      <c r="G5" s="7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</row>
    <row r="6" spans="1:112" ht="21.6" customHeight="1">
      <c r="A6" s="6"/>
      <c r="B6" s="6" t="s">
        <v>57</v>
      </c>
      <c r="C6" s="6" t="s">
        <v>58</v>
      </c>
      <c r="D6" s="27" t="s">
        <v>63</v>
      </c>
      <c r="E6" s="28">
        <v>0.89880952380952384</v>
      </c>
      <c r="F6" s="28">
        <v>0.91028393410676489</v>
      </c>
      <c r="G6" s="7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</row>
    <row r="7" spans="1:112" ht="21.6" customHeight="1">
      <c r="A7" s="6"/>
      <c r="B7" s="6" t="s">
        <v>59</v>
      </c>
      <c r="C7" s="6" t="s">
        <v>60</v>
      </c>
      <c r="D7" s="27" t="s">
        <v>63</v>
      </c>
      <c r="E7" s="28">
        <v>0.91028393410676489</v>
      </c>
      <c r="F7" s="28">
        <v>0.96343765173416673</v>
      </c>
      <c r="G7" s="7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/>
      <c r="CA7" s="6"/>
      <c r="CB7" s="6"/>
      <c r="CC7" s="6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/>
      <c r="CY7" s="6"/>
      <c r="CZ7" s="6"/>
      <c r="DA7" s="6"/>
      <c r="DB7" s="6"/>
      <c r="DC7" s="6"/>
      <c r="DD7" s="6"/>
      <c r="DE7" s="6"/>
      <c r="DF7" s="6"/>
      <c r="DG7" s="6"/>
      <c r="DH7" s="6"/>
    </row>
    <row r="8" spans="1:112" ht="21.6" customHeight="1">
      <c r="A8" s="6"/>
      <c r="B8" s="6" t="s">
        <v>32</v>
      </c>
      <c r="C8" s="6" t="s">
        <v>61</v>
      </c>
      <c r="D8" s="27" t="s">
        <v>63</v>
      </c>
      <c r="E8" s="28">
        <v>0.96343765173416673</v>
      </c>
      <c r="F8" s="28">
        <v>0.9910471120516271</v>
      </c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</row>
    <row r="9" spans="1:112" ht="21.6" customHeight="1">
      <c r="A9" s="6"/>
      <c r="B9" s="6" t="s">
        <v>47</v>
      </c>
      <c r="C9" s="6" t="s">
        <v>48</v>
      </c>
      <c r="D9" s="27" t="s">
        <v>63</v>
      </c>
      <c r="E9" s="28">
        <v>0.9910471120516271</v>
      </c>
      <c r="F9" s="28">
        <v>1.0286099415746539</v>
      </c>
      <c r="G9" s="7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6"/>
      <c r="BY9" s="6"/>
      <c r="BZ9" s="6"/>
      <c r="CA9" s="6"/>
      <c r="CB9" s="6"/>
      <c r="CC9" s="6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6"/>
      <c r="CW9" s="6"/>
      <c r="CX9" s="6"/>
      <c r="CY9" s="6"/>
      <c r="CZ9" s="6"/>
      <c r="DA9" s="6"/>
      <c r="DB9" s="6"/>
      <c r="DC9" s="6"/>
      <c r="DD9" s="6"/>
      <c r="DE9" s="6"/>
      <c r="DF9" s="6"/>
      <c r="DG9" s="6"/>
      <c r="DH9" s="6"/>
    </row>
    <row r="10" spans="1:112" ht="21.6" customHeight="1">
      <c r="A10" s="6"/>
      <c r="B10" s="6" t="s">
        <v>49</v>
      </c>
      <c r="C10" s="6" t="s">
        <v>50</v>
      </c>
      <c r="D10" s="27" t="s">
        <v>63</v>
      </c>
      <c r="E10" s="28">
        <v>1.0286099415746539</v>
      </c>
      <c r="F10" s="28">
        <v>1.2266258145905269</v>
      </c>
      <c r="G10" s="7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</row>
    <row r="11" spans="1:112" ht="21.6" customHeight="1">
      <c r="A11" s="6"/>
      <c r="B11" s="6" t="s">
        <v>8</v>
      </c>
      <c r="C11" s="6" t="s">
        <v>39</v>
      </c>
      <c r="D11" s="27" t="s">
        <v>63</v>
      </c>
      <c r="E11" s="28">
        <v>1.2266258145905269</v>
      </c>
      <c r="F11" s="28">
        <v>1.3079750209397332</v>
      </c>
      <c r="G11" s="7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</row>
    <row r="12" spans="1:112" ht="21.6" customHeight="1">
      <c r="A12" s="6"/>
      <c r="B12" s="6" t="s">
        <v>9</v>
      </c>
      <c r="C12" s="6" t="s">
        <v>40</v>
      </c>
      <c r="D12" s="27" t="s">
        <v>63</v>
      </c>
      <c r="E12" s="28">
        <v>1.3079750209397332</v>
      </c>
      <c r="F12" s="28">
        <v>1.343252331456904</v>
      </c>
      <c r="G12" s="7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</row>
    <row r="13" spans="1:112" ht="21.6" customHeight="1">
      <c r="A13" s="6"/>
      <c r="B13" s="6" t="s">
        <v>45</v>
      </c>
      <c r="C13" s="6" t="s">
        <v>46</v>
      </c>
      <c r="D13" s="27" t="s">
        <v>63</v>
      </c>
      <c r="E13" s="28">
        <v>1.343252331456904</v>
      </c>
      <c r="F13" s="28">
        <v>1.385564420733425</v>
      </c>
      <c r="G13" s="7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</row>
    <row r="14" spans="1:112" ht="21.6" customHeight="1">
      <c r="A14" s="6"/>
      <c r="B14" s="27"/>
      <c r="C14" s="27"/>
      <c r="D14" s="27"/>
      <c r="E14" s="28"/>
      <c r="F14" s="28"/>
      <c r="G14" s="7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</row>
    <row r="15" spans="1:112" ht="21.6" customHeight="1">
      <c r="A15" s="6"/>
      <c r="B15" s="27"/>
      <c r="C15" s="27"/>
      <c r="D15" s="27"/>
      <c r="E15" s="28"/>
      <c r="F15" s="28"/>
      <c r="G15" s="7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  <c r="AZ15" s="6"/>
      <c r="BA15" s="6"/>
      <c r="BB15" s="6"/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</row>
    <row r="16" spans="1:112" ht="21.6" customHeight="1">
      <c r="A16" s="6"/>
      <c r="B16" s="27"/>
      <c r="C16" s="27"/>
      <c r="D16" s="27"/>
      <c r="E16" s="28"/>
      <c r="F16" s="28"/>
      <c r="G16" s="7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</row>
    <row r="17" spans="1:112" ht="21.6" customHeight="1">
      <c r="A17" s="6"/>
      <c r="B17" s="27"/>
      <c r="C17" s="27"/>
      <c r="D17" s="27"/>
      <c r="E17" s="28"/>
      <c r="F17" s="28"/>
      <c r="G17" s="7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</row>
    <row r="18" spans="1:112" ht="21.6" customHeight="1">
      <c r="A18" s="6"/>
      <c r="B18" s="27"/>
      <c r="C18" s="27"/>
      <c r="D18" s="27"/>
      <c r="E18" s="28"/>
      <c r="F18" s="28"/>
      <c r="G18" s="7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</row>
    <row r="19" spans="1:112" ht="21.6" customHeight="1">
      <c r="A19" s="6"/>
      <c r="B19" s="27"/>
      <c r="C19" s="27"/>
      <c r="D19" s="27"/>
      <c r="E19" s="28"/>
      <c r="F19" s="28"/>
      <c r="G19" s="7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</row>
    <row r="20" spans="1:112" ht="21.6" customHeight="1">
      <c r="A20" s="6"/>
      <c r="B20" s="27"/>
      <c r="C20" s="27"/>
      <c r="D20" s="27"/>
      <c r="E20" s="28"/>
      <c r="F20" s="28"/>
      <c r="G20" s="7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</row>
    <row r="21" spans="1:112" ht="21.6" customHeight="1">
      <c r="A21" s="6"/>
      <c r="B21" s="27"/>
      <c r="C21" s="27"/>
      <c r="D21" s="27"/>
      <c r="E21" s="29"/>
      <c r="F21" s="29"/>
      <c r="G21" s="7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</row>
    <row r="22" spans="1:112" ht="21.6" customHeight="1">
      <c r="A22" s="6"/>
      <c r="B22" s="27"/>
      <c r="C22" s="27"/>
      <c r="D22" s="27"/>
      <c r="E22" s="28"/>
      <c r="F22" s="28"/>
      <c r="G22" s="7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</row>
    <row r="23" spans="1:112" ht="21.6" customHeight="1">
      <c r="A23" s="6"/>
      <c r="B23" s="27"/>
      <c r="C23" s="27"/>
      <c r="D23" s="27"/>
      <c r="E23" s="28"/>
      <c r="F23" s="28"/>
      <c r="G23" s="7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</row>
    <row r="24" spans="1:112" ht="21.6" customHeight="1">
      <c r="A24" s="6"/>
      <c r="B24" s="27"/>
      <c r="C24" s="27"/>
      <c r="D24" s="27"/>
      <c r="E24" s="28"/>
      <c r="F24" s="28"/>
      <c r="G24" s="7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</row>
    <row r="25" spans="1:112" ht="21.6" customHeight="1">
      <c r="A25" s="6"/>
      <c r="B25" s="27"/>
      <c r="C25" s="27"/>
      <c r="D25" s="27"/>
      <c r="E25" s="30"/>
      <c r="F25" s="31"/>
      <c r="G25" s="7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</row>
    <row r="26" spans="1:112" ht="21.6" customHeight="1">
      <c r="A26" s="6"/>
      <c r="B26" s="27"/>
      <c r="C26" s="27"/>
      <c r="D26" s="27"/>
      <c r="E26" s="30"/>
      <c r="F26" s="31"/>
      <c r="G26" s="7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</row>
    <row r="27" spans="1:112" ht="21.6" customHeight="1">
      <c r="A27" s="6"/>
      <c r="B27" s="27"/>
      <c r="C27" s="27"/>
      <c r="D27" s="27"/>
      <c r="E27" s="30"/>
      <c r="F27" s="31"/>
      <c r="G27" s="7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</row>
    <row r="28" spans="1:112" ht="21.6" customHeight="1">
      <c r="A28" s="6"/>
      <c r="B28" s="27"/>
      <c r="C28" s="27"/>
      <c r="D28" s="27"/>
      <c r="E28" s="28"/>
      <c r="F28" s="28"/>
      <c r="G28" s="7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</row>
    <row r="29" spans="1:112" ht="21.6" customHeight="1">
      <c r="A29" s="6"/>
      <c r="B29" s="6"/>
      <c r="C29" s="6"/>
      <c r="D29" s="6"/>
      <c r="E29" s="17"/>
      <c r="F29" s="18"/>
      <c r="G29" s="7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/>
      <c r="CY29" s="6"/>
      <c r="CZ29" s="6"/>
      <c r="DA29" s="6"/>
      <c r="DB29" s="6"/>
      <c r="DC29" s="6"/>
      <c r="DD29" s="6"/>
      <c r="DE29" s="6"/>
      <c r="DF29" s="6"/>
      <c r="DG29" s="6"/>
      <c r="DH29" s="6"/>
    </row>
    <row r="30" spans="1:112" ht="21.6" customHeight="1">
      <c r="A30" s="6"/>
      <c r="B30" s="6"/>
      <c r="C30" s="6"/>
      <c r="D30" s="6"/>
      <c r="E30" s="17"/>
      <c r="F30" s="18"/>
      <c r="G30" s="7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</row>
    <row r="31" spans="1:112" ht="21.6" customHeight="1">
      <c r="A31" s="6"/>
      <c r="B31" s="6"/>
      <c r="C31" s="6"/>
      <c r="D31" s="6"/>
      <c r="E31" s="7"/>
      <c r="F31" s="7"/>
      <c r="G31" s="7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6"/>
      <c r="BQ31" s="6"/>
      <c r="BR31" s="6"/>
      <c r="BS31" s="6"/>
      <c r="BT31" s="6"/>
      <c r="BU31" s="6"/>
      <c r="BV31" s="6"/>
      <c r="BW31" s="6"/>
      <c r="BX31" s="6"/>
      <c r="BY31" s="6"/>
      <c r="BZ31" s="6"/>
      <c r="CA31" s="6"/>
      <c r="CB31" s="6"/>
      <c r="CC31" s="6"/>
      <c r="CD31" s="6"/>
      <c r="CE31" s="6"/>
      <c r="CF31" s="6"/>
      <c r="CG31" s="6"/>
      <c r="CH31" s="6"/>
      <c r="CI31" s="6"/>
      <c r="CJ31" s="6"/>
      <c r="CK31" s="6"/>
      <c r="CL31" s="6"/>
      <c r="CM31" s="6"/>
      <c r="CN31" s="6"/>
      <c r="CO31" s="6"/>
      <c r="CP31" s="6"/>
      <c r="CQ31" s="6"/>
      <c r="CR31" s="6"/>
      <c r="CS31" s="6"/>
      <c r="CT31" s="6"/>
      <c r="CU31" s="6"/>
      <c r="CV31" s="6"/>
      <c r="CW31" s="6"/>
      <c r="CX31" s="6"/>
      <c r="CY31" s="6"/>
      <c r="CZ31" s="6"/>
      <c r="DA31" s="6"/>
      <c r="DB31" s="6"/>
      <c r="DC31" s="6"/>
      <c r="DD31" s="6"/>
      <c r="DE31" s="6"/>
      <c r="DF31" s="6"/>
      <c r="DG31" s="6"/>
      <c r="DH31" s="6"/>
    </row>
    <row r="32" spans="1:112" ht="21.6" customHeight="1">
      <c r="A32" s="6"/>
      <c r="B32" s="6"/>
      <c r="C32" s="6"/>
      <c r="D32" s="6"/>
      <c r="E32" s="17"/>
      <c r="F32" s="18"/>
      <c r="G32" s="7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</row>
    <row r="33" spans="1:112" ht="21.6" customHeight="1">
      <c r="A33" s="6"/>
      <c r="B33" s="6"/>
      <c r="C33" s="6"/>
      <c r="D33" s="6"/>
      <c r="E33" s="7"/>
      <c r="F33" s="7"/>
      <c r="G33" s="7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6"/>
      <c r="BQ33" s="6"/>
      <c r="BR33" s="6"/>
      <c r="BS33" s="6"/>
      <c r="BT33" s="6"/>
      <c r="BU33" s="6"/>
      <c r="BV33" s="6"/>
      <c r="BW33" s="6"/>
      <c r="BX33" s="6"/>
      <c r="BY33" s="6"/>
      <c r="BZ33" s="6"/>
      <c r="CA33" s="6"/>
      <c r="CB33" s="6"/>
      <c r="CC33" s="6"/>
      <c r="CD33" s="6"/>
      <c r="CE33" s="6"/>
      <c r="CF33" s="6"/>
      <c r="CG33" s="6"/>
      <c r="CH33" s="6"/>
      <c r="CI33" s="6"/>
      <c r="CJ33" s="6"/>
      <c r="CK33" s="6"/>
      <c r="CL33" s="6"/>
      <c r="CM33" s="6"/>
      <c r="CN33" s="6"/>
      <c r="CO33" s="6"/>
      <c r="CP33" s="6"/>
      <c r="CQ33" s="6"/>
      <c r="CR33" s="6"/>
      <c r="CS33" s="6"/>
      <c r="CT33" s="6"/>
      <c r="CU33" s="6"/>
      <c r="CV33" s="6"/>
      <c r="CW33" s="6"/>
      <c r="CX33" s="6"/>
      <c r="CY33" s="6"/>
      <c r="CZ33" s="6"/>
      <c r="DA33" s="6"/>
      <c r="DB33" s="6"/>
      <c r="DC33" s="6"/>
      <c r="DD33" s="6"/>
      <c r="DE33" s="6"/>
      <c r="DF33" s="6"/>
      <c r="DG33" s="6"/>
      <c r="DH33" s="6"/>
    </row>
    <row r="34" spans="1:112" ht="21.6" customHeight="1">
      <c r="A34" s="6"/>
      <c r="B34" s="6"/>
      <c r="C34" s="6"/>
      <c r="D34" s="6"/>
      <c r="E34" s="7"/>
      <c r="F34" s="7"/>
      <c r="G34" s="7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</row>
    <row r="35" spans="1:112" ht="21.6" customHeight="1">
      <c r="A35" s="6"/>
      <c r="B35" s="6"/>
      <c r="C35" s="6"/>
      <c r="D35" s="6"/>
      <c r="E35" s="17"/>
      <c r="F35" s="18"/>
      <c r="G35" s="7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/>
      <c r="CA35" s="6"/>
      <c r="CB35" s="6"/>
      <c r="CC35" s="6"/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/>
      <c r="CY35" s="6"/>
      <c r="CZ35" s="6"/>
      <c r="DA35" s="6"/>
      <c r="DB35" s="6"/>
      <c r="DC35" s="6"/>
      <c r="DD35" s="6"/>
      <c r="DE35" s="6"/>
      <c r="DF35" s="6"/>
      <c r="DG35" s="6"/>
      <c r="DH35" s="6"/>
    </row>
    <row r="36" spans="1:112" ht="21.6" customHeight="1">
      <c r="A36" s="6"/>
      <c r="B36" s="6"/>
      <c r="C36" s="6"/>
      <c r="D36" s="6"/>
      <c r="E36" s="17"/>
      <c r="F36" s="18"/>
      <c r="G36" s="7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</row>
    <row r="37" spans="1:112" ht="21.6" customHeight="1">
      <c r="A37" s="6"/>
      <c r="B37" s="6"/>
      <c r="C37" s="6"/>
      <c r="D37" s="6"/>
      <c r="E37" s="7"/>
      <c r="F37" s="7"/>
      <c r="G37" s="7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</row>
    <row r="38" spans="1:112" ht="21.6" customHeight="1">
      <c r="A38" s="6"/>
      <c r="B38" s="6"/>
      <c r="C38" s="6"/>
      <c r="D38" s="6"/>
      <c r="E38" s="12"/>
      <c r="F38" s="13"/>
      <c r="G38" s="7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6"/>
      <c r="BQ38" s="6"/>
      <c r="BR38" s="6"/>
      <c r="BS38" s="6"/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</row>
    <row r="39" spans="1:112" ht="21.6" customHeight="1">
      <c r="A39" s="6"/>
      <c r="B39" s="6"/>
      <c r="C39" s="6"/>
      <c r="D39" s="6"/>
      <c r="E39" s="7"/>
      <c r="F39" s="7"/>
      <c r="G39" s="7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</row>
    <row r="40" spans="1:112" ht="21.6" customHeight="1">
      <c r="A40" s="6"/>
      <c r="B40" s="6"/>
      <c r="C40" s="6"/>
      <c r="D40" s="6"/>
      <c r="E40" s="12"/>
      <c r="F40" s="13"/>
      <c r="G40" s="7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</row>
    <row r="41" spans="1:112" ht="21.6" customHeight="1">
      <c r="A41" s="6"/>
      <c r="B41" s="6"/>
      <c r="C41" s="6"/>
      <c r="D41" s="6"/>
      <c r="E41" s="12"/>
      <c r="F41" s="13"/>
      <c r="G41" s="7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6"/>
      <c r="BE41" s="6"/>
      <c r="BF41" s="6"/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/>
      <c r="CA41" s="6"/>
      <c r="CB41" s="6"/>
      <c r="CC41" s="6"/>
      <c r="CD41" s="6"/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/>
      <c r="CY41" s="6"/>
      <c r="CZ41" s="6"/>
      <c r="DA41" s="6"/>
      <c r="DB41" s="6"/>
      <c r="DC41" s="6"/>
      <c r="DD41" s="6"/>
      <c r="DE41" s="6"/>
      <c r="DF41" s="6"/>
      <c r="DG41" s="6"/>
      <c r="DH41" s="6"/>
    </row>
    <row r="42" spans="1:112" ht="21.6" customHeight="1">
      <c r="A42" s="6"/>
      <c r="B42" s="6"/>
      <c r="C42" s="6"/>
      <c r="D42" s="6"/>
      <c r="E42" s="12"/>
      <c r="F42" s="13"/>
      <c r="G42" s="7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/>
      <c r="CA42" s="6"/>
      <c r="CB42" s="6"/>
      <c r="CC42" s="6"/>
      <c r="CD42" s="6"/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/>
      <c r="CY42" s="6"/>
      <c r="CZ42" s="6"/>
      <c r="DA42" s="6"/>
      <c r="DB42" s="6"/>
      <c r="DC42" s="6"/>
      <c r="DD42" s="6"/>
      <c r="DE42" s="6"/>
      <c r="DF42" s="6"/>
      <c r="DG42" s="6"/>
      <c r="DH42" s="6"/>
    </row>
    <row r="43" spans="1:112" ht="21.6" customHeight="1">
      <c r="A43" s="6"/>
      <c r="B43" s="6"/>
      <c r="C43" s="6"/>
      <c r="D43" s="6"/>
      <c r="E43" s="12"/>
      <c r="F43" s="13"/>
      <c r="G43" s="7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</row>
    <row r="44" spans="1:112" ht="21.6" customHeight="1">
      <c r="A44" s="6"/>
      <c r="B44" s="6"/>
      <c r="C44" s="6"/>
      <c r="D44" s="6"/>
      <c r="E44" s="12"/>
      <c r="F44" s="13"/>
      <c r="G44" s="7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/>
      <c r="CA44" s="6"/>
      <c r="CB44" s="6"/>
      <c r="CC44" s="6"/>
      <c r="CD44" s="6"/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/>
      <c r="CY44" s="6"/>
      <c r="CZ44" s="6"/>
      <c r="DA44" s="6"/>
      <c r="DB44" s="6"/>
      <c r="DC44" s="6"/>
      <c r="DD44" s="6"/>
      <c r="DE44" s="6"/>
      <c r="DF44" s="6"/>
      <c r="DG44" s="6"/>
      <c r="DH44" s="6"/>
    </row>
    <row r="45" spans="1:112" ht="21.6" customHeight="1">
      <c r="A45" s="6"/>
      <c r="B45" s="6"/>
      <c r="C45" s="6"/>
      <c r="D45" s="6"/>
      <c r="E45" s="12"/>
      <c r="F45" s="13"/>
      <c r="G45" s="7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6"/>
      <c r="BY45" s="6"/>
      <c r="BZ45" s="6"/>
      <c r="CA45" s="6"/>
      <c r="CB45" s="6"/>
      <c r="CC45" s="6"/>
      <c r="CD45" s="6"/>
      <c r="CE45" s="6"/>
      <c r="CF45" s="6"/>
      <c r="CG45" s="6"/>
      <c r="CH45" s="6"/>
      <c r="CI45" s="6"/>
      <c r="CJ45" s="6"/>
      <c r="CK45" s="6"/>
      <c r="CL45" s="6"/>
      <c r="CM45" s="6"/>
      <c r="CN45" s="6"/>
      <c r="CO45" s="6"/>
      <c r="CP45" s="6"/>
      <c r="CQ45" s="6"/>
      <c r="CR45" s="6"/>
      <c r="CS45" s="6"/>
      <c r="CT45" s="6"/>
      <c r="CU45" s="6"/>
      <c r="CV45" s="6"/>
      <c r="CW45" s="6"/>
      <c r="CX45" s="6"/>
      <c r="CY45" s="6"/>
      <c r="CZ45" s="6"/>
      <c r="DA45" s="6"/>
      <c r="DB45" s="6"/>
      <c r="DC45" s="6"/>
      <c r="DD45" s="6"/>
      <c r="DE45" s="6"/>
      <c r="DF45" s="6"/>
      <c r="DG45" s="6"/>
      <c r="DH45" s="6"/>
    </row>
    <row r="46" spans="1:112" ht="21.6" customHeight="1">
      <c r="A46" s="6"/>
      <c r="B46" s="6"/>
      <c r="C46" s="6"/>
      <c r="D46" s="6"/>
      <c r="E46" s="7"/>
      <c r="F46" s="7"/>
      <c r="G46" s="7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6"/>
      <c r="BY46" s="6"/>
      <c r="BZ46" s="6"/>
      <c r="CA46" s="6"/>
      <c r="CB46" s="6"/>
      <c r="CC46" s="6"/>
      <c r="CD46" s="6"/>
      <c r="CE46" s="6"/>
      <c r="CF46" s="6"/>
      <c r="CG46" s="6"/>
      <c r="CH46" s="6"/>
      <c r="CI46" s="6"/>
      <c r="CJ46" s="6"/>
      <c r="CK46" s="6"/>
      <c r="CL46" s="6"/>
      <c r="CM46" s="6"/>
      <c r="CN46" s="6"/>
      <c r="CO46" s="6"/>
      <c r="CP46" s="6"/>
      <c r="CQ46" s="6"/>
      <c r="CR46" s="6"/>
      <c r="CS46" s="6"/>
      <c r="CT46" s="6"/>
      <c r="CU46" s="6"/>
      <c r="CV46" s="6"/>
      <c r="CW46" s="6"/>
      <c r="CX46" s="6"/>
      <c r="CY46" s="6"/>
      <c r="CZ46" s="6"/>
      <c r="DA46" s="6"/>
      <c r="DB46" s="6"/>
      <c r="DC46" s="6"/>
      <c r="DD46" s="6"/>
      <c r="DE46" s="6"/>
      <c r="DF46" s="6"/>
      <c r="DG46" s="6"/>
      <c r="DH46" s="6"/>
    </row>
    <row r="47" spans="1:112" ht="21.6" customHeight="1">
      <c r="A47" s="6"/>
      <c r="B47" s="6"/>
      <c r="C47" s="6"/>
      <c r="D47" s="6"/>
      <c r="E47" s="7"/>
      <c r="F47" s="7"/>
      <c r="G47" s="7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6"/>
      <c r="BY47" s="6"/>
      <c r="BZ47" s="6"/>
      <c r="CA47" s="6"/>
      <c r="CB47" s="6"/>
      <c r="CC47" s="6"/>
      <c r="CD47" s="6"/>
      <c r="CE47" s="6"/>
      <c r="CF47" s="6"/>
      <c r="CG47" s="6"/>
      <c r="CH47" s="6"/>
      <c r="CI47" s="6"/>
      <c r="CJ47" s="6"/>
      <c r="CK47" s="6"/>
      <c r="CL47" s="6"/>
      <c r="CM47" s="6"/>
      <c r="CN47" s="6"/>
      <c r="CO47" s="6"/>
      <c r="CP47" s="6"/>
      <c r="CQ47" s="6"/>
      <c r="CR47" s="6"/>
      <c r="CS47" s="6"/>
      <c r="CT47" s="6"/>
      <c r="CU47" s="6"/>
      <c r="CV47" s="6"/>
      <c r="CW47" s="6"/>
      <c r="CX47" s="6"/>
      <c r="CY47" s="6"/>
      <c r="CZ47" s="6"/>
      <c r="DA47" s="6"/>
      <c r="DB47" s="6"/>
      <c r="DC47" s="6"/>
      <c r="DD47" s="6"/>
      <c r="DE47" s="6"/>
      <c r="DF47" s="6"/>
      <c r="DG47" s="6"/>
      <c r="DH47" s="6"/>
    </row>
    <row r="48" spans="1:112" ht="21.6" customHeight="1">
      <c r="A48" s="6"/>
      <c r="B48" s="6"/>
      <c r="C48" s="6"/>
      <c r="D48" s="6"/>
      <c r="E48" s="7"/>
      <c r="F48" s="7"/>
      <c r="G48" s="7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6"/>
      <c r="CK48" s="6"/>
      <c r="CL48" s="6"/>
      <c r="CM48" s="6"/>
      <c r="CN48" s="6"/>
      <c r="CO48" s="6"/>
      <c r="CP48" s="6"/>
      <c r="CQ48" s="6"/>
      <c r="CR48" s="6"/>
      <c r="CS48" s="6"/>
      <c r="CT48" s="6"/>
      <c r="CU48" s="6"/>
      <c r="CV48" s="6"/>
      <c r="CW48" s="6"/>
      <c r="CX48" s="6"/>
      <c r="CY48" s="6"/>
      <c r="CZ48" s="6"/>
      <c r="DA48" s="6"/>
      <c r="DB48" s="6"/>
      <c r="DC48" s="6"/>
      <c r="DD48" s="6"/>
      <c r="DE48" s="6"/>
      <c r="DF48" s="6"/>
      <c r="DG48" s="6"/>
      <c r="DH48" s="6"/>
    </row>
    <row r="49" spans="1:112" ht="21.6" customHeight="1">
      <c r="A49" s="6"/>
      <c r="B49" s="6"/>
      <c r="C49" s="6"/>
      <c r="D49" s="6"/>
      <c r="E49" s="7"/>
      <c r="F49" s="7"/>
      <c r="G49" s="7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/>
      <c r="CY49" s="6"/>
      <c r="CZ49" s="6"/>
      <c r="DA49" s="6"/>
      <c r="DB49" s="6"/>
      <c r="DC49" s="6"/>
      <c r="DD49" s="6"/>
      <c r="DE49" s="6"/>
      <c r="DF49" s="6"/>
      <c r="DG49" s="6"/>
      <c r="DH49" s="6"/>
    </row>
    <row r="50" spans="1:112" ht="21.6" customHeight="1">
      <c r="A50" s="6"/>
      <c r="B50" s="6"/>
      <c r="C50" s="6"/>
      <c r="D50" s="6"/>
      <c r="E50" s="7"/>
      <c r="F50" s="7"/>
      <c r="G50" s="7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/>
      <c r="CA50" s="6"/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/>
      <c r="CY50" s="6"/>
      <c r="CZ50" s="6"/>
      <c r="DA50" s="6"/>
      <c r="DB50" s="6"/>
      <c r="DC50" s="6"/>
      <c r="DD50" s="6"/>
      <c r="DE50" s="6"/>
      <c r="DF50" s="6"/>
      <c r="DG50" s="6"/>
      <c r="DH50" s="6"/>
    </row>
    <row r="51" spans="1:112" ht="21.6" customHeight="1">
      <c r="A51" s="6"/>
      <c r="B51" s="6"/>
      <c r="C51" s="6"/>
      <c r="D51" s="6"/>
      <c r="E51" s="7"/>
      <c r="F51" s="7"/>
      <c r="G51" s="7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6"/>
      <c r="BY51" s="6"/>
      <c r="BZ51" s="6"/>
      <c r="CA51" s="6"/>
      <c r="CB51" s="6"/>
      <c r="CC51" s="6"/>
      <c r="CD51" s="6"/>
      <c r="CE51" s="6"/>
      <c r="CF51" s="6"/>
      <c r="CG51" s="6"/>
      <c r="CH51" s="6"/>
      <c r="CI51" s="6"/>
      <c r="CJ51" s="6"/>
      <c r="CK51" s="6"/>
      <c r="CL51" s="6"/>
      <c r="CM51" s="6"/>
      <c r="CN51" s="6"/>
      <c r="CO51" s="6"/>
      <c r="CP51" s="6"/>
      <c r="CQ51" s="6"/>
      <c r="CR51" s="6"/>
      <c r="CS51" s="6"/>
      <c r="CT51" s="6"/>
      <c r="CU51" s="6"/>
      <c r="CV51" s="6"/>
      <c r="CW51" s="6"/>
      <c r="CX51" s="6"/>
      <c r="CY51" s="6"/>
      <c r="CZ51" s="6"/>
      <c r="DA51" s="6"/>
      <c r="DB51" s="6"/>
      <c r="DC51" s="6"/>
      <c r="DD51" s="6"/>
      <c r="DE51" s="6"/>
      <c r="DF51" s="6"/>
      <c r="DG51" s="6"/>
      <c r="DH51" s="6"/>
    </row>
    <row r="52" spans="1:112" ht="21.6" customHeight="1">
      <c r="A52" s="6"/>
      <c r="B52" s="6"/>
      <c r="C52" s="6"/>
      <c r="D52" s="6"/>
      <c r="E52" s="7"/>
      <c r="F52" s="7"/>
      <c r="G52" s="7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</row>
    <row r="53" spans="1:112" ht="21.6" customHeight="1">
      <c r="A53" s="6"/>
      <c r="B53" s="6"/>
      <c r="C53" s="6"/>
      <c r="D53" s="6"/>
      <c r="E53" s="7"/>
      <c r="F53" s="7"/>
      <c r="G53" s="7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6"/>
      <c r="BY53" s="6"/>
      <c r="BZ53" s="6"/>
      <c r="CA53" s="6"/>
      <c r="CB53" s="6"/>
      <c r="CC53" s="6"/>
      <c r="CD53" s="6"/>
      <c r="CE53" s="6"/>
      <c r="CF53" s="6"/>
      <c r="CG53" s="6"/>
      <c r="CH53" s="6"/>
      <c r="CI53" s="6"/>
      <c r="CJ53" s="6"/>
      <c r="CK53" s="6"/>
      <c r="CL53" s="6"/>
      <c r="CM53" s="6"/>
      <c r="CN53" s="6"/>
      <c r="CO53" s="6"/>
      <c r="CP53" s="6"/>
      <c r="CQ53" s="6"/>
      <c r="CR53" s="6"/>
      <c r="CS53" s="6"/>
      <c r="CT53" s="6"/>
      <c r="CU53" s="6"/>
      <c r="CV53" s="6"/>
      <c r="CW53" s="6"/>
      <c r="CX53" s="6"/>
      <c r="CY53" s="6"/>
      <c r="CZ53" s="6"/>
      <c r="DA53" s="6"/>
      <c r="DB53" s="6"/>
      <c r="DC53" s="6"/>
      <c r="DD53" s="6"/>
      <c r="DE53" s="6"/>
      <c r="DF53" s="6"/>
      <c r="DG53" s="6"/>
      <c r="DH53" s="6"/>
    </row>
    <row r="54" spans="1:112" ht="21.6" customHeight="1">
      <c r="A54" s="6"/>
      <c r="B54" s="6"/>
      <c r="C54" s="6"/>
      <c r="D54" s="6"/>
      <c r="E54" s="7"/>
      <c r="F54" s="7"/>
      <c r="G54" s="7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/>
      <c r="CA54" s="6"/>
      <c r="CB54" s="6"/>
      <c r="CC54" s="6"/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/>
      <c r="CY54" s="6"/>
      <c r="CZ54" s="6"/>
      <c r="DA54" s="6"/>
      <c r="DB54" s="6"/>
      <c r="DC54" s="6"/>
      <c r="DD54" s="6"/>
      <c r="DE54" s="6"/>
      <c r="DF54" s="6"/>
      <c r="DG54" s="6"/>
      <c r="DH54" s="6"/>
    </row>
    <row r="55" spans="1:112" ht="21.6" customHeight="1">
      <c r="A55" s="6"/>
      <c r="B55" s="6"/>
      <c r="C55" s="6"/>
      <c r="D55" s="6"/>
      <c r="E55" s="7"/>
      <c r="F55" s="7"/>
      <c r="G55" s="7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/>
      <c r="CA55" s="6"/>
      <c r="CB55" s="6"/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/>
      <c r="CY55" s="6"/>
      <c r="CZ55" s="6"/>
      <c r="DA55" s="6"/>
      <c r="DB55" s="6"/>
      <c r="DC55" s="6"/>
      <c r="DD55" s="6"/>
      <c r="DE55" s="6"/>
      <c r="DF55" s="6"/>
      <c r="DG55" s="6"/>
      <c r="DH55" s="6"/>
    </row>
    <row r="56" spans="1:112" ht="21.6" customHeight="1">
      <c r="A56" s="6"/>
      <c r="B56" s="6"/>
      <c r="C56" s="6"/>
      <c r="D56" s="6"/>
      <c r="E56" s="7"/>
      <c r="F56" s="7"/>
      <c r="G56" s="7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6"/>
      <c r="BY56" s="6"/>
      <c r="BZ56" s="6"/>
      <c r="CA56" s="6"/>
      <c r="CB56" s="6"/>
      <c r="CC56" s="6"/>
      <c r="CD56" s="6"/>
      <c r="CE56" s="6"/>
      <c r="CF56" s="6"/>
      <c r="CG56" s="6"/>
      <c r="CH56" s="6"/>
      <c r="CI56" s="6"/>
      <c r="CJ56" s="6"/>
      <c r="CK56" s="6"/>
      <c r="CL56" s="6"/>
      <c r="CM56" s="6"/>
      <c r="CN56" s="6"/>
      <c r="CO56" s="6"/>
      <c r="CP56" s="6"/>
      <c r="CQ56" s="6"/>
      <c r="CR56" s="6"/>
      <c r="CS56" s="6"/>
      <c r="CT56" s="6"/>
      <c r="CU56" s="6"/>
      <c r="CV56" s="6"/>
      <c r="CW56" s="6"/>
      <c r="CX56" s="6"/>
      <c r="CY56" s="6"/>
      <c r="CZ56" s="6"/>
      <c r="DA56" s="6"/>
      <c r="DB56" s="6"/>
      <c r="DC56" s="6"/>
      <c r="DD56" s="6"/>
      <c r="DE56" s="6"/>
      <c r="DF56" s="6"/>
      <c r="DG56" s="6"/>
      <c r="DH56" s="6"/>
    </row>
    <row r="57" spans="1:112" ht="21.6" customHeight="1">
      <c r="A57" s="6"/>
      <c r="B57" s="6"/>
      <c r="C57" s="6"/>
      <c r="D57" s="6"/>
      <c r="E57" s="7"/>
      <c r="F57" s="7"/>
      <c r="G57" s="7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</row>
    <row r="58" spans="1:112" ht="21.6" customHeight="1">
      <c r="A58" s="6"/>
      <c r="B58" s="6"/>
      <c r="C58" s="6"/>
      <c r="D58" s="6"/>
      <c r="E58" s="7"/>
      <c r="F58" s="7"/>
      <c r="G58" s="7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</row>
    <row r="59" spans="1:112" ht="21.6" customHeight="1">
      <c r="A59" s="6"/>
      <c r="B59" s="6"/>
      <c r="C59" s="6"/>
      <c r="D59" s="6"/>
      <c r="E59" s="16"/>
      <c r="F59" s="16"/>
      <c r="G59" s="7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</row>
    <row r="60" spans="1:112" ht="21.6" customHeight="1">
      <c r="A60" s="6"/>
      <c r="B60" s="6"/>
      <c r="C60" s="6"/>
      <c r="D60" s="6"/>
      <c r="E60" s="16"/>
      <c r="F60" s="16"/>
      <c r="G60" s="7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</row>
    <row r="61" spans="1:112" ht="21.6" customHeight="1">
      <c r="A61" s="6"/>
      <c r="B61" s="6"/>
      <c r="C61" s="6"/>
      <c r="D61" s="6"/>
      <c r="E61" s="16"/>
      <c r="F61" s="16"/>
      <c r="G61" s="7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/>
      <c r="CA61" s="6"/>
      <c r="CB61" s="6"/>
      <c r="CC61" s="6"/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/>
      <c r="CY61" s="6"/>
      <c r="CZ61" s="6"/>
      <c r="DA61" s="6"/>
      <c r="DB61" s="6"/>
      <c r="DC61" s="6"/>
      <c r="DD61" s="6"/>
      <c r="DE61" s="6"/>
      <c r="DF61" s="6"/>
      <c r="DG61" s="6"/>
      <c r="DH61" s="6"/>
    </row>
    <row r="62" spans="1:112" ht="21.6" customHeight="1">
      <c r="A62" s="6"/>
      <c r="B62" s="6"/>
      <c r="C62" s="6"/>
      <c r="D62" s="6"/>
      <c r="E62" s="7"/>
      <c r="F62" s="7"/>
      <c r="G62" s="7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</row>
    <row r="63" spans="1:112" ht="21.6" customHeight="1">
      <c r="A63" s="6"/>
      <c r="B63" s="6"/>
      <c r="C63" s="6"/>
      <c r="D63" s="6"/>
      <c r="E63" s="7"/>
      <c r="F63" s="7"/>
      <c r="G63" s="7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</row>
    <row r="64" spans="1:112" ht="21.6" customHeight="1">
      <c r="A64" s="6"/>
      <c r="B64" s="6"/>
      <c r="C64" s="6"/>
      <c r="D64" s="6"/>
      <c r="E64" s="7"/>
      <c r="F64" s="7"/>
      <c r="G64" s="7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</row>
    <row r="65" spans="1:112" ht="21.6" customHeight="1">
      <c r="A65" s="6"/>
      <c r="B65" s="6"/>
      <c r="C65" s="6"/>
      <c r="D65" s="6"/>
      <c r="E65" s="7"/>
      <c r="F65" s="7"/>
      <c r="G65" s="7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/>
      <c r="CA65" s="6"/>
      <c r="CB65" s="6"/>
      <c r="CC65" s="6"/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/>
      <c r="CY65" s="6"/>
      <c r="CZ65" s="6"/>
      <c r="DA65" s="6"/>
      <c r="DB65" s="6"/>
      <c r="DC65" s="6"/>
      <c r="DD65" s="6"/>
      <c r="DE65" s="6"/>
      <c r="DF65" s="6"/>
      <c r="DG65" s="6"/>
      <c r="DH65" s="6"/>
    </row>
    <row r="66" spans="1:112" ht="21.6" customHeight="1">
      <c r="A66" s="6"/>
      <c r="B66" s="6"/>
      <c r="C66" s="6"/>
      <c r="D66" s="6"/>
      <c r="E66" s="7"/>
      <c r="F66" s="7"/>
      <c r="G66" s="7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/>
      <c r="CA66" s="6"/>
      <c r="CB66" s="6"/>
      <c r="CC66" s="6"/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/>
      <c r="CY66" s="6"/>
      <c r="CZ66" s="6"/>
      <c r="DA66" s="6"/>
      <c r="DB66" s="6"/>
      <c r="DC66" s="6"/>
      <c r="DD66" s="6"/>
      <c r="DE66" s="6"/>
      <c r="DF66" s="6"/>
      <c r="DG66" s="6"/>
      <c r="DH66" s="6"/>
    </row>
    <row r="67" spans="1:112" ht="21" customHeight="1">
      <c r="A67" s="6"/>
      <c r="B67" s="6"/>
      <c r="C67" s="6"/>
      <c r="D67" s="6"/>
      <c r="E67" s="16"/>
      <c r="F67" s="16"/>
      <c r="G67" s="7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</row>
    <row r="68" spans="1:112" ht="21" customHeight="1">
      <c r="A68" s="6"/>
      <c r="B68" s="6"/>
      <c r="C68" s="6"/>
      <c r="D68" s="6"/>
      <c r="E68" s="16"/>
      <c r="F68" s="16"/>
      <c r="G68" s="7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/>
      <c r="CA68" s="6"/>
      <c r="CB68" s="6"/>
      <c r="CC68" s="6"/>
      <c r="CD68" s="6"/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/>
      <c r="CY68" s="6"/>
      <c r="CZ68" s="6"/>
      <c r="DA68" s="6"/>
      <c r="DB68" s="6"/>
      <c r="DC68" s="6"/>
      <c r="DD68" s="6"/>
      <c r="DE68" s="6"/>
      <c r="DF68" s="6"/>
      <c r="DG68" s="6"/>
      <c r="DH68" s="6"/>
    </row>
    <row r="69" spans="1:112" ht="21" customHeight="1">
      <c r="A69" s="6"/>
      <c r="B69" s="6"/>
      <c r="C69" s="6"/>
      <c r="D69" s="6"/>
      <c r="E69" s="7"/>
      <c r="F69" s="7"/>
      <c r="G69" s="7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/>
      <c r="CA69" s="6"/>
      <c r="CB69" s="6"/>
      <c r="CC69" s="6"/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/>
      <c r="CY69" s="6"/>
      <c r="CZ69" s="6"/>
      <c r="DA69" s="6"/>
      <c r="DB69" s="6"/>
      <c r="DC69" s="6"/>
      <c r="DD69" s="6"/>
      <c r="DE69" s="6"/>
      <c r="DF69" s="6"/>
      <c r="DG69" s="6"/>
      <c r="DH69" s="6"/>
    </row>
    <row r="70" spans="1:112" ht="21" customHeight="1">
      <c r="A70" s="6"/>
      <c r="B70" s="6"/>
      <c r="C70" s="6"/>
      <c r="D70" s="6"/>
      <c r="E70" s="17"/>
      <c r="F70" s="18"/>
      <c r="G70" s="7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6"/>
      <c r="BY70" s="6"/>
      <c r="BZ70" s="6"/>
      <c r="CA70" s="6"/>
      <c r="CB70" s="6"/>
      <c r="CC70" s="6"/>
      <c r="CD70" s="6"/>
      <c r="CE70" s="6"/>
      <c r="CF70" s="6"/>
      <c r="CG70" s="6"/>
      <c r="CH70" s="6"/>
      <c r="CI70" s="6"/>
      <c r="CJ70" s="6"/>
      <c r="CK70" s="6"/>
      <c r="CL70" s="6"/>
      <c r="CM70" s="6"/>
      <c r="CN70" s="6"/>
      <c r="CO70" s="6"/>
      <c r="CP70" s="6"/>
      <c r="CQ70" s="6"/>
      <c r="CR70" s="6"/>
      <c r="CS70" s="6"/>
      <c r="CT70" s="6"/>
      <c r="CU70" s="6"/>
      <c r="CV70" s="6"/>
      <c r="CW70" s="6"/>
      <c r="CX70" s="6"/>
      <c r="CY70" s="6"/>
      <c r="CZ70" s="6"/>
      <c r="DA70" s="6"/>
      <c r="DB70" s="6"/>
      <c r="DC70" s="6"/>
      <c r="DD70" s="6"/>
      <c r="DE70" s="6"/>
      <c r="DF70" s="6"/>
      <c r="DG70" s="6"/>
      <c r="DH70" s="6"/>
    </row>
    <row r="71" spans="1:112" ht="21" customHeight="1">
      <c r="A71" s="6"/>
      <c r="B71" s="6"/>
      <c r="C71" s="6"/>
      <c r="D71" s="6"/>
      <c r="E71" s="12"/>
      <c r="F71" s="13"/>
      <c r="G71" s="7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6"/>
      <c r="BY71" s="6"/>
      <c r="BZ71" s="6"/>
      <c r="CA71" s="6"/>
      <c r="CB71" s="6"/>
      <c r="CC71" s="6"/>
      <c r="CD71" s="6"/>
      <c r="CE71" s="6"/>
      <c r="CF71" s="6"/>
      <c r="CG71" s="6"/>
      <c r="CH71" s="6"/>
      <c r="CI71" s="6"/>
      <c r="CJ71" s="6"/>
      <c r="CK71" s="6"/>
      <c r="CL71" s="6"/>
      <c r="CM71" s="6"/>
      <c r="CN71" s="6"/>
      <c r="CO71" s="6"/>
      <c r="CP71" s="6"/>
      <c r="CQ71" s="6"/>
      <c r="CR71" s="6"/>
      <c r="CS71" s="6"/>
      <c r="CT71" s="6"/>
      <c r="CU71" s="6"/>
      <c r="CV71" s="6"/>
      <c r="CW71" s="6"/>
      <c r="CX71" s="6"/>
      <c r="CY71" s="6"/>
      <c r="CZ71" s="6"/>
      <c r="DA71" s="6"/>
      <c r="DB71" s="6"/>
      <c r="DC71" s="6"/>
      <c r="DD71" s="6"/>
      <c r="DE71" s="6"/>
      <c r="DF71" s="6"/>
      <c r="DG71" s="6"/>
      <c r="DH71" s="6"/>
    </row>
    <row r="72" spans="1:112" ht="21" customHeight="1">
      <c r="A72" s="6"/>
      <c r="B72" s="6"/>
      <c r="C72" s="6"/>
      <c r="D72" s="6"/>
      <c r="E72" s="7"/>
      <c r="F72" s="7"/>
      <c r="G72" s="7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6"/>
      <c r="BZ72" s="6"/>
      <c r="CA72" s="6"/>
      <c r="CB72" s="6"/>
      <c r="CC72" s="6"/>
      <c r="CD72" s="6"/>
      <c r="CE72" s="6"/>
      <c r="CF72" s="6"/>
      <c r="CG72" s="6"/>
      <c r="CH72" s="6"/>
      <c r="CI72" s="6"/>
      <c r="CJ72" s="6"/>
      <c r="CK72" s="6"/>
      <c r="CL72" s="6"/>
      <c r="CM72" s="6"/>
      <c r="CN72" s="6"/>
      <c r="CO72" s="6"/>
      <c r="CP72" s="6"/>
      <c r="CQ72" s="6"/>
      <c r="CR72" s="6"/>
      <c r="CS72" s="6"/>
      <c r="CT72" s="6"/>
      <c r="CU72" s="6"/>
      <c r="CV72" s="6"/>
      <c r="CW72" s="6"/>
      <c r="CX72" s="6"/>
      <c r="CY72" s="6"/>
      <c r="CZ72" s="6"/>
      <c r="DA72" s="6"/>
      <c r="DB72" s="6"/>
      <c r="DC72" s="6"/>
      <c r="DD72" s="6"/>
      <c r="DE72" s="6"/>
      <c r="DF72" s="6"/>
      <c r="DG72" s="6"/>
      <c r="DH72" s="6"/>
    </row>
    <row r="73" spans="1:112" ht="21.6" customHeight="1">
      <c r="A73" s="6"/>
      <c r="B73" s="6"/>
      <c r="C73" s="6"/>
      <c r="D73" s="6"/>
      <c r="E73" s="7"/>
      <c r="F73" s="7"/>
      <c r="G73" s="7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6"/>
      <c r="BY73" s="6"/>
      <c r="BZ73" s="6"/>
      <c r="CA73" s="6"/>
      <c r="CB73" s="6"/>
      <c r="CC73" s="6"/>
      <c r="CD73" s="6"/>
      <c r="CE73" s="6"/>
      <c r="CF73" s="6"/>
      <c r="CG73" s="6"/>
      <c r="CH73" s="6"/>
      <c r="CI73" s="6"/>
      <c r="CJ73" s="6"/>
      <c r="CK73" s="6"/>
      <c r="CL73" s="6"/>
      <c r="CM73" s="6"/>
      <c r="CN73" s="6"/>
      <c r="CO73" s="6"/>
      <c r="CP73" s="6"/>
      <c r="CQ73" s="6"/>
      <c r="CR73" s="6"/>
      <c r="CS73" s="6"/>
      <c r="CT73" s="6"/>
      <c r="CU73" s="6"/>
      <c r="CV73" s="6"/>
      <c r="CW73" s="6"/>
      <c r="CX73" s="6"/>
      <c r="CY73" s="6"/>
      <c r="CZ73" s="6"/>
      <c r="DA73" s="6"/>
      <c r="DB73" s="6"/>
      <c r="DC73" s="6"/>
      <c r="DD73" s="6"/>
      <c r="DE73" s="6"/>
      <c r="DF73" s="6"/>
      <c r="DG73" s="6"/>
      <c r="DH73" s="6"/>
    </row>
    <row r="74" spans="1:112" ht="21.6" customHeight="1">
      <c r="A74" s="6"/>
      <c r="B74" s="6"/>
      <c r="C74" s="6"/>
      <c r="D74" s="6"/>
      <c r="E74" s="12"/>
      <c r="F74" s="13"/>
      <c r="G74" s="7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</row>
    <row r="75" spans="1:112" ht="21.6" customHeight="1">
      <c r="A75" s="6"/>
      <c r="B75" s="6"/>
      <c r="C75" s="6"/>
      <c r="D75" s="6"/>
      <c r="E75" s="7"/>
      <c r="F75" s="7"/>
      <c r="G75" s="7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</row>
    <row r="76" spans="1:112" ht="21.6" customHeight="1">
      <c r="A76" s="6"/>
      <c r="B76" s="6"/>
      <c r="C76" s="6"/>
      <c r="D76" s="6"/>
      <c r="E76" s="7"/>
      <c r="F76" s="7"/>
      <c r="G76" s="7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/>
      <c r="CA76" s="6"/>
      <c r="CB76" s="6"/>
      <c r="CC76" s="6"/>
      <c r="CD76" s="6"/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/>
      <c r="CY76" s="6"/>
      <c r="CZ76" s="6"/>
      <c r="DA76" s="6"/>
      <c r="DB76" s="6"/>
      <c r="DC76" s="6"/>
      <c r="DD76" s="6"/>
      <c r="DE76" s="6"/>
      <c r="DF76" s="6"/>
      <c r="DG76" s="6"/>
      <c r="DH76" s="6"/>
    </row>
    <row r="77" spans="1:112" ht="21.6" customHeight="1">
      <c r="A77" s="6"/>
      <c r="B77" s="6"/>
      <c r="C77" s="6"/>
      <c r="D77" s="6"/>
      <c r="E77" s="7"/>
      <c r="F77" s="7"/>
      <c r="G77" s="7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6"/>
      <c r="BY77" s="6"/>
      <c r="BZ77" s="6"/>
      <c r="CA77" s="6"/>
      <c r="CB77" s="6"/>
      <c r="CC77" s="6"/>
      <c r="CD77" s="6"/>
      <c r="CE77" s="6"/>
      <c r="CF77" s="6"/>
      <c r="CG77" s="6"/>
      <c r="CH77" s="6"/>
      <c r="CI77" s="6"/>
      <c r="CJ77" s="6"/>
      <c r="CK77" s="6"/>
      <c r="CL77" s="6"/>
      <c r="CM77" s="6"/>
      <c r="CN77" s="6"/>
      <c r="CO77" s="6"/>
      <c r="CP77" s="6"/>
      <c r="CQ77" s="6"/>
      <c r="CR77" s="6"/>
      <c r="CS77" s="6"/>
      <c r="CT77" s="6"/>
      <c r="CU77" s="6"/>
      <c r="CV77" s="6"/>
      <c r="CW77" s="6"/>
      <c r="CX77" s="6"/>
      <c r="CY77" s="6"/>
      <c r="CZ77" s="6"/>
      <c r="DA77" s="6"/>
      <c r="DB77" s="6"/>
      <c r="DC77" s="6"/>
      <c r="DD77" s="6"/>
      <c r="DE77" s="6"/>
      <c r="DF77" s="6"/>
      <c r="DG77" s="6"/>
      <c r="DH77" s="6"/>
    </row>
    <row r="78" spans="1:112" ht="21.6" customHeight="1">
      <c r="A78" s="6"/>
      <c r="B78" s="6"/>
      <c r="C78" s="6"/>
      <c r="D78" s="6"/>
      <c r="E78" s="7"/>
      <c r="F78" s="7"/>
      <c r="G78" s="7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6"/>
      <c r="BY78" s="6"/>
      <c r="BZ78" s="6"/>
      <c r="CA78" s="6"/>
      <c r="CB78" s="6"/>
      <c r="CC78" s="6"/>
      <c r="CD78" s="6"/>
      <c r="CE78" s="6"/>
      <c r="CF78" s="6"/>
      <c r="CG78" s="6"/>
      <c r="CH78" s="6"/>
      <c r="CI78" s="6"/>
      <c r="CJ78" s="6"/>
      <c r="CK78" s="6"/>
      <c r="CL78" s="6"/>
      <c r="CM78" s="6"/>
      <c r="CN78" s="6"/>
      <c r="CO78" s="6"/>
      <c r="CP78" s="6"/>
      <c r="CQ78" s="6"/>
      <c r="CR78" s="6"/>
      <c r="CS78" s="6"/>
      <c r="CT78" s="6"/>
      <c r="CU78" s="6"/>
      <c r="CV78" s="6"/>
      <c r="CW78" s="6"/>
      <c r="CX78" s="6"/>
      <c r="CY78" s="6"/>
      <c r="CZ78" s="6"/>
      <c r="DA78" s="6"/>
      <c r="DB78" s="6"/>
      <c r="DC78" s="6"/>
      <c r="DD78" s="6"/>
      <c r="DE78" s="6"/>
      <c r="DF78" s="6"/>
      <c r="DG78" s="6"/>
      <c r="DH78" s="6"/>
    </row>
    <row r="79" spans="1:112" ht="21.6" customHeight="1">
      <c r="A79" s="6"/>
      <c r="B79" s="6"/>
      <c r="C79" s="6"/>
      <c r="D79" s="6"/>
      <c r="E79" s="7"/>
      <c r="F79" s="7"/>
      <c r="G79" s="7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6"/>
      <c r="BY79" s="6"/>
      <c r="BZ79" s="6"/>
      <c r="CA79" s="6"/>
      <c r="CB79" s="6"/>
      <c r="CC79" s="6"/>
      <c r="CD79" s="6"/>
      <c r="CE79" s="6"/>
      <c r="CF79" s="6"/>
      <c r="CG79" s="6"/>
      <c r="CH79" s="6"/>
      <c r="CI79" s="6"/>
      <c r="CJ79" s="6"/>
      <c r="CK79" s="6"/>
      <c r="CL79" s="6"/>
      <c r="CM79" s="6"/>
      <c r="CN79" s="6"/>
      <c r="CO79" s="6"/>
      <c r="CP79" s="6"/>
      <c r="CQ79" s="6"/>
      <c r="CR79" s="6"/>
      <c r="CS79" s="6"/>
      <c r="CT79" s="6"/>
      <c r="CU79" s="6"/>
      <c r="CV79" s="6"/>
      <c r="CW79" s="6"/>
      <c r="CX79" s="6"/>
      <c r="CY79" s="6"/>
      <c r="CZ79" s="6"/>
      <c r="DA79" s="6"/>
      <c r="DB79" s="6"/>
      <c r="DC79" s="6"/>
      <c r="DD79" s="6"/>
      <c r="DE79" s="6"/>
      <c r="DF79" s="6"/>
      <c r="DG79" s="6"/>
      <c r="DH79" s="6"/>
    </row>
    <row r="80" spans="1:112" ht="21.6" customHeight="1">
      <c r="A80" s="6"/>
      <c r="B80" s="6"/>
      <c r="C80" s="6"/>
      <c r="D80" s="6"/>
      <c r="E80" s="7"/>
      <c r="F80" s="7"/>
      <c r="G80" s="7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6"/>
      <c r="BY80" s="6"/>
      <c r="BZ80" s="6"/>
      <c r="CA80" s="6"/>
      <c r="CB80" s="6"/>
      <c r="CC80" s="6"/>
      <c r="CD80" s="6"/>
      <c r="CE80" s="6"/>
      <c r="CF80" s="6"/>
      <c r="CG80" s="6"/>
      <c r="CH80" s="6"/>
      <c r="CI80" s="6"/>
      <c r="CJ80" s="6"/>
      <c r="CK80" s="6"/>
      <c r="CL80" s="6"/>
      <c r="CM80" s="6"/>
      <c r="CN80" s="6"/>
      <c r="CO80" s="6"/>
      <c r="CP80" s="6"/>
      <c r="CQ80" s="6"/>
      <c r="CR80" s="6"/>
      <c r="CS80" s="6"/>
      <c r="CT80" s="6"/>
      <c r="CU80" s="6"/>
      <c r="CV80" s="6"/>
      <c r="CW80" s="6"/>
      <c r="CX80" s="6"/>
      <c r="CY80" s="6"/>
      <c r="CZ80" s="6"/>
      <c r="DA80" s="6"/>
      <c r="DB80" s="6"/>
      <c r="DC80" s="6"/>
      <c r="DD80" s="6"/>
      <c r="DE80" s="6"/>
      <c r="DF80" s="6"/>
      <c r="DG80" s="6"/>
      <c r="DH80" s="6"/>
    </row>
    <row r="81" spans="1:112" ht="21.6" customHeight="1">
      <c r="A81" s="6"/>
      <c r="B81" s="6"/>
      <c r="C81" s="6"/>
      <c r="D81" s="6"/>
      <c r="E81" s="12"/>
      <c r="F81" s="13"/>
      <c r="G81" s="7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6"/>
      <c r="BY81" s="6"/>
      <c r="BZ81" s="6"/>
      <c r="CA81" s="6"/>
      <c r="CB81" s="6"/>
      <c r="CC81" s="6"/>
      <c r="CD81" s="6"/>
      <c r="CE81" s="6"/>
      <c r="CF81" s="6"/>
      <c r="CG81" s="6"/>
      <c r="CH81" s="6"/>
      <c r="CI81" s="6"/>
      <c r="CJ81" s="6"/>
      <c r="CK81" s="6"/>
      <c r="CL81" s="6"/>
      <c r="CM81" s="6"/>
      <c r="CN81" s="6"/>
      <c r="CO81" s="6"/>
      <c r="CP81" s="6"/>
      <c r="CQ81" s="6"/>
      <c r="CR81" s="6"/>
      <c r="CS81" s="6"/>
      <c r="CT81" s="6"/>
      <c r="CU81" s="6"/>
      <c r="CV81" s="6"/>
      <c r="CW81" s="6"/>
      <c r="CX81" s="6"/>
      <c r="CY81" s="6"/>
      <c r="CZ81" s="6"/>
      <c r="DA81" s="6"/>
      <c r="DB81" s="6"/>
      <c r="DC81" s="6"/>
      <c r="DD81" s="6"/>
      <c r="DE81" s="6"/>
      <c r="DF81" s="6"/>
      <c r="DG81" s="6"/>
      <c r="DH81" s="6"/>
    </row>
    <row r="82" spans="1:112" ht="21.6" customHeight="1">
      <c r="A82" s="6"/>
      <c r="B82" s="6"/>
      <c r="C82" s="6"/>
      <c r="D82" s="6"/>
      <c r="E82" s="7"/>
      <c r="F82" s="7"/>
      <c r="G82" s="7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/>
      <c r="CA82" s="6"/>
      <c r="CB82" s="6"/>
      <c r="CC82" s="6"/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/>
      <c r="CY82" s="6"/>
      <c r="CZ82" s="6"/>
      <c r="DA82" s="6"/>
      <c r="DB82" s="6"/>
      <c r="DC82" s="6"/>
      <c r="DD82" s="6"/>
      <c r="DE82" s="6"/>
      <c r="DF82" s="6"/>
      <c r="DG82" s="6"/>
      <c r="DH82" s="6"/>
    </row>
    <row r="83" spans="1:112" ht="21.6" customHeight="1">
      <c r="A83" s="6"/>
      <c r="B83" s="6"/>
      <c r="C83" s="6"/>
      <c r="D83" s="6"/>
      <c r="E83" s="12"/>
      <c r="F83" s="13"/>
      <c r="G83" s="7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/>
      <c r="CA83" s="6"/>
      <c r="CB83" s="6"/>
      <c r="CC83" s="6"/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/>
      <c r="CY83" s="6"/>
      <c r="CZ83" s="6"/>
      <c r="DA83" s="6"/>
      <c r="DB83" s="6"/>
      <c r="DC83" s="6"/>
      <c r="DD83" s="6"/>
      <c r="DE83" s="6"/>
      <c r="DF83" s="6"/>
      <c r="DG83" s="6"/>
      <c r="DH83" s="6"/>
    </row>
    <row r="84" spans="1:112" ht="21.6" customHeight="1">
      <c r="A84" s="6"/>
      <c r="B84" s="6"/>
      <c r="C84" s="6"/>
      <c r="D84" s="6"/>
      <c r="E84" s="12"/>
      <c r="F84" s="13"/>
      <c r="G84" s="7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6"/>
      <c r="BY84" s="6"/>
      <c r="BZ84" s="6"/>
      <c r="CA84" s="6"/>
      <c r="CB84" s="6"/>
      <c r="CC84" s="6"/>
      <c r="CD84" s="6"/>
      <c r="CE84" s="6"/>
      <c r="CF84" s="6"/>
      <c r="CG84" s="6"/>
      <c r="CH84" s="6"/>
      <c r="CI84" s="6"/>
      <c r="CJ84" s="6"/>
      <c r="CK84" s="6"/>
      <c r="CL84" s="6"/>
      <c r="CM84" s="6"/>
      <c r="CN84" s="6"/>
      <c r="CO84" s="6"/>
      <c r="CP84" s="6"/>
      <c r="CQ84" s="6"/>
      <c r="CR84" s="6"/>
      <c r="CS84" s="6"/>
      <c r="CT84" s="6"/>
      <c r="CU84" s="6"/>
      <c r="CV84" s="6"/>
      <c r="CW84" s="6"/>
      <c r="CX84" s="6"/>
      <c r="CY84" s="6"/>
      <c r="CZ84" s="6"/>
      <c r="DA84" s="6"/>
      <c r="DB84" s="6"/>
      <c r="DC84" s="6"/>
      <c r="DD84" s="6"/>
      <c r="DE84" s="6"/>
      <c r="DF84" s="6"/>
      <c r="DG84" s="6"/>
      <c r="DH84" s="6"/>
    </row>
    <row r="85" spans="1:112" ht="21.6" customHeight="1">
      <c r="A85" s="6"/>
      <c r="B85" s="6"/>
      <c r="C85" s="6"/>
      <c r="D85" s="6"/>
      <c r="E85" s="12"/>
      <c r="F85" s="13"/>
      <c r="G85" s="7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6"/>
      <c r="BY85" s="6"/>
      <c r="BZ85" s="6"/>
      <c r="CA85" s="6"/>
      <c r="CB85" s="6"/>
      <c r="CC85" s="6"/>
      <c r="CD85" s="6"/>
      <c r="CE85" s="6"/>
      <c r="CF85" s="6"/>
      <c r="CG85" s="6"/>
      <c r="CH85" s="6"/>
      <c r="CI85" s="6"/>
      <c r="CJ85" s="6"/>
      <c r="CK85" s="6"/>
      <c r="CL85" s="6"/>
      <c r="CM85" s="6"/>
      <c r="CN85" s="6"/>
      <c r="CO85" s="6"/>
      <c r="CP85" s="6"/>
      <c r="CQ85" s="6"/>
      <c r="CR85" s="6"/>
      <c r="CS85" s="6"/>
      <c r="CT85" s="6"/>
      <c r="CU85" s="6"/>
      <c r="CV85" s="6"/>
      <c r="CW85" s="6"/>
      <c r="CX85" s="6"/>
      <c r="CY85" s="6"/>
      <c r="CZ85" s="6"/>
      <c r="DA85" s="6"/>
      <c r="DB85" s="6"/>
      <c r="DC85" s="6"/>
      <c r="DD85" s="6"/>
      <c r="DE85" s="6"/>
      <c r="DF85" s="6"/>
      <c r="DG85" s="6"/>
      <c r="DH85" s="6"/>
    </row>
    <row r="86" spans="1:112" ht="21.6" customHeight="1">
      <c r="A86" s="6"/>
      <c r="B86" s="6"/>
      <c r="C86" s="6"/>
      <c r="D86" s="6"/>
      <c r="E86" s="7"/>
      <c r="F86" s="7"/>
      <c r="G86" s="7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6"/>
      <c r="BY86" s="6"/>
      <c r="BZ86" s="6"/>
      <c r="CA86" s="6"/>
      <c r="CB86" s="6"/>
      <c r="CC86" s="6"/>
      <c r="CD86" s="6"/>
      <c r="CE86" s="6"/>
      <c r="CF86" s="6"/>
      <c r="CG86" s="6"/>
      <c r="CH86" s="6"/>
      <c r="CI86" s="6"/>
      <c r="CJ86" s="6"/>
      <c r="CK86" s="6"/>
      <c r="CL86" s="6"/>
      <c r="CM86" s="6"/>
      <c r="CN86" s="6"/>
      <c r="CO86" s="6"/>
      <c r="CP86" s="6"/>
      <c r="CQ86" s="6"/>
      <c r="CR86" s="6"/>
      <c r="CS86" s="6"/>
      <c r="CT86" s="6"/>
      <c r="CU86" s="6"/>
      <c r="CV86" s="6"/>
      <c r="CW86" s="6"/>
      <c r="CX86" s="6"/>
      <c r="CY86" s="6"/>
      <c r="CZ86" s="6"/>
      <c r="DA86" s="6"/>
      <c r="DB86" s="6"/>
      <c r="DC86" s="6"/>
      <c r="DD86" s="6"/>
      <c r="DE86" s="6"/>
      <c r="DF86" s="6"/>
      <c r="DG86" s="6"/>
      <c r="DH86" s="6"/>
    </row>
    <row r="87" spans="1:112" ht="21.6" customHeight="1">
      <c r="A87" s="6"/>
      <c r="B87" s="6"/>
      <c r="C87" s="6"/>
      <c r="D87" s="6"/>
      <c r="E87" s="7"/>
      <c r="F87" s="7"/>
      <c r="G87" s="7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</row>
    <row r="88" spans="1:112" ht="21.6" customHeight="1">
      <c r="A88" s="6"/>
      <c r="B88" s="6"/>
      <c r="C88" s="6"/>
      <c r="D88" s="6"/>
      <c r="E88" s="7"/>
      <c r="F88" s="7"/>
      <c r="G88" s="7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/>
      <c r="CA88" s="6"/>
      <c r="CB88" s="6"/>
      <c r="CC88" s="6"/>
      <c r="CD88" s="6"/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/>
      <c r="CY88" s="6"/>
      <c r="CZ88" s="6"/>
      <c r="DA88" s="6"/>
      <c r="DB88" s="6"/>
      <c r="DC88" s="6"/>
      <c r="DD88" s="6"/>
      <c r="DE88" s="6"/>
      <c r="DF88" s="6"/>
      <c r="DG88" s="6"/>
      <c r="DH88" s="6"/>
    </row>
    <row r="89" spans="1:112" ht="21.6" customHeight="1">
      <c r="A89" s="6"/>
      <c r="B89" s="6"/>
      <c r="C89" s="6"/>
      <c r="D89" s="6"/>
      <c r="E89" s="7"/>
      <c r="F89" s="7"/>
      <c r="G89" s="7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/>
      <c r="CA89" s="6"/>
      <c r="CB89" s="6"/>
      <c r="CC89" s="6"/>
      <c r="CD89" s="6"/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/>
      <c r="CY89" s="6"/>
      <c r="CZ89" s="6"/>
      <c r="DA89" s="6"/>
      <c r="DB89" s="6"/>
      <c r="DC89" s="6"/>
      <c r="DD89" s="6"/>
      <c r="DE89" s="6"/>
      <c r="DF89" s="6"/>
      <c r="DG89" s="6"/>
      <c r="DH89" s="6"/>
    </row>
    <row r="90" spans="1:112" ht="21.6" customHeight="1">
      <c r="A90" s="6"/>
      <c r="B90" s="6"/>
      <c r="C90" s="11"/>
      <c r="D90" s="6"/>
      <c r="E90" s="8"/>
      <c r="F90" s="9"/>
      <c r="G90" s="7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/>
      <c r="CA90" s="6"/>
      <c r="CB90" s="6"/>
      <c r="CC90" s="6"/>
      <c r="CD90" s="6"/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/>
      <c r="CY90" s="6"/>
      <c r="CZ90" s="6"/>
      <c r="DA90" s="6"/>
      <c r="DB90" s="6"/>
      <c r="DC90" s="6"/>
      <c r="DD90" s="6"/>
      <c r="DE90" s="6"/>
      <c r="DF90" s="6"/>
      <c r="DG90" s="6"/>
      <c r="DH90" s="6"/>
    </row>
    <row r="91" spans="1:112" ht="21.6" customHeight="1">
      <c r="A91" s="6"/>
      <c r="B91" s="6"/>
      <c r="C91" s="6"/>
      <c r="D91" s="6"/>
      <c r="E91" s="7"/>
      <c r="F91" s="7"/>
      <c r="G91" s="7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/>
      <c r="CA91" s="6"/>
      <c r="CB91" s="6"/>
      <c r="CC91" s="6"/>
      <c r="CD91" s="6"/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/>
      <c r="CY91" s="6"/>
      <c r="CZ91" s="6"/>
      <c r="DA91" s="6"/>
      <c r="DB91" s="6"/>
      <c r="DC91" s="6"/>
      <c r="DD91" s="6"/>
      <c r="DE91" s="6"/>
      <c r="DF91" s="6"/>
      <c r="DG91" s="6"/>
      <c r="DH91" s="6"/>
    </row>
    <row r="92" spans="1:112" ht="21.6" customHeight="1">
      <c r="A92" s="6"/>
      <c r="B92" s="6"/>
      <c r="C92" s="6"/>
      <c r="D92" s="6"/>
      <c r="E92" s="7"/>
      <c r="F92" s="7"/>
      <c r="G92" s="7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  <c r="CQ92" s="6"/>
      <c r="CR92" s="6"/>
      <c r="CS92" s="6"/>
      <c r="CT92" s="6"/>
      <c r="CU92" s="6"/>
      <c r="CV92" s="6"/>
      <c r="CW92" s="6"/>
      <c r="CX92" s="6"/>
      <c r="CY92" s="6"/>
      <c r="CZ92" s="6"/>
      <c r="DA92" s="6"/>
      <c r="DB92" s="6"/>
      <c r="DC92" s="6"/>
      <c r="DD92" s="6"/>
      <c r="DE92" s="6"/>
      <c r="DF92" s="6"/>
      <c r="DG92" s="6"/>
      <c r="DH92" s="6"/>
    </row>
  </sheetData>
  <phoneticPr fontId="2"/>
  <conditionalFormatting sqref="C1:C3 C21 C7 C9 C11 C13 C23 C26:C1048576">
    <cfRule type="duplicateValues" dxfId="4" priority="3"/>
  </conditionalFormatting>
  <conditionalFormatting sqref="C24">
    <cfRule type="duplicateValues" dxfId="3" priority="2"/>
  </conditionalFormatting>
  <conditionalFormatting sqref="C25">
    <cfRule type="duplicateValues" dxfId="2" priority="1"/>
  </conditionalFormatting>
  <conditionalFormatting sqref="G4:DH99">
    <cfRule type="expression" dxfId="1" priority="4">
      <formula>AND($D4="計画", $E4 &lt;= F$3, F$3 &lt; $F4 + IF($F4 &lt; $E4, 1, 0))</formula>
    </cfRule>
    <cfRule type="expression" dxfId="0" priority="5">
      <formula>AND($D4="実績", $E4 &lt;= F$3, F$3 &lt; $F4 + IF($F4 &lt; $E4, 1, 0))</formula>
    </cfRule>
  </conditionalFormatting>
  <pageMargins left="0.7" right="0.7" top="0.75" bottom="0.75" header="0.3" footer="0.3"/>
  <pageSetup paperSize="8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8661C-CCB4-4033-AC5E-E51968A9C14C}">
  <dimension ref="A1:J32"/>
  <sheetViews>
    <sheetView tabSelected="1" topLeftCell="A4" workbookViewId="0">
      <selection activeCell="I13" sqref="I13:J13"/>
    </sheetView>
    <sheetView topLeftCell="A7" workbookViewId="1">
      <selection sqref="A1:XFD1048576"/>
    </sheetView>
  </sheetViews>
  <sheetFormatPr defaultColWidth="9.125" defaultRowHeight="18.75"/>
  <cols>
    <col min="2" max="2" width="14.375" bestFit="1" customWidth="1"/>
    <col min="3" max="3" width="10.5" bestFit="1" customWidth="1"/>
    <col min="4" max="4" width="5.25" bestFit="1" customWidth="1"/>
    <col min="5" max="5" width="7.125" bestFit="1" customWidth="1"/>
    <col min="6" max="6" width="17.5" style="24" bestFit="1" customWidth="1"/>
    <col min="7" max="7" width="8.375" style="23" bestFit="1" customWidth="1"/>
    <col min="8" max="8" width="9" style="23" bestFit="1" customWidth="1"/>
    <col min="9" max="10" width="20.625" bestFit="1" customWidth="1"/>
  </cols>
  <sheetData>
    <row r="1" spans="1:10">
      <c r="F1" s="32"/>
    </row>
    <row r="2" spans="1:10">
      <c r="F2" s="32"/>
      <c r="H2" s="21"/>
      <c r="I2" t="s">
        <v>10</v>
      </c>
    </row>
    <row r="3" spans="1:10">
      <c r="F3" s="32"/>
    </row>
    <row r="4" spans="1:10">
      <c r="F4" s="32"/>
      <c r="I4" s="2"/>
      <c r="J4" s="2"/>
    </row>
    <row r="5" spans="1:10">
      <c r="B5" s="6" t="s">
        <v>11</v>
      </c>
      <c r="C5" s="6" t="s">
        <v>12</v>
      </c>
      <c r="D5" s="6" t="s">
        <v>13</v>
      </c>
      <c r="E5" s="6" t="s">
        <v>14</v>
      </c>
      <c r="F5" s="33" t="s">
        <v>15</v>
      </c>
      <c r="G5" s="22" t="s">
        <v>16</v>
      </c>
      <c r="H5" s="22" t="s">
        <v>17</v>
      </c>
      <c r="I5" s="6" t="s">
        <v>18</v>
      </c>
      <c r="J5" s="6" t="s">
        <v>19</v>
      </c>
    </row>
    <row r="6" spans="1:10">
      <c r="A6" s="36"/>
      <c r="B6" s="6" t="s">
        <v>33</v>
      </c>
      <c r="C6" s="6" t="s">
        <v>34</v>
      </c>
      <c r="D6" s="6">
        <v>24</v>
      </c>
      <c r="E6" s="6" t="s">
        <v>20</v>
      </c>
      <c r="F6" s="25" t="s">
        <v>21</v>
      </c>
      <c r="G6" s="22">
        <v>0.30734610917537747</v>
      </c>
      <c r="H6" s="22" t="s">
        <v>23</v>
      </c>
      <c r="I6" s="16">
        <v>0.75</v>
      </c>
      <c r="J6" s="16">
        <f t="shared" ref="J6:J13" si="0">I6+G6/24</f>
        <v>0.76280608788230742</v>
      </c>
    </row>
    <row r="7" spans="1:10">
      <c r="A7" s="36"/>
      <c r="B7" s="6" t="s">
        <v>35</v>
      </c>
      <c r="C7" s="6" t="s">
        <v>36</v>
      </c>
      <c r="D7" s="6">
        <v>24</v>
      </c>
      <c r="E7" s="6" t="s">
        <v>20</v>
      </c>
      <c r="F7" s="25" t="s">
        <v>21</v>
      </c>
      <c r="G7" s="22">
        <v>0.24283854166666669</v>
      </c>
      <c r="H7" s="22" t="s">
        <v>23</v>
      </c>
      <c r="I7" s="16">
        <f t="shared" ref="I7:I13" si="1">J6</f>
        <v>0.76280608788230742</v>
      </c>
      <c r="J7" s="16">
        <f t="shared" si="0"/>
        <v>0.77292436045175184</v>
      </c>
    </row>
    <row r="8" spans="1:10">
      <c r="A8" s="36"/>
      <c r="B8" s="6" t="s">
        <v>37</v>
      </c>
      <c r="C8" s="6" t="s">
        <v>38</v>
      </c>
      <c r="D8" s="6">
        <v>24</v>
      </c>
      <c r="E8" s="6" t="s">
        <v>20</v>
      </c>
      <c r="F8" s="25" t="s">
        <v>21</v>
      </c>
      <c r="G8" s="22">
        <v>1.0666666666666669</v>
      </c>
      <c r="H8" s="22" t="s">
        <v>23</v>
      </c>
      <c r="I8" s="16">
        <f t="shared" si="1"/>
        <v>0.77292436045175184</v>
      </c>
      <c r="J8" s="16">
        <f t="shared" si="0"/>
        <v>0.81736880489619623</v>
      </c>
    </row>
    <row r="9" spans="1:10">
      <c r="A9" s="36"/>
      <c r="B9" s="6" t="s">
        <v>8</v>
      </c>
      <c r="C9" s="6" t="s">
        <v>39</v>
      </c>
      <c r="D9" s="6">
        <v>288</v>
      </c>
      <c r="E9" s="6" t="s">
        <v>22</v>
      </c>
      <c r="F9" s="25">
        <v>45587.74050925926</v>
      </c>
      <c r="G9" s="22">
        <v>2.428571428571427</v>
      </c>
      <c r="H9" s="22">
        <v>1.9523809523809526</v>
      </c>
      <c r="I9" s="16">
        <f t="shared" si="1"/>
        <v>0.81736880489619623</v>
      </c>
      <c r="J9" s="16">
        <f t="shared" si="0"/>
        <v>0.9185592810866724</v>
      </c>
    </row>
    <row r="10" spans="1:10">
      <c r="A10" s="36"/>
      <c r="B10" s="6" t="s">
        <v>9</v>
      </c>
      <c r="C10" s="6" t="s">
        <v>40</v>
      </c>
      <c r="D10" s="6">
        <v>48</v>
      </c>
      <c r="E10" s="6" t="s">
        <v>22</v>
      </c>
      <c r="F10" s="25">
        <v>45587.787615740737</v>
      </c>
      <c r="G10" s="22">
        <v>0.75420015367682192</v>
      </c>
      <c r="H10" s="22">
        <v>0.84665545241210305</v>
      </c>
      <c r="I10" s="16">
        <f t="shared" si="1"/>
        <v>0.9185592810866724</v>
      </c>
      <c r="J10" s="16">
        <f t="shared" si="0"/>
        <v>0.94998428748987329</v>
      </c>
    </row>
    <row r="11" spans="1:10">
      <c r="A11" s="36"/>
      <c r="B11" s="6" t="s">
        <v>41</v>
      </c>
      <c r="C11" s="6" t="s">
        <v>42</v>
      </c>
      <c r="D11" s="6">
        <v>180</v>
      </c>
      <c r="E11" s="6" t="s">
        <v>20</v>
      </c>
      <c r="F11" s="25" t="s">
        <v>21</v>
      </c>
      <c r="G11" s="22">
        <v>0.31522763660778846</v>
      </c>
      <c r="H11" s="22" t="s">
        <v>23</v>
      </c>
      <c r="I11" s="16">
        <f t="shared" si="1"/>
        <v>0.94998428748987329</v>
      </c>
      <c r="J11" s="16">
        <f t="shared" si="0"/>
        <v>0.96311877234853116</v>
      </c>
    </row>
    <row r="12" spans="1:10">
      <c r="A12" s="36"/>
      <c r="B12" s="6" t="s">
        <v>43</v>
      </c>
      <c r="C12" s="6" t="s">
        <v>44</v>
      </c>
      <c r="D12" s="6">
        <v>72</v>
      </c>
      <c r="E12" s="6" t="s">
        <v>20</v>
      </c>
      <c r="F12" s="25">
        <v>45587.718611111108</v>
      </c>
      <c r="G12" s="22">
        <v>0.28637566137566139</v>
      </c>
      <c r="H12" s="22" t="s">
        <v>23</v>
      </c>
      <c r="I12" s="16">
        <f t="shared" si="1"/>
        <v>0.96311877234853116</v>
      </c>
      <c r="J12" s="16">
        <f t="shared" si="0"/>
        <v>0.97505109157251701</v>
      </c>
    </row>
    <row r="13" spans="1:10">
      <c r="B13" s="6" t="s">
        <v>45</v>
      </c>
      <c r="C13" s="6" t="s">
        <v>46</v>
      </c>
      <c r="D13" s="6">
        <v>260</v>
      </c>
      <c r="E13" s="6" t="s">
        <v>20</v>
      </c>
      <c r="F13" s="25">
        <v>45587.974432870367</v>
      </c>
      <c r="G13" s="22">
        <v>1.4575464963854177</v>
      </c>
      <c r="H13" s="22">
        <v>1.0154901426365026</v>
      </c>
      <c r="I13" s="16">
        <f t="shared" si="1"/>
        <v>0.97505109157251701</v>
      </c>
      <c r="J13" s="16">
        <f t="shared" si="0"/>
        <v>1.035782195588576</v>
      </c>
    </row>
    <row r="14" spans="1:10">
      <c r="F14" s="32"/>
    </row>
    <row r="15" spans="1:10">
      <c r="F15" s="32"/>
    </row>
    <row r="16" spans="1:10">
      <c r="F16" s="32"/>
    </row>
    <row r="17" spans="2:10">
      <c r="F17" s="32"/>
    </row>
    <row r="18" spans="2:10">
      <c r="F18" s="32"/>
      <c r="I18" s="2"/>
    </row>
    <row r="19" spans="2:10">
      <c r="B19" s="6" t="s">
        <v>11</v>
      </c>
      <c r="C19" s="6" t="s">
        <v>12</v>
      </c>
      <c r="D19" s="6" t="s">
        <v>13</v>
      </c>
      <c r="E19" s="6" t="s">
        <v>14</v>
      </c>
      <c r="F19" s="33" t="s">
        <v>15</v>
      </c>
      <c r="G19" s="22" t="s">
        <v>16</v>
      </c>
      <c r="H19" s="22" t="s">
        <v>17</v>
      </c>
      <c r="I19" s="6" t="s">
        <v>18</v>
      </c>
      <c r="J19" s="6" t="s">
        <v>19</v>
      </c>
    </row>
    <row r="20" spans="2:10">
      <c r="B20" s="6" t="s">
        <v>47</v>
      </c>
      <c r="C20" s="6" t="s">
        <v>48</v>
      </c>
      <c r="D20" s="6">
        <v>48</v>
      </c>
      <c r="E20" s="6" t="s">
        <v>24</v>
      </c>
      <c r="F20" s="25">
        <v>7.7962499999557622E-2</v>
      </c>
      <c r="G20" s="22">
        <v>1.1933611768060515</v>
      </c>
      <c r="H20" s="22">
        <v>0.90150790855264284</v>
      </c>
      <c r="I20" s="16">
        <v>0.75</v>
      </c>
      <c r="J20" s="16">
        <f>I20+G20/24</f>
        <v>0.79972338236691876</v>
      </c>
    </row>
    <row r="21" spans="2:10">
      <c r="B21" s="6" t="s">
        <v>49</v>
      </c>
      <c r="C21" s="6" t="s">
        <v>50</v>
      </c>
      <c r="D21" s="6">
        <v>192</v>
      </c>
      <c r="E21" s="6" t="s">
        <v>20</v>
      </c>
      <c r="F21" s="25">
        <v>45587.79173611111</v>
      </c>
      <c r="G21" s="22">
        <v>0.49226190476190484</v>
      </c>
      <c r="H21" s="22">
        <v>4.7523809523809533</v>
      </c>
      <c r="I21" s="16">
        <f t="shared" ref="I21:I24" si="2">J20</f>
        <v>0.79972338236691876</v>
      </c>
      <c r="J21" s="16">
        <f t="shared" ref="J21:J24" si="3">I21+G21/24</f>
        <v>0.82023429506533141</v>
      </c>
    </row>
    <row r="22" spans="2:10">
      <c r="B22" s="6" t="s">
        <v>51</v>
      </c>
      <c r="C22" s="6" t="s">
        <v>52</v>
      </c>
      <c r="D22" s="6">
        <v>36</v>
      </c>
      <c r="E22" s="6" t="s">
        <v>20</v>
      </c>
      <c r="F22" s="25">
        <v>0.14076342592306901</v>
      </c>
      <c r="G22" s="22">
        <v>0.26911976911904761</v>
      </c>
      <c r="H22" s="22" t="s">
        <v>23</v>
      </c>
      <c r="I22" s="16">
        <f t="shared" si="2"/>
        <v>0.82023429506533141</v>
      </c>
      <c r="J22" s="16">
        <f t="shared" si="3"/>
        <v>0.83144761877862505</v>
      </c>
    </row>
    <row r="23" spans="2:10">
      <c r="B23" s="6" t="s">
        <v>53</v>
      </c>
      <c r="C23" s="6" t="s">
        <v>54</v>
      </c>
      <c r="D23" s="6">
        <v>12</v>
      </c>
      <c r="E23" s="6" t="s">
        <v>20</v>
      </c>
      <c r="F23" s="25">
        <v>8.2187037034600507E-2</v>
      </c>
      <c r="G23" s="22">
        <v>1.2</v>
      </c>
      <c r="H23" s="22" t="s">
        <v>23</v>
      </c>
      <c r="I23" s="16">
        <f t="shared" si="2"/>
        <v>0.83144761877862505</v>
      </c>
      <c r="J23" s="16">
        <f t="shared" si="3"/>
        <v>0.8814476187786251</v>
      </c>
    </row>
    <row r="24" spans="2:10">
      <c r="B24" s="6" t="s">
        <v>41</v>
      </c>
      <c r="C24" s="6" t="s">
        <v>55</v>
      </c>
      <c r="D24" s="6">
        <v>180</v>
      </c>
      <c r="E24" s="6" t="s">
        <v>20</v>
      </c>
      <c r="F24" s="25">
        <v>3.1689351853856351E-2</v>
      </c>
      <c r="G24" s="22">
        <v>0.31522763660778846</v>
      </c>
      <c r="H24" s="22" t="s">
        <v>23</v>
      </c>
      <c r="I24" s="16">
        <f t="shared" si="2"/>
        <v>0.8814476187786251</v>
      </c>
      <c r="J24" s="16">
        <f t="shared" si="3"/>
        <v>0.89458210363728297</v>
      </c>
    </row>
    <row r="25" spans="2:10">
      <c r="F25" s="32"/>
    </row>
    <row r="26" spans="2:10">
      <c r="F26" s="32"/>
    </row>
    <row r="27" spans="2:10">
      <c r="F27" s="32"/>
    </row>
    <row r="28" spans="2:10">
      <c r="F28" s="32"/>
    </row>
    <row r="29" spans="2:10">
      <c r="F29" s="32"/>
      <c r="I29" s="2"/>
    </row>
    <row r="30" spans="2:10">
      <c r="B30" s="6" t="s">
        <v>11</v>
      </c>
      <c r="C30" s="6" t="s">
        <v>12</v>
      </c>
      <c r="D30" s="6" t="s">
        <v>13</v>
      </c>
      <c r="E30" s="6" t="s">
        <v>14</v>
      </c>
      <c r="F30" s="33" t="s">
        <v>15</v>
      </c>
      <c r="G30" s="22" t="s">
        <v>16</v>
      </c>
      <c r="H30" s="22" t="s">
        <v>17</v>
      </c>
      <c r="I30" s="6" t="s">
        <v>18</v>
      </c>
      <c r="J30" s="6" t="s">
        <v>19</v>
      </c>
    </row>
    <row r="31" spans="2:10">
      <c r="B31" s="6"/>
      <c r="C31" s="6"/>
      <c r="D31" s="6"/>
      <c r="E31" s="6"/>
      <c r="F31" s="34"/>
      <c r="G31" s="22"/>
      <c r="H31" s="22"/>
      <c r="I31" s="16">
        <v>0.75</v>
      </c>
      <c r="J31" s="16">
        <f>I31+G31/24</f>
        <v>0.75</v>
      </c>
    </row>
    <row r="32" spans="2:10">
      <c r="F32" s="32"/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3453D-E57F-4A77-B420-F1CA2B1A20F4}">
  <dimension ref="B1:I15"/>
  <sheetViews>
    <sheetView workbookViewId="0">
      <selection sqref="A1:XFD1048576"/>
    </sheetView>
    <sheetView workbookViewId="1">
      <selection activeCell="H6" sqref="H6:I14"/>
    </sheetView>
  </sheetViews>
  <sheetFormatPr defaultColWidth="9.125" defaultRowHeight="18.75"/>
  <cols>
    <col min="2" max="2" width="14.375" bestFit="1" customWidth="1"/>
    <col min="3" max="3" width="13" bestFit="1" customWidth="1"/>
    <col min="4" max="4" width="5.25" bestFit="1" customWidth="1"/>
    <col min="5" max="5" width="7.125" bestFit="1" customWidth="1"/>
    <col min="6" max="6" width="16.5" style="20" bestFit="1" customWidth="1"/>
    <col min="7" max="7" width="9" bestFit="1" customWidth="1"/>
    <col min="8" max="8" width="15.125" bestFit="1" customWidth="1"/>
    <col min="9" max="9" width="13" bestFit="1" customWidth="1"/>
  </cols>
  <sheetData>
    <row r="1" spans="2:9">
      <c r="F1" s="32"/>
    </row>
    <row r="2" spans="2:9">
      <c r="F2" s="32"/>
      <c r="G2" s="21"/>
      <c r="H2" t="s">
        <v>10</v>
      </c>
    </row>
    <row r="3" spans="2:9">
      <c r="F3" s="32"/>
    </row>
    <row r="4" spans="2:9">
      <c r="F4" s="32"/>
    </row>
    <row r="5" spans="2:9">
      <c r="B5" s="6" t="s">
        <v>25</v>
      </c>
      <c r="C5" s="6" t="s">
        <v>26</v>
      </c>
      <c r="D5" s="6" t="s">
        <v>13</v>
      </c>
      <c r="E5" s="6" t="s">
        <v>14</v>
      </c>
      <c r="F5" s="33" t="s">
        <v>56</v>
      </c>
      <c r="G5" s="22" t="s">
        <v>17</v>
      </c>
      <c r="H5" s="6" t="s">
        <v>27</v>
      </c>
      <c r="I5" s="6" t="s">
        <v>28</v>
      </c>
    </row>
    <row r="6" spans="2:9">
      <c r="B6" s="6" t="s">
        <v>30</v>
      </c>
      <c r="C6" s="6" t="s">
        <v>31</v>
      </c>
      <c r="D6" s="6">
        <v>48</v>
      </c>
      <c r="E6" s="6" t="s">
        <v>20</v>
      </c>
      <c r="F6" s="25" t="s">
        <v>21</v>
      </c>
      <c r="G6" s="22">
        <v>3.5714285714285716</v>
      </c>
      <c r="H6" s="16">
        <v>0.75</v>
      </c>
      <c r="I6" s="16">
        <f>H6+G6/24</f>
        <v>0.89880952380952384</v>
      </c>
    </row>
    <row r="7" spans="2:9">
      <c r="B7" s="6" t="s">
        <v>57</v>
      </c>
      <c r="C7" s="6" t="s">
        <v>58</v>
      </c>
      <c r="D7" s="6">
        <v>448</v>
      </c>
      <c r="E7" s="6" t="s">
        <v>22</v>
      </c>
      <c r="F7" s="25" t="s">
        <v>21</v>
      </c>
      <c r="G7" s="22">
        <v>0.27538584713378622</v>
      </c>
      <c r="H7" s="16">
        <f>I6</f>
        <v>0.89880952380952384</v>
      </c>
      <c r="I7" s="16">
        <f>H7+G7/24</f>
        <v>0.91028393410676489</v>
      </c>
    </row>
    <row r="8" spans="2:9">
      <c r="B8" s="6" t="s">
        <v>59</v>
      </c>
      <c r="C8" s="6" t="s">
        <v>60</v>
      </c>
      <c r="D8" s="6">
        <v>48</v>
      </c>
      <c r="E8" s="6" t="s">
        <v>20</v>
      </c>
      <c r="F8" s="25" t="s">
        <v>21</v>
      </c>
      <c r="G8" s="22">
        <v>1.275689223057644</v>
      </c>
      <c r="H8" s="16">
        <f t="shared" ref="H8:H14" si="0">I7</f>
        <v>0.91028393410676489</v>
      </c>
      <c r="I8" s="16">
        <f t="shared" ref="I8:I14" si="1">H8+G8/24</f>
        <v>0.96343765173416673</v>
      </c>
    </row>
    <row r="9" spans="2:9">
      <c r="B9" s="6" t="s">
        <v>32</v>
      </c>
      <c r="C9" s="6" t="s">
        <v>61</v>
      </c>
      <c r="D9" s="6">
        <v>48</v>
      </c>
      <c r="E9" s="6" t="s">
        <v>22</v>
      </c>
      <c r="F9" s="25" t="s">
        <v>21</v>
      </c>
      <c r="G9" s="22">
        <v>0.66262704761904767</v>
      </c>
      <c r="H9" s="16">
        <f t="shared" si="0"/>
        <v>0.96343765173416673</v>
      </c>
      <c r="I9" s="16">
        <f t="shared" si="1"/>
        <v>0.9910471120516271</v>
      </c>
    </row>
    <row r="10" spans="2:9">
      <c r="B10" s="6" t="s">
        <v>47</v>
      </c>
      <c r="C10" s="6" t="s">
        <v>48</v>
      </c>
      <c r="D10" s="6">
        <v>48</v>
      </c>
      <c r="E10" s="6" t="s">
        <v>24</v>
      </c>
      <c r="F10" s="35">
        <v>0.79972338236691876</v>
      </c>
      <c r="G10" s="22">
        <v>0.90150790855264284</v>
      </c>
      <c r="H10" s="16">
        <f t="shared" si="0"/>
        <v>0.9910471120516271</v>
      </c>
      <c r="I10" s="16">
        <f t="shared" si="1"/>
        <v>1.0286099415746539</v>
      </c>
    </row>
    <row r="11" spans="2:9">
      <c r="B11" s="6" t="s">
        <v>49</v>
      </c>
      <c r="C11" s="6" t="s">
        <v>50</v>
      </c>
      <c r="D11" s="6">
        <v>192</v>
      </c>
      <c r="E11" s="6" t="s">
        <v>20</v>
      </c>
      <c r="F11" s="35">
        <v>0.82023429506533141</v>
      </c>
      <c r="G11" s="22">
        <v>4.7523809523809533</v>
      </c>
      <c r="H11" s="16">
        <f t="shared" si="0"/>
        <v>1.0286099415746539</v>
      </c>
      <c r="I11" s="16">
        <f t="shared" si="1"/>
        <v>1.2266258145905269</v>
      </c>
    </row>
    <row r="12" spans="2:9">
      <c r="B12" s="6" t="s">
        <v>8</v>
      </c>
      <c r="C12" s="6" t="s">
        <v>39</v>
      </c>
      <c r="D12" s="6">
        <v>288</v>
      </c>
      <c r="E12" s="6" t="s">
        <v>22</v>
      </c>
      <c r="F12" s="35">
        <v>0.9185592810866724</v>
      </c>
      <c r="G12" s="22">
        <v>1.9523809523809526</v>
      </c>
      <c r="H12" s="16">
        <f t="shared" si="0"/>
        <v>1.2266258145905269</v>
      </c>
      <c r="I12" s="16">
        <f t="shared" si="1"/>
        <v>1.3079750209397332</v>
      </c>
    </row>
    <row r="13" spans="2:9">
      <c r="B13" s="6" t="s">
        <v>9</v>
      </c>
      <c r="C13" s="6" t="s">
        <v>40</v>
      </c>
      <c r="D13" s="6">
        <v>48</v>
      </c>
      <c r="E13" s="6" t="s">
        <v>22</v>
      </c>
      <c r="F13" s="35">
        <v>0.94998428748987329</v>
      </c>
      <c r="G13" s="22">
        <v>0.84665545241210305</v>
      </c>
      <c r="H13" s="16">
        <f t="shared" si="0"/>
        <v>1.3079750209397332</v>
      </c>
      <c r="I13" s="16">
        <f t="shared" si="1"/>
        <v>1.343252331456904</v>
      </c>
    </row>
    <row r="14" spans="2:9">
      <c r="B14" s="6" t="s">
        <v>45</v>
      </c>
      <c r="C14" s="6" t="s">
        <v>46</v>
      </c>
      <c r="D14" s="6">
        <v>260</v>
      </c>
      <c r="E14" s="6" t="s">
        <v>20</v>
      </c>
      <c r="F14" s="35">
        <v>1.0477145148125619</v>
      </c>
      <c r="G14" s="22">
        <v>1.0154901426365026</v>
      </c>
      <c r="H14" s="16">
        <f t="shared" si="0"/>
        <v>1.343252331456904</v>
      </c>
      <c r="I14" s="16">
        <f t="shared" si="1"/>
        <v>1.385564420733425</v>
      </c>
    </row>
    <row r="15" spans="2:9">
      <c r="F15" s="32"/>
      <c r="G15" s="23"/>
      <c r="H15" s="23"/>
    </row>
  </sheetData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9B6089C-DC21-4487-A7DE-E222667BF51D}">
  <ds:schemaRefs>
    <ds:schemaRef ds:uri="ea180fb7-6417-4417-bcc2-1a1988547c9d"/>
    <ds:schemaRef ds:uri="http://schemas.microsoft.com/office/2006/metadata/properties"/>
    <ds:schemaRef ds:uri="http://purl.org/dc/elements/1.1/"/>
    <ds:schemaRef ds:uri="a7e61ba0-4c47-4710-ac4c-031e401f92bd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9F11300-13E7-4D5A-9C87-9A2A0932CACA}"/>
</file>

<file path=customXml/itemProps3.xml><?xml version="1.0" encoding="utf-8"?>
<ds:datastoreItem xmlns:ds="http://schemas.openxmlformats.org/officeDocument/2006/customXml" ds:itemID="{319C3116-BB26-4046-9CEE-30119B9D27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AOI1号機</vt:lpstr>
      <vt:lpstr>AOI2号機</vt:lpstr>
      <vt:lpstr>AOI3号機</vt:lpstr>
      <vt:lpstr>目視</vt:lpstr>
      <vt:lpstr>AOI計画</vt:lpstr>
      <vt:lpstr>目視計画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UCHIDA Yoshiharu (内田 寿治)</dc:creator>
  <cp:keywords/>
  <dc:description/>
  <cp:lastModifiedBy>UCHIDA Yoshiharu (内田 寿治)</cp:lastModifiedBy>
  <cp:revision/>
  <dcterms:created xsi:type="dcterms:W3CDTF">2024-09-18T03:10:58Z</dcterms:created>
  <dcterms:modified xsi:type="dcterms:W3CDTF">2024-10-22T23:35:40Z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0x010100AFC8BC07E3BBA34EB92D3ED2768D585A</vt:lpwstr>
  </property>
  <property fmtid="{D5CDD505-2E9C-101B-9397-08002B2CF9AE}" pid="3" name="MediaServiceImageTags">
    <vt:lpwstr/>
  </property>
</Properties>
</file>