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38" documentId="8_{54011147-055C-4F9F-B0F2-10E7EF8C91B7}" xr6:coauthVersionLast="47" xr6:coauthVersionMax="47" xr10:uidLastSave="{37971077-F4E0-4680-90DD-E385721B7AA6}"/>
  <bookViews>
    <workbookView xWindow="20370" yWindow="-4650" windowWidth="29040" windowHeight="15840" xr2:uid="{66D40786-C3EF-4208-8AC5-A8E28D46B20B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6" l="1"/>
  <c r="J15" i="6"/>
  <c r="J6" i="6"/>
  <c r="I7" i="6" s="1"/>
  <c r="J7" i="6" s="1"/>
  <c r="I8" i="6" s="1"/>
  <c r="J8" i="6" s="1"/>
</calcChain>
</file>

<file path=xl/sharedStrings.xml><?xml version="1.0" encoding="utf-8"?>
<sst xmlns="http://schemas.openxmlformats.org/spreadsheetml/2006/main" count="98" uniqueCount="36">
  <si>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</si>
  <si>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</si>
  <si>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</si>
  <si>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</si>
  <si>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</si>
  <si>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</si>
  <si>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</si>
  <si>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</si>
  <si>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←マスタ未登録</t>
    <rPh sb="4" eb="7">
      <t>ミ</t>
    </rPh>
    <phoneticPr fontId="2"/>
  </si>
  <si>
    <t>品目名</t>
    <rPh sb="0" eb="3">
      <t>ヒンモクメイ</t>
    </rPh>
    <phoneticPr fontId="2"/>
  </si>
  <si>
    <t>指図</t>
    <rPh sb="0" eb="2">
      <t>サシズ</t>
    </rPh>
    <phoneticPr fontId="2"/>
  </si>
  <si>
    <t>台数</t>
    <rPh sb="0" eb="2">
      <t>ダイスウ</t>
    </rPh>
    <phoneticPr fontId="2"/>
  </si>
  <si>
    <t>ライン</t>
    <phoneticPr fontId="2"/>
  </si>
  <si>
    <t>SMT終了予定時刻</t>
    <rPh sb="3" eb="7">
      <t>シュウリョウヨテイ</t>
    </rPh>
    <rPh sb="7" eb="9">
      <t>ジコク</t>
    </rPh>
    <phoneticPr fontId="2"/>
  </si>
  <si>
    <t>AOI工数</t>
    <rPh sb="3" eb="5">
      <t>コウスウ</t>
    </rPh>
    <phoneticPr fontId="9"/>
  </si>
  <si>
    <t>目視工数</t>
    <rPh sb="0" eb="2">
      <t>モクシ</t>
    </rPh>
    <rPh sb="2" eb="4">
      <t>コウスウ</t>
    </rPh>
    <phoneticPr fontId="9"/>
  </si>
  <si>
    <t>AOI作業開始予定時刻</t>
    <rPh sb="3" eb="5">
      <t>サギョウ</t>
    </rPh>
    <rPh sb="5" eb="7">
      <t>カイシ</t>
    </rPh>
    <rPh sb="7" eb="9">
      <t>ヨテイ</t>
    </rPh>
    <rPh sb="9" eb="11">
      <t>ジコク</t>
    </rPh>
    <phoneticPr fontId="2"/>
  </si>
  <si>
    <t>AOI作業終了予定時刻</t>
    <rPh sb="5" eb="7">
      <t>シュウリョウ</t>
    </rPh>
    <phoneticPr fontId="2"/>
  </si>
  <si>
    <t>Line-1</t>
  </si>
  <si>
    <t>仕掛</t>
    <rPh sb="0" eb="2">
      <t>シカカリ</t>
    </rPh>
    <phoneticPr fontId="2"/>
  </si>
  <si>
    <t>―</t>
  </si>
  <si>
    <t>TypeID</t>
  </si>
  <si>
    <t>orderNumber</t>
  </si>
  <si>
    <t>目視開始予定</t>
    <rPh sb="0" eb="2">
      <t>モクシ</t>
    </rPh>
    <rPh sb="2" eb="6">
      <t>カイシヨテイ</t>
    </rPh>
    <phoneticPr fontId="2"/>
  </si>
  <si>
    <t>目視終了予定</t>
    <rPh sb="0" eb="2">
      <t>モクシ</t>
    </rPh>
    <rPh sb="2" eb="4">
      <t>シュウリョウ</t>
    </rPh>
    <rPh sb="4" eb="6">
      <t>ヨテイ</t>
    </rPh>
    <phoneticPr fontId="2"/>
  </si>
  <si>
    <t>AOI終了予定時刻</t>
    <rPh sb="3" eb="5">
      <t>シュウリョウ</t>
    </rPh>
    <rPh sb="5" eb="9">
      <t>ヨテイジコク</t>
    </rPh>
    <phoneticPr fontId="9"/>
  </si>
  <si>
    <t>10/24 目視</t>
    <rPh sb="6" eb="8">
      <t>モクシ</t>
    </rPh>
    <phoneticPr fontId="2"/>
  </si>
  <si>
    <t>URS-0614</t>
  </si>
  <si>
    <t>211985382</t>
  </si>
  <si>
    <t>URS-0615</t>
  </si>
  <si>
    <t>211985383</t>
  </si>
  <si>
    <t>URS-0431</t>
  </si>
  <si>
    <t>211985381</t>
  </si>
  <si>
    <t>作業なし</t>
    <rPh sb="0" eb="2">
      <t>サギョウ</t>
    </rPh>
    <phoneticPr fontId="2"/>
  </si>
  <si>
    <t>実績</t>
    <rPh sb="0" eb="2">
      <t>ジッセキ</t>
    </rPh>
    <phoneticPr fontId="2"/>
  </si>
  <si>
    <t>計画</t>
    <rPh sb="0" eb="2">
      <t>ケイカク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</si>
</sst>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10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2" borderId="0" xfId="0" applyNumberFormat="1" applyFill="1">
      <alignment vertical="center"/>
    </xf>
    <xf numFmtId="177" fontId="0" fillId="0" borderId="1" xfId="0" applyNumberFormat="1" applyBorder="1">
      <alignment vertical="center"/>
    </xf>
    <xf numFmtId="177" fontId="0" fillId="0" borderId="0" xfId="0" applyNumberFormat="1">
      <alignment vertical="center"/>
    </xf>
    <xf numFmtId="176" fontId="8" fillId="0" borderId="0" xfId="0" applyNumberFormat="1" applyFont="1">
      <alignment vertical="center"/>
    </xf>
    <xf numFmtId="176" fontId="8" fillId="0" borderId="1" xfId="0" applyNumberFormat="1" applyFont="1" applyBorder="1">
      <alignment vertical="center"/>
    </xf>
    <xf numFmtId="176" fontId="7" fillId="0" borderId="1" xfId="0" applyNumberFormat="1" applyFont="1" applyBorder="1">
      <alignment vertical="center"/>
    </xf>
    <xf numFmtId="0" fontId="0" fillId="0" borderId="1" xfId="0" applyFill="1" applyBorder="1">
      <alignment vertical="center"/>
    </xf>
    <xf numFmtId="20" fontId="0" fillId="0" borderId="1" xfId="0" applyNumberFormat="1" applyFill="1" applyBorder="1" applyAlignment="1">
      <alignment horizontal="center" vertical="center"/>
    </xf>
    <xf numFmtId="20" fontId="0" fillId="0" borderId="1" xfId="0" applyNumberFormat="1" applyFill="1" applyBorder="1">
      <alignment vertical="center"/>
    </xf>
    <xf numFmtId="20" fontId="6" fillId="0" borderId="1" xfId="0" applyNumberFormat="1" applyFont="1" applyFill="1" applyBorder="1">
      <alignment vertical="center"/>
    </xf>
    <xf numFmtId="20" fontId="6" fillId="0" borderId="2" xfId="0" applyNumberFormat="1" applyFont="1" applyFill="1" applyBorder="1">
      <alignment vertical="center"/>
    </xf>
    <xf numFmtId="176" fontId="7" fillId="0" borderId="1" xfId="0" applyNumberFormat="1" applyFont="1" applyBorder="1" applyAlignment="1">
      <alignment horizontal="right" vertical="center"/>
    </xf>
    <xf numFmtId="177" fontId="0" fillId="2" borderId="1" xfId="0" applyNumberFormat="1" applyFill="1" applyBorder="1">
      <alignment vertical="center"/>
    </xf>
  </cellXfs>
  <cellStyles count="1">
    <cellStyle name="標準" xfId="0" builtinId="0"/>
  </cellStyles>
  <dxfs count="13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248478</xdr:colOff>
      <xdr:row>0</xdr:row>
      <xdr:rowOff>207065</xdr:rowOff>
    </xdr:from>
    <xdr:to>
      <xdr:col>6</xdr:col>
      <xdr:colOff>0</xdr:colOff>
      <xdr:row>3</xdr:row>
      <xdr:rowOff>66261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2D7B6AD8-4D08-402D-8F84-A2384153F50D}"/>
            </a:ext>
          </a:extLst>
        </xdr:cNvPr>
        <xdr:cNvSpPr txBox="1"/>
      </xdr:nvSpPr>
      <xdr:spPr>
        <a:xfrm>
          <a:off x="934278" y="207065"/>
          <a:ext cx="5095047" cy="5735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</a:t>
          </a:r>
          <a:r>
            <a:rPr kumimoji="1" lang="en-US" altLang="ja-JP" sz="2000" b="1" baseline="0"/>
            <a:t> 1</a:t>
          </a:r>
          <a:r>
            <a:rPr kumimoji="1" lang="ja-JP" altLang="en-US" sz="2000" b="1" baseline="0"/>
            <a:t>号機</a:t>
          </a:r>
          <a:r>
            <a:rPr kumimoji="1" lang="ja-JP" altLang="en-US" sz="2000" b="1"/>
            <a:t>作業計画</a:t>
          </a:r>
          <a:endParaRPr kumimoji="1" lang="en-US" altLang="ja-JP" sz="2000" b="1"/>
        </a:p>
      </xdr:txBody>
    </xdr:sp>
    <xdr:clientData/>
  </xdr:twoCellAnchor>
  <xdr:twoCellAnchor>
    <xdr:from>
      <xdr:col>1</xdr:col>
      <xdr:colOff>94422</xdr:colOff>
      <xdr:row>10</xdr:row>
      <xdr:rowOff>0</xdr:rowOff>
    </xdr:from>
    <xdr:to>
      <xdr:col>6</xdr:col>
      <xdr:colOff>0</xdr:colOff>
      <xdr:row>12</xdr:row>
      <xdr:rowOff>28161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C54E151-0CD4-43EF-AE76-DBEC11C17148}"/>
            </a:ext>
          </a:extLst>
        </xdr:cNvPr>
        <xdr:cNvSpPr txBox="1"/>
      </xdr:nvSpPr>
      <xdr:spPr>
        <a:xfrm>
          <a:off x="780222" y="2381250"/>
          <a:ext cx="5249103" cy="5044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AOI2</a:t>
          </a:r>
          <a:r>
            <a:rPr kumimoji="1" lang="ja-JP" altLang="en-US" sz="2000" b="1"/>
            <a:t>号機作業計画</a:t>
          </a:r>
          <a:endParaRPr kumimoji="1" lang="en-US" altLang="ja-JP" sz="2000" b="1"/>
        </a:p>
      </xdr:txBody>
    </xdr:sp>
    <xdr:clientData/>
  </xdr:twoCellAnchor>
  <xdr:twoCellAnchor>
    <xdr:from>
      <xdr:col>1</xdr:col>
      <xdr:colOff>94422</xdr:colOff>
      <xdr:row>17</xdr:row>
      <xdr:rowOff>0</xdr:rowOff>
    </xdr:from>
    <xdr:to>
      <xdr:col>6</xdr:col>
      <xdr:colOff>0</xdr:colOff>
      <xdr:row>19</xdr:row>
      <xdr:rowOff>28161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F03F4531-E6CF-45AD-8944-6633501DF156}"/>
            </a:ext>
          </a:extLst>
        </xdr:cNvPr>
        <xdr:cNvSpPr txBox="1"/>
      </xdr:nvSpPr>
      <xdr:spPr>
        <a:xfrm>
          <a:off x="780222" y="4048125"/>
          <a:ext cx="5249103" cy="5044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AOI3</a:t>
          </a:r>
          <a:r>
            <a:rPr kumimoji="1" lang="ja-JP" altLang="en-US" sz="2000" b="1"/>
            <a:t>号機作業計画</a:t>
          </a:r>
          <a:endParaRPr kumimoji="1" lang="en-US" altLang="ja-JP" sz="20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16565</xdr:colOff>
      <xdr:row>0</xdr:row>
      <xdr:rowOff>124240</xdr:rowOff>
    </xdr:from>
    <xdr:to>
      <xdr:col>5</xdr:col>
      <xdr:colOff>0</xdr:colOff>
      <xdr:row>2</xdr:row>
      <xdr:rowOff>223632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947389D0-4694-4159-BA96-9C23EE90E8E4}"/>
            </a:ext>
          </a:extLst>
        </xdr:cNvPr>
        <xdr:cNvSpPr txBox="1"/>
      </xdr:nvSpPr>
      <xdr:spPr>
        <a:xfrm>
          <a:off x="702365" y="5601115"/>
          <a:ext cx="3517210" cy="5756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目視作業計画</a:t>
          </a:r>
          <a:endParaRPr kumimoji="1" lang="en-US" altLang="ja-JP" sz="20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tabSelected="1" workbookViewId="0">
      <pane xSplit="6" ySplit="3" topLeftCell="BF4" activePane="bottomRight" state="frozen"/>
      <selection pane="topRight" activeCell="G1" sqref="G1"/>
      <selection pane="bottomLeft" activeCell="A4" sqref="A4"/>
      <selection pane="bottomRight" activeCell="B10" sqref="B10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31</v>
      </c>
      <c r="C4" s="6">
        <v>211985381</v>
      </c>
      <c r="D4" s="6" t="s">
        <v>34</v>
      </c>
      <c r="E4" s="7">
        <v>0.74197916666666663</v>
      </c>
      <c r="F4" s="7">
        <v>0.76646990740740739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34</v>
      </c>
      <c r="E5" s="7">
        <v>0.7666898148148148</v>
      </c>
      <c r="F5" s="7">
        <v>0.77702546296296293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27"/>
      <c r="C6" s="27"/>
      <c r="D6" s="27" t="s">
        <v>35</v>
      </c>
      <c r="E6" s="16">
        <v>0.8125</v>
      </c>
      <c r="F6" s="16">
        <v>0.83361678004535145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29</v>
      </c>
      <c r="C7" s="6">
        <v>211985383</v>
      </c>
      <c r="D7" s="6" t="s">
        <v>34</v>
      </c>
      <c r="E7" s="7">
        <v>0.78333333333333333</v>
      </c>
      <c r="F7" s="7">
        <v>0.78342592592592597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 t="s">
        <v>34</v>
      </c>
      <c r="E8" s="7">
        <v>0.78354166666666669</v>
      </c>
      <c r="F8" s="7">
        <v>0.79083333333333339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27"/>
      <c r="C9" s="27"/>
      <c r="D9" s="27" t="s">
        <v>35</v>
      </c>
      <c r="E9" s="28">
        <v>0.78125</v>
      </c>
      <c r="F9" s="28">
        <v>0.8125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27</v>
      </c>
      <c r="C10" s="6">
        <v>211985382</v>
      </c>
      <c r="D10" s="6" t="s">
        <v>34</v>
      </c>
      <c r="E10" s="7">
        <v>0.79097222222222219</v>
      </c>
      <c r="F10" s="7">
        <v>0.7910300925925926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 t="s">
        <v>34</v>
      </c>
      <c r="E11" s="7">
        <v>0.79113425925925929</v>
      </c>
      <c r="F11" s="7">
        <v>0.79415509259259254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27" t="s">
        <v>35</v>
      </c>
      <c r="E12" s="7">
        <v>0.75</v>
      </c>
      <c r="F12" s="7">
        <v>0.78125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8"/>
      <c r="F30" s="9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8"/>
      <c r="F32" s="9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34">
    <cfRule type="expression" dxfId="12" priority="5">
      <formula>AND($D4="計画", $E4 &lt;= F$3, F$3 &lt; $F4 + IF($F4 &lt; $E4, 1, 0))</formula>
    </cfRule>
  </conditionalFormatting>
  <conditionalFormatting sqref="H4:DH134">
    <cfRule type="expression" dxfId="11" priority="6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dimension ref="A1:DH66"/>
  <sheetViews>
    <sheetView workbookViewId="0">
      <pane xSplit="6" ySplit="3" topLeftCell="BH4" activePane="bottomRight" state="frozen"/>
      <selection pane="topRight" activeCell="G1" sqref="G1"/>
      <selection pane="bottomLeft" activeCell="A4" sqref="A4"/>
      <selection pane="bottomRight" activeCell="B4" sqref="B4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27" t="s">
        <v>33</v>
      </c>
      <c r="C4" s="27"/>
      <c r="D4" s="27"/>
      <c r="E4" s="28"/>
      <c r="F4" s="28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27"/>
      <c r="C5" s="27"/>
      <c r="D5" s="27"/>
      <c r="E5" s="28"/>
      <c r="F5" s="28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27"/>
      <c r="C6" s="27"/>
      <c r="D6" s="27"/>
      <c r="E6" s="28"/>
      <c r="F6" s="28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27"/>
      <c r="C7" s="27"/>
      <c r="D7" s="27"/>
      <c r="E7" s="28"/>
      <c r="F7" s="28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27"/>
      <c r="C8" s="27"/>
      <c r="D8" s="27"/>
      <c r="E8" s="28"/>
      <c r="F8" s="28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27"/>
      <c r="C9" s="27"/>
      <c r="D9" s="27"/>
      <c r="E9" s="28"/>
      <c r="F9" s="28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27"/>
      <c r="C10" s="27"/>
      <c r="D10" s="27"/>
      <c r="E10" s="28"/>
      <c r="F10" s="28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27"/>
      <c r="C11" s="27"/>
      <c r="D11" s="27"/>
      <c r="E11" s="28"/>
      <c r="F11" s="28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27"/>
      <c r="C12" s="27"/>
      <c r="D12" s="27"/>
      <c r="E12" s="28"/>
      <c r="F12" s="28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27"/>
      <c r="C13" s="27"/>
      <c r="D13" s="27"/>
      <c r="E13" s="28"/>
      <c r="F13" s="28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16"/>
      <c r="F18" s="16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C17">
    <cfRule type="duplicateValues" dxfId="10" priority="2"/>
  </conditionalFormatting>
  <conditionalFormatting sqref="C18">
    <cfRule type="duplicateValues" dxfId="9" priority="1"/>
  </conditionalFormatting>
  <conditionalFormatting sqref="H4:DH69">
    <cfRule type="expression" dxfId="8" priority="3">
      <formula>AND($D4="計画", $E4 &lt;= G$3, G$3 &lt; $F4 + IF($F4 &lt; $E4, 1, 0))</formula>
    </cfRule>
    <cfRule type="expression" dxfId="7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dimension ref="A1:DH66"/>
  <sheetViews>
    <sheetView workbookViewId="0">
      <pane xSplit="6" ySplit="3" topLeftCell="BH4" activePane="bottomRight" state="frozen"/>
      <selection pane="topRight" activeCell="G1" sqref="G1"/>
      <selection pane="bottomLeft" activeCell="A4" sqref="A4"/>
      <selection pane="bottomRight" activeCell="B4" sqref="B4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27" t="s">
        <v>33</v>
      </c>
      <c r="C4" s="27"/>
      <c r="D4" s="27"/>
      <c r="E4" s="28"/>
      <c r="F4" s="28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27"/>
      <c r="C5" s="27"/>
      <c r="D5" s="27"/>
      <c r="E5" s="28"/>
      <c r="F5" s="28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27"/>
      <c r="C6" s="27"/>
      <c r="D6" s="27"/>
      <c r="E6" s="28"/>
      <c r="F6" s="28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27"/>
      <c r="C7" s="27"/>
      <c r="D7" s="27"/>
      <c r="E7" s="28"/>
      <c r="F7" s="28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27"/>
      <c r="C8" s="27"/>
      <c r="D8" s="27"/>
      <c r="E8" s="28"/>
      <c r="F8" s="28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/>
      <c r="E11" s="8"/>
      <c r="F11" s="9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6" priority="1">
      <formula>AND($D4="計画", $E4 &lt;= G$3, G$3 &lt; $F4 + IF($F4 &lt; $E4, 1, 0))</formula>
    </cfRule>
    <cfRule type="expression" dxfId="5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workbookViewId="0">
      <pane xSplit="6" ySplit="3" topLeftCell="BL14" activePane="bottomRight" state="frozen"/>
      <selection pane="topRight" activeCell="G1" sqref="G1"/>
      <selection pane="bottomLeft" activeCell="A4" sqref="A4"/>
      <selection pane="bottomRight" activeCell="B4" sqref="B4:F28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D1" t="s">
        <v>26</v>
      </c>
      <c r="J1" s="2"/>
    </row>
    <row r="2" spans="1:112">
      <c r="F2" s="2"/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>
      <c r="A4" s="6"/>
      <c r="B4" s="27"/>
      <c r="C4" s="27"/>
      <c r="D4" s="27"/>
      <c r="E4" s="28"/>
      <c r="F4" s="28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27"/>
      <c r="C5" s="27"/>
      <c r="D5" s="27"/>
      <c r="E5" s="28"/>
      <c r="F5" s="28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27"/>
      <c r="C6" s="27"/>
      <c r="D6" s="27"/>
      <c r="E6" s="28"/>
      <c r="F6" s="28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27"/>
      <c r="C7" s="27"/>
      <c r="D7" s="27"/>
      <c r="E7" s="28"/>
      <c r="F7" s="28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27"/>
      <c r="C8" s="27"/>
      <c r="D8" s="27"/>
      <c r="E8" s="28"/>
      <c r="F8" s="28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27"/>
      <c r="C9" s="27"/>
      <c r="D9" s="27"/>
      <c r="E9" s="28"/>
      <c r="F9" s="28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27"/>
      <c r="C10" s="27"/>
      <c r="D10" s="27"/>
      <c r="E10" s="28"/>
      <c r="F10" s="28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27"/>
      <c r="C11" s="27"/>
      <c r="D11" s="27"/>
      <c r="E11" s="28"/>
      <c r="F11" s="28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27"/>
      <c r="C12" s="27"/>
      <c r="D12" s="27"/>
      <c r="E12" s="28"/>
      <c r="F12" s="28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27"/>
      <c r="C13" s="27"/>
      <c r="D13" s="27"/>
      <c r="E13" s="28"/>
      <c r="F13" s="28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27"/>
      <c r="C14" s="27"/>
      <c r="D14" s="27"/>
      <c r="E14" s="28"/>
      <c r="F14" s="28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27"/>
      <c r="C15" s="27"/>
      <c r="D15" s="27"/>
      <c r="E15" s="28"/>
      <c r="F15" s="28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27"/>
      <c r="C16" s="27"/>
      <c r="D16" s="27"/>
      <c r="E16" s="28"/>
      <c r="F16" s="28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27"/>
      <c r="C17" s="27"/>
      <c r="D17" s="27"/>
      <c r="E17" s="28"/>
      <c r="F17" s="28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27"/>
      <c r="C18" s="27"/>
      <c r="D18" s="27"/>
      <c r="E18" s="28"/>
      <c r="F18" s="28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27"/>
      <c r="C19" s="27"/>
      <c r="D19" s="27"/>
      <c r="E19" s="28"/>
      <c r="F19" s="28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27"/>
      <c r="C20" s="27"/>
      <c r="D20" s="27"/>
      <c r="E20" s="28"/>
      <c r="F20" s="28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27"/>
      <c r="C21" s="27"/>
      <c r="D21" s="27"/>
      <c r="E21" s="29"/>
      <c r="F21" s="29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27"/>
      <c r="C22" s="27"/>
      <c r="D22" s="27"/>
      <c r="E22" s="28"/>
      <c r="F22" s="28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27"/>
      <c r="C23" s="27"/>
      <c r="D23" s="27"/>
      <c r="E23" s="28"/>
      <c r="F23" s="28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27"/>
      <c r="C24" s="27"/>
      <c r="D24" s="27"/>
      <c r="E24" s="28"/>
      <c r="F24" s="28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27"/>
      <c r="C25" s="27"/>
      <c r="D25" s="27"/>
      <c r="E25" s="30"/>
      <c r="F25" s="31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27"/>
      <c r="C26" s="27"/>
      <c r="D26" s="27"/>
      <c r="E26" s="30"/>
      <c r="F26" s="31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27"/>
      <c r="C27" s="27"/>
      <c r="D27" s="27"/>
      <c r="E27" s="30"/>
      <c r="F27" s="31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27"/>
      <c r="C28" s="27"/>
      <c r="D28" s="27"/>
      <c r="E28" s="28"/>
      <c r="F28" s="28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17"/>
      <c r="F29" s="18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7"/>
      <c r="F30" s="18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21 C7 C9 C11 C13 C23 C26:C1048576 C1:C3">
    <cfRule type="duplicateValues" dxfId="4" priority="3"/>
  </conditionalFormatting>
  <conditionalFormatting sqref="C24">
    <cfRule type="duplicateValues" dxfId="3" priority="2"/>
  </conditionalFormatting>
  <conditionalFormatting sqref="C25">
    <cfRule type="duplicateValues" dxfId="2" priority="1"/>
  </conditionalFormatting>
  <conditionalFormatting sqref="G4:DH99">
    <cfRule type="expression" dxfId="1" priority="4">
      <formula>AND($D4="計画", $E4 &lt;= F$3, F$3 &lt; $F4 + IF($F4 &lt; $E4, 1, 0))</formula>
    </cfRule>
    <cfRule type="expression" dxfId="0" priority="5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dimension ref="B2:J22"/>
  <sheetViews>
    <sheetView workbookViewId="0">
      <selection activeCell="J10" sqref="J10"/>
    </sheetView>
  </sheetViews>
  <sheetFormatPr defaultColWidth="9.25" defaultRowHeight="18.75"/>
  <cols>
    <col min="2" max="2" width="10.125" bestFit="1" customWidth="1"/>
    <col min="3" max="3" width="10.5" bestFit="1" customWidth="1"/>
    <col min="4" max="4" width="5.25" bestFit="1" customWidth="1"/>
    <col min="5" max="5" width="7.125" bestFit="1" customWidth="1"/>
    <col min="6" max="6" width="17.5" style="24" bestFit="1" customWidth="1"/>
    <col min="7" max="7" width="8.375" style="23" bestFit="1" customWidth="1"/>
    <col min="8" max="8" width="9" style="23" bestFit="1" customWidth="1"/>
    <col min="9" max="10" width="20.625" bestFit="1" customWidth="1"/>
  </cols>
  <sheetData>
    <row r="2" spans="2:10">
      <c r="H2" s="21"/>
      <c r="I2" t="s">
        <v>8</v>
      </c>
    </row>
    <row r="4" spans="2:10">
      <c r="I4" s="2"/>
      <c r="J4" s="2"/>
    </row>
    <row r="5" spans="2:10">
      <c r="B5" s="6" t="s">
        <v>9</v>
      </c>
      <c r="C5" s="6" t="s">
        <v>10</v>
      </c>
      <c r="D5" s="6" t="s">
        <v>11</v>
      </c>
      <c r="E5" s="6" t="s">
        <v>12</v>
      </c>
      <c r="F5" s="26" t="s">
        <v>13</v>
      </c>
      <c r="G5" s="22" t="s">
        <v>14</v>
      </c>
      <c r="H5" s="22" t="s">
        <v>15</v>
      </c>
      <c r="I5" s="6" t="s">
        <v>16</v>
      </c>
      <c r="J5" s="6" t="s">
        <v>17</v>
      </c>
    </row>
    <row r="6" spans="2:10">
      <c r="B6" s="6" t="s">
        <v>27</v>
      </c>
      <c r="C6" s="6" t="s">
        <v>28</v>
      </c>
      <c r="D6" s="6">
        <v>2</v>
      </c>
      <c r="E6" s="6" t="s">
        <v>18</v>
      </c>
      <c r="F6" s="32" t="s">
        <v>19</v>
      </c>
      <c r="G6" s="33">
        <v>0.75</v>
      </c>
      <c r="H6" s="22" t="s">
        <v>20</v>
      </c>
      <c r="I6" s="16">
        <v>0.75</v>
      </c>
      <c r="J6" s="16">
        <f t="shared" ref="J6:J8" si="0">I6+G6/24</f>
        <v>0.78125</v>
      </c>
    </row>
    <row r="7" spans="2:10">
      <c r="B7" s="6" t="s">
        <v>29</v>
      </c>
      <c r="C7" s="6" t="s">
        <v>30</v>
      </c>
      <c r="D7" s="6">
        <v>12</v>
      </c>
      <c r="E7" s="6" t="s">
        <v>18</v>
      </c>
      <c r="F7" s="32" t="s">
        <v>19</v>
      </c>
      <c r="G7" s="21">
        <v>0.75</v>
      </c>
      <c r="H7" s="22" t="s">
        <v>20</v>
      </c>
      <c r="I7" s="16">
        <f t="shared" ref="I7:I8" si="1">J6</f>
        <v>0.78125</v>
      </c>
      <c r="J7" s="16">
        <f t="shared" si="0"/>
        <v>0.8125</v>
      </c>
    </row>
    <row r="8" spans="2:10">
      <c r="B8" s="6" t="s">
        <v>31</v>
      </c>
      <c r="C8" s="6" t="s">
        <v>32</v>
      </c>
      <c r="D8" s="6">
        <v>24</v>
      </c>
      <c r="E8" s="6" t="s">
        <v>18</v>
      </c>
      <c r="F8" s="32" t="s">
        <v>19</v>
      </c>
      <c r="G8" s="22">
        <v>0.50680272108843538</v>
      </c>
      <c r="H8" s="22" t="s">
        <v>20</v>
      </c>
      <c r="I8" s="16">
        <f t="shared" si="1"/>
        <v>0.8125</v>
      </c>
      <c r="J8" s="16">
        <f t="shared" si="0"/>
        <v>0.83361678004535145</v>
      </c>
    </row>
    <row r="13" spans="2:10">
      <c r="I13" s="2"/>
    </row>
    <row r="14" spans="2:10">
      <c r="B14" s="6" t="s">
        <v>9</v>
      </c>
      <c r="C14" s="6" t="s">
        <v>10</v>
      </c>
      <c r="D14" s="6" t="s">
        <v>11</v>
      </c>
      <c r="E14" s="6" t="s">
        <v>12</v>
      </c>
      <c r="F14" s="26" t="s">
        <v>13</v>
      </c>
      <c r="G14" s="22" t="s">
        <v>14</v>
      </c>
      <c r="H14" s="22" t="s">
        <v>15</v>
      </c>
      <c r="I14" s="6" t="s">
        <v>16</v>
      </c>
      <c r="J14" s="6" t="s">
        <v>17</v>
      </c>
    </row>
    <row r="15" spans="2:10">
      <c r="B15" s="6"/>
      <c r="C15" s="6"/>
      <c r="D15" s="6"/>
      <c r="E15" s="6"/>
      <c r="F15" s="26"/>
      <c r="G15" s="22"/>
      <c r="H15" s="22"/>
      <c r="I15" s="16">
        <v>0.75</v>
      </c>
      <c r="J15" s="16">
        <f>I15+G15/24</f>
        <v>0.75</v>
      </c>
    </row>
    <row r="20" spans="2:10">
      <c r="I20" s="2"/>
    </row>
    <row r="21" spans="2:10">
      <c r="B21" s="6" t="s">
        <v>9</v>
      </c>
      <c r="C21" s="6" t="s">
        <v>10</v>
      </c>
      <c r="D21" s="6" t="s">
        <v>11</v>
      </c>
      <c r="E21" s="6" t="s">
        <v>12</v>
      </c>
      <c r="F21" s="26" t="s">
        <v>13</v>
      </c>
      <c r="G21" s="22" t="s">
        <v>14</v>
      </c>
      <c r="H21" s="22" t="s">
        <v>15</v>
      </c>
      <c r="I21" s="6" t="s">
        <v>16</v>
      </c>
      <c r="J21" s="6" t="s">
        <v>17</v>
      </c>
    </row>
    <row r="22" spans="2:10">
      <c r="B22" s="6"/>
      <c r="C22" s="6"/>
      <c r="D22" s="6"/>
      <c r="E22" s="6"/>
      <c r="F22" s="26"/>
      <c r="G22" s="22"/>
      <c r="H22" s="22"/>
      <c r="I22" s="16">
        <v>0.75</v>
      </c>
      <c r="J22" s="16">
        <f>I22+G22/24</f>
        <v>0.75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dimension ref="B1:I22"/>
  <sheetViews>
    <sheetView workbookViewId="0">
      <selection activeCell="H6" sqref="H6:I22"/>
    </sheetView>
  </sheetViews>
  <sheetFormatPr defaultColWidth="9.375" defaultRowHeight="18.75"/>
  <cols>
    <col min="2" max="2" width="7.5" bestFit="1" customWidth="1"/>
    <col min="3" max="3" width="13" bestFit="1" customWidth="1"/>
    <col min="4" max="4" width="5.25" bestFit="1" customWidth="1"/>
    <col min="5" max="5" width="7.125" bestFit="1" customWidth="1"/>
    <col min="6" max="6" width="16.5" style="20" bestFit="1" customWidth="1"/>
    <col min="7" max="7" width="9" bestFit="1" customWidth="1"/>
    <col min="8" max="8" width="15.125" bestFit="1" customWidth="1"/>
    <col min="9" max="9" width="13" bestFit="1" customWidth="1"/>
  </cols>
  <sheetData>
    <row r="1" spans="2:9">
      <c r="F1" s="24"/>
    </row>
    <row r="2" spans="2:9">
      <c r="F2" s="24"/>
      <c r="G2" s="21"/>
      <c r="H2" t="s">
        <v>8</v>
      </c>
    </row>
    <row r="3" spans="2:9">
      <c r="F3" s="24"/>
    </row>
    <row r="4" spans="2:9">
      <c r="F4" s="24"/>
    </row>
    <row r="5" spans="2:9">
      <c r="B5" s="6" t="s">
        <v>21</v>
      </c>
      <c r="C5" s="6" t="s">
        <v>22</v>
      </c>
      <c r="D5" s="6" t="s">
        <v>11</v>
      </c>
      <c r="E5" s="6" t="s">
        <v>12</v>
      </c>
      <c r="F5" s="25" t="s">
        <v>25</v>
      </c>
      <c r="G5" s="22" t="s">
        <v>15</v>
      </c>
      <c r="H5" s="6" t="s">
        <v>23</v>
      </c>
      <c r="I5" s="6" t="s">
        <v>24</v>
      </c>
    </row>
    <row r="6" spans="2:9">
      <c r="B6" s="6"/>
      <c r="C6" s="6"/>
      <c r="D6" s="6"/>
      <c r="E6" s="6"/>
      <c r="F6" s="25"/>
      <c r="G6" s="22"/>
      <c r="H6" s="16"/>
      <c r="I6" s="16"/>
    </row>
    <row r="7" spans="2:9">
      <c r="B7" s="6"/>
      <c r="C7" s="6"/>
      <c r="D7" s="6"/>
      <c r="E7" s="6"/>
      <c r="F7" s="25"/>
      <c r="G7" s="22"/>
      <c r="H7" s="16"/>
      <c r="I7" s="16"/>
    </row>
    <row r="8" spans="2:9">
      <c r="B8" s="6"/>
      <c r="C8" s="6"/>
      <c r="D8" s="6"/>
      <c r="E8" s="6"/>
      <c r="F8" s="25"/>
      <c r="G8" s="22"/>
      <c r="H8" s="16"/>
      <c r="I8" s="16"/>
    </row>
    <row r="9" spans="2:9">
      <c r="B9" s="6"/>
      <c r="C9" s="6"/>
      <c r="D9" s="6"/>
      <c r="E9" s="6"/>
      <c r="F9" s="25"/>
      <c r="G9" s="22"/>
      <c r="H9" s="16"/>
      <c r="I9" s="16"/>
    </row>
    <row r="10" spans="2:9">
      <c r="B10" s="6"/>
      <c r="C10" s="6"/>
      <c r="D10" s="6"/>
      <c r="E10" s="6"/>
      <c r="F10" s="25"/>
      <c r="G10" s="22"/>
      <c r="H10" s="16"/>
      <c r="I10" s="16"/>
    </row>
    <row r="11" spans="2:9">
      <c r="B11" s="6"/>
      <c r="C11" s="6"/>
      <c r="D11" s="6"/>
      <c r="E11" s="6"/>
      <c r="F11" s="25"/>
      <c r="G11" s="22"/>
      <c r="H11" s="16"/>
      <c r="I11" s="16"/>
    </row>
    <row r="12" spans="2:9">
      <c r="B12" s="6"/>
      <c r="C12" s="6"/>
      <c r="D12" s="6"/>
      <c r="E12" s="6"/>
      <c r="F12" s="25"/>
      <c r="G12" s="22"/>
      <c r="H12" s="16"/>
      <c r="I12" s="16"/>
    </row>
    <row r="13" spans="2:9">
      <c r="B13" s="6"/>
      <c r="C13" s="6"/>
      <c r="D13" s="6"/>
      <c r="E13" s="6"/>
      <c r="F13" s="25"/>
      <c r="G13" s="22"/>
      <c r="H13" s="16"/>
      <c r="I13" s="16"/>
    </row>
    <row r="14" spans="2:9">
      <c r="B14" s="6"/>
      <c r="C14" s="6"/>
      <c r="D14" s="6"/>
      <c r="E14" s="6"/>
      <c r="F14" s="25"/>
      <c r="G14" s="22"/>
      <c r="H14" s="16"/>
      <c r="I14" s="16"/>
    </row>
    <row r="15" spans="2:9">
      <c r="B15" s="6"/>
      <c r="C15" s="6"/>
      <c r="D15" s="6"/>
      <c r="E15" s="6"/>
      <c r="F15" s="25"/>
      <c r="G15" s="22"/>
      <c r="H15" s="16"/>
      <c r="I15" s="16"/>
    </row>
    <row r="16" spans="2:9">
      <c r="B16" s="6"/>
      <c r="C16" s="6"/>
      <c r="D16" s="6"/>
      <c r="E16" s="16"/>
      <c r="F16" s="25"/>
      <c r="G16" s="22"/>
      <c r="H16" s="16"/>
      <c r="I16" s="16"/>
    </row>
    <row r="17" spans="2:9">
      <c r="B17" s="6"/>
      <c r="C17" s="6"/>
      <c r="D17" s="6"/>
      <c r="E17" s="6"/>
      <c r="F17" s="25"/>
      <c r="G17" s="22"/>
      <c r="H17" s="16"/>
      <c r="I17" s="16"/>
    </row>
    <row r="18" spans="2:9">
      <c r="B18" s="6"/>
      <c r="C18" s="6"/>
      <c r="D18" s="6"/>
      <c r="E18" s="6"/>
      <c r="F18" s="25"/>
      <c r="G18" s="22"/>
      <c r="H18" s="16"/>
      <c r="I18" s="16"/>
    </row>
    <row r="19" spans="2:9">
      <c r="B19" s="6"/>
      <c r="C19" s="6"/>
      <c r="D19" s="6"/>
      <c r="E19" s="6"/>
      <c r="F19" s="25"/>
      <c r="G19" s="22"/>
      <c r="H19" s="16"/>
      <c r="I19" s="16"/>
    </row>
    <row r="20" spans="2:9">
      <c r="B20" s="6"/>
      <c r="C20" s="6"/>
      <c r="D20" s="6"/>
      <c r="E20" s="6"/>
      <c r="F20" s="25"/>
      <c r="G20" s="22"/>
      <c r="H20" s="16"/>
      <c r="I20" s="16"/>
    </row>
    <row r="21" spans="2:9">
      <c r="B21" s="6"/>
      <c r="C21" s="6"/>
      <c r="D21" s="6"/>
      <c r="E21" s="6"/>
      <c r="F21" s="25"/>
      <c r="G21" s="22"/>
      <c r="H21" s="16"/>
      <c r="I21" s="16"/>
    </row>
    <row r="22" spans="2:9">
      <c r="F22" s="24"/>
      <c r="G22" s="23"/>
      <c r="H22" s="23"/>
    </row>
  </sheetData>
  <phoneticPr fontId="2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727514-2DBE-484E-B876-269137DF8C8E}"/>
</file>

<file path=customXml/itemProps2.xml><?xml version="1.0" encoding="utf-8"?>
<ds:datastoreItem xmlns:ds="http://schemas.openxmlformats.org/officeDocument/2006/customXml" ds:itemID="{D9B6089C-DC21-4487-A7DE-E222667BF51D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ea180fb7-6417-4417-bcc2-1a1988547c9d"/>
    <ds:schemaRef ds:uri="a7e61ba0-4c47-4710-ac4c-031e401f92b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UCHIDA Yoshiharu (内田 寿治)</cp:lastModifiedBy>
  <cp:revision/>
  <dcterms:created xsi:type="dcterms:W3CDTF">2024-09-18T03:10:58Z</dcterms:created>
  <dcterms:modified xsi:type="dcterms:W3CDTF">2024-11-04T23:36:08Z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