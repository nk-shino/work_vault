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500_後工程関連/3.作業計画と実績/"/>
    </mc:Choice>
  </mc:AlternateContent>
  <xr:revisionPtr revIDLastSave="65" documentId="8_{25416C6B-DDA6-47B3-A094-F5F7B8E41C68}" xr6:coauthVersionLast="47" xr6:coauthVersionMax="47" xr10:uidLastSave="{F9C05286-9341-4DC4-89EE-48D70162F3CD}"/>
  <bookViews>
    <workbookView xWindow="25890" yWindow="-3960" windowWidth="15330" windowHeight="7875" activeTab="3" xr2:uid="{D4E99A79-39B5-4714-8CFE-6838D0007EB9}"/>
    <workbookView xWindow="-120" yWindow="-120" windowWidth="20730" windowHeight="11160" activeTab="4" xr2:uid="{2D1F461A-2DA2-4843-99C5-592810CCEBDB}"/>
    <workbookView xWindow="20370" yWindow="-4650" windowWidth="29040" windowHeight="15840" activeTab="3" xr2:uid="{458A4E33-ADEC-4BB2-9E81-0EB916DAA056}"/>
  </bookViews>
  <sheets>
    <sheet name="AOI1号機" sheetId="1" r:id="rId1"/>
    <sheet name="AOI2号機" sheetId="3" r:id="rId2"/>
    <sheet name="AOI3号機" sheetId="4" r:id="rId3"/>
    <sheet name="目視" sheetId="2" r:id="rId4"/>
    <sheet name="AOI計画" sheetId="6" r:id="rId5"/>
    <sheet name="目視計画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6" l="1"/>
  <c r="I17" i="6" s="1"/>
  <c r="J17" i="6" s="1"/>
  <c r="I18" i="6" s="1"/>
  <c r="J18" i="6" s="1"/>
  <c r="I19" i="6" s="1"/>
  <c r="J19" i="6" s="1"/>
  <c r="I20" i="6" s="1"/>
  <c r="J20" i="6" s="1"/>
  <c r="I21" i="6" s="1"/>
  <c r="J21" i="6" s="1"/>
  <c r="J6" i="6"/>
  <c r="I7" i="6" s="1"/>
  <c r="J7" i="6" s="1"/>
  <c r="I8" i="6" s="1"/>
  <c r="J8" i="6" s="1"/>
  <c r="I9" i="6" s="1"/>
  <c r="J9" i="6" s="1"/>
  <c r="I7" i="5"/>
  <c r="H8" i="5" s="1"/>
  <c r="I8" i="5" s="1"/>
  <c r="H9" i="5" s="1"/>
  <c r="I9" i="5" s="1"/>
  <c r="H10" i="5" s="1"/>
  <c r="I10" i="5" s="1"/>
  <c r="H11" i="5" s="1"/>
  <c r="I11" i="5" s="1"/>
  <c r="H12" i="5" s="1"/>
  <c r="I12" i="5" s="1"/>
  <c r="H13" i="5" s="1"/>
  <c r="I13" i="5" s="1"/>
  <c r="H14" i="5" s="1"/>
  <c r="I14" i="5" s="1"/>
  <c r="H15" i="5" s="1"/>
  <c r="I15" i="5" s="1"/>
</calcChain>
</file>

<file path=xl/sharedStrings.xml><?xml version="1.0" encoding="utf-8"?>
<sst xmlns="http://schemas.openxmlformats.org/spreadsheetml/2006/main" count="161" uniqueCount="56">
  <si>
    <t>作業ガントチャート</t>
    <rPh sb="0" eb="2">
      <t>サギョウ</t>
    </rPh>
    <phoneticPr fontId="3"/>
  </si>
  <si>
    <t xml:space="preserve"> </t>
    <phoneticPr fontId="2"/>
  </si>
  <si>
    <t>No.</t>
  </si>
  <si>
    <t>品目</t>
    <phoneticPr fontId="3"/>
  </si>
  <si>
    <t>指図</t>
    <phoneticPr fontId="2"/>
  </si>
  <si>
    <t>作業項目</t>
    <phoneticPr fontId="3"/>
  </si>
  <si>
    <t>開始時間</t>
    <phoneticPr fontId="3"/>
  </si>
  <si>
    <t>終了時間</t>
    <phoneticPr fontId="3"/>
  </si>
  <si>
    <t>UR-05091-03</t>
  </si>
  <si>
    <t>←マスタ未登録</t>
    <rPh sb="4" eb="7">
      <t>ミ</t>
    </rPh>
    <phoneticPr fontId="2"/>
  </si>
  <si>
    <t>TypeID</t>
  </si>
  <si>
    <t>orderNumber</t>
  </si>
  <si>
    <t>台数</t>
    <rPh sb="0" eb="2">
      <t>ダイスウ</t>
    </rPh>
    <phoneticPr fontId="2"/>
  </si>
  <si>
    <t>目視開始予定</t>
    <rPh sb="0" eb="2">
      <t>モクシ</t>
    </rPh>
    <rPh sb="2" eb="6">
      <t>カイシヨテイ</t>
    </rPh>
    <phoneticPr fontId="2"/>
  </si>
  <si>
    <t>目視終了予定</t>
    <rPh sb="0" eb="2">
      <t>モクシ</t>
    </rPh>
    <rPh sb="2" eb="4">
      <t>シュウリョウ</t>
    </rPh>
    <rPh sb="4" eb="6">
      <t>ヨテイ</t>
    </rPh>
    <phoneticPr fontId="2"/>
  </si>
  <si>
    <t>Line-1</t>
  </si>
  <si>
    <t>仕掛</t>
    <rPh sb="0" eb="2">
      <t>シカカリ</t>
    </rPh>
    <phoneticPr fontId="2"/>
  </si>
  <si>
    <t>Line-3</t>
  </si>
  <si>
    <t>Line-2</t>
  </si>
  <si>
    <t>品目名</t>
    <rPh sb="0" eb="3">
      <t>ヒンモクメイ</t>
    </rPh>
    <phoneticPr fontId="2"/>
  </si>
  <si>
    <t>指図</t>
    <rPh sb="0" eb="2">
      <t>サシズ</t>
    </rPh>
    <phoneticPr fontId="2"/>
  </si>
  <si>
    <t>SMT終了予定時刻</t>
    <rPh sb="3" eb="7">
      <t>シュウリョウヨテイ</t>
    </rPh>
    <rPh sb="7" eb="9">
      <t>ジコク</t>
    </rPh>
    <phoneticPr fontId="2"/>
  </si>
  <si>
    <t>AOI作業開始予定時刻</t>
    <rPh sb="3" eb="5">
      <t>サギョウ</t>
    </rPh>
    <rPh sb="5" eb="7">
      <t>カイシ</t>
    </rPh>
    <rPh sb="7" eb="9">
      <t>ヨテイ</t>
    </rPh>
    <rPh sb="9" eb="11">
      <t>ジコク</t>
    </rPh>
    <phoneticPr fontId="2"/>
  </si>
  <si>
    <t>AOI作業終了予定時刻</t>
    <rPh sb="5" eb="7">
      <t>シュウリョウ</t>
    </rPh>
    <phoneticPr fontId="2"/>
  </si>
  <si>
    <t>―</t>
  </si>
  <si>
    <t>UR-0598</t>
  </si>
  <si>
    <t>UR-0596</t>
  </si>
  <si>
    <t>UR-0605</t>
  </si>
  <si>
    <t>実績</t>
    <rPh sb="0" eb="2">
      <t>ジッセキ</t>
    </rPh>
    <phoneticPr fontId="2"/>
  </si>
  <si>
    <t>計画</t>
    <rPh sb="0" eb="2">
      <t>ケイカク</t>
    </rPh>
    <phoneticPr fontId="2"/>
  </si>
  <si>
    <t>ライン</t>
    <phoneticPr fontId="2"/>
  </si>
  <si>
    <t>AOI終了予定時刻</t>
    <rPh sb="3" eb="5">
      <t>シュウリョウ</t>
    </rPh>
    <rPh sb="5" eb="9">
      <t>ヨテイジコク</t>
    </rPh>
    <phoneticPr fontId="9"/>
  </si>
  <si>
    <t>目視工数</t>
    <rPh sb="0" eb="2">
      <t>モクシ</t>
    </rPh>
    <rPh sb="2" eb="4">
      <t>コウスウ</t>
    </rPh>
    <phoneticPr fontId="9"/>
  </si>
  <si>
    <t>AOI工数</t>
    <rPh sb="3" eb="5">
      <t>コウスウ</t>
    </rPh>
    <phoneticPr fontId="9"/>
  </si>
  <si>
    <t>UR-0511</t>
  </si>
  <si>
    <t>211980996</t>
  </si>
  <si>
    <t>UR-05972</t>
  </si>
  <si>
    <t>211980997</t>
  </si>
  <si>
    <t>211976128</t>
  </si>
  <si>
    <t>211978924</t>
  </si>
  <si>
    <t>211980555</t>
  </si>
  <si>
    <t>211980999</t>
  </si>
  <si>
    <t>UR-0509-02</t>
  </si>
  <si>
    <t>211980995</t>
  </si>
  <si>
    <t>UR-0483</t>
  </si>
  <si>
    <t>211980994</t>
  </si>
  <si>
    <t>URS-0577</t>
  </si>
  <si>
    <t>211981013</t>
  </si>
  <si>
    <t>URS-0584</t>
  </si>
  <si>
    <t>211978407</t>
  </si>
  <si>
    <t>URS-0542</t>
  </si>
  <si>
    <t>211981010</t>
  </si>
  <si>
    <t>UTS-0918</t>
  </si>
  <si>
    <t>211981029</t>
  </si>
  <si>
    <t>実績</t>
    <rPh sb="0" eb="2">
      <t>ジッセキ</t>
    </rPh>
    <phoneticPr fontId="2"/>
  </si>
  <si>
    <t>計画</t>
    <rPh sb="0" eb="2">
      <t>ケイカク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</si>
</sst>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h:mm"/>
    <numFmt numFmtId="177" formatCode="0.00&quot;h&quot;"/>
  </numFmts>
  <fonts count="10" x14ac:knownFonts="1">
    <font>
      <sz val="11"/>
      <color theme="1"/>
      <name val="游ゴシック"/>
      <family val="2"/>
      <charset val="128"/>
      <scheme val="minor"/>
    </font>
    <font>
      <b/>
      <sz val="16"/>
      <color rgb="FF000000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2"/>
      <charset val="128"/>
    </font>
    <font>
      <sz val="7"/>
      <color theme="1"/>
      <name val="游ゴシック"/>
      <family val="3"/>
      <charset val="128"/>
      <scheme val="minor"/>
    </font>
    <font>
      <sz val="5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>
      <alignment vertical="center"/>
    </xf>
    <xf numFmtId="20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20" fontId="0" fillId="0" borderId="1" xfId="0" applyNumberFormat="1" applyBorder="1" applyAlignment="1">
      <alignment horizontal="center" vertical="center"/>
    </xf>
    <xf numFmtId="20" fontId="6" fillId="0" borderId="1" xfId="0" applyNumberFormat="1" applyFont="1" applyBorder="1">
      <alignment vertical="center"/>
    </xf>
    <xf numFmtId="20" fontId="6" fillId="0" borderId="2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20" fontId="6" fillId="0" borderId="3" xfId="0" applyNumberFormat="1" applyFont="1" applyBorder="1">
      <alignment vertical="center"/>
    </xf>
    <xf numFmtId="20" fontId="6" fillId="0" borderId="4" xfId="0" applyNumberFormat="1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20" fontId="0" fillId="0" borderId="1" xfId="0" applyNumberFormat="1" applyBorder="1">
      <alignment vertical="center"/>
    </xf>
    <xf numFmtId="20" fontId="0" fillId="0" borderId="3" xfId="0" applyNumberFormat="1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177" fontId="0" fillId="2" borderId="0" xfId="0" applyNumberFormat="1" applyFill="1">
      <alignment vertical="center"/>
    </xf>
    <xf numFmtId="177" fontId="0" fillId="0" borderId="1" xfId="0" applyNumberFormat="1" applyBorder="1">
      <alignment vertical="center"/>
    </xf>
    <xf numFmtId="177" fontId="0" fillId="0" borderId="0" xfId="0" applyNumberFormat="1">
      <alignment vertical="center"/>
    </xf>
    <xf numFmtId="176" fontId="7" fillId="0" borderId="1" xfId="0" applyNumberFormat="1" applyFont="1" applyBorder="1">
      <alignment vertical="center"/>
    </xf>
    <xf numFmtId="176" fontId="8" fillId="0" borderId="0" xfId="0" applyNumberFormat="1" applyFont="1">
      <alignment vertical="center"/>
    </xf>
    <xf numFmtId="176" fontId="8" fillId="0" borderId="1" xfId="0" applyNumberFormat="1" applyFont="1" applyBorder="1">
      <alignment vertical="center"/>
    </xf>
    <xf numFmtId="177" fontId="0" fillId="2" borderId="1" xfId="0" applyNumberFormat="1" applyFill="1" applyBorder="1">
      <alignment vertical="center"/>
    </xf>
    <xf numFmtId="176" fontId="0" fillId="0" borderId="1" xfId="0" applyNumberFormat="1" applyBorder="1" applyAlignment="1">
      <alignment horizontal="right" vertical="center"/>
    </xf>
    <xf numFmtId="176" fontId="0" fillId="0" borderId="1" xfId="0" applyNumberFormat="1" applyBorder="1">
      <alignment vertical="center"/>
    </xf>
    <xf numFmtId="0" fontId="0" fillId="0" borderId="1" xfId="0" applyFill="1" applyBorder="1">
      <alignment vertical="center"/>
    </xf>
  </cellXfs>
  <cellStyles count="1">
    <cellStyle name="標準" xfId="0" builtinId="0"/>
  </cellStyles>
  <dxfs count="9"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248478</xdr:colOff>
      <xdr:row>0</xdr:row>
      <xdr:rowOff>207065</xdr:rowOff>
    </xdr:from>
    <xdr:to>
      <xdr:col>6</xdr:col>
      <xdr:colOff>0</xdr:colOff>
      <xdr:row>3</xdr:row>
      <xdr:rowOff>66261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31369544-2867-42D1-BDD5-09C89C629448}"/>
            </a:ext>
          </a:extLst>
        </xdr:cNvPr>
        <xdr:cNvSpPr txBox="1"/>
      </xdr:nvSpPr>
      <xdr:spPr>
        <a:xfrm>
          <a:off x="934278" y="207065"/>
          <a:ext cx="5095047" cy="5735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 b="1"/>
            <a:t>AOI</a:t>
          </a:r>
          <a:r>
            <a:rPr kumimoji="1" lang="ja-JP" altLang="en-US" sz="2000" b="1"/>
            <a:t>作業計画</a:t>
          </a:r>
          <a:endParaRPr kumimoji="1" lang="en-US" altLang="ja-JP" sz="2000" b="1"/>
        </a:p>
      </xdr:txBody>
    </xdr:sp>
    <xdr:clientData/>
  </xdr:twoCellAnchor>
  <xdr:twoCellAnchor>
    <xdr:from>
      <xdr:col>1</xdr:col>
      <xdr:colOff>94422</xdr:colOff>
      <xdr:row>11</xdr:row>
      <xdr:rowOff>0</xdr:rowOff>
    </xdr:from>
    <xdr:to>
      <xdr:col>6</xdr:col>
      <xdr:colOff>0</xdr:colOff>
      <xdr:row>13</xdr:row>
      <xdr:rowOff>28161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1CAC8C67-FF24-45AA-8087-8998923D83E0}"/>
            </a:ext>
          </a:extLst>
        </xdr:cNvPr>
        <xdr:cNvSpPr txBox="1"/>
      </xdr:nvSpPr>
      <xdr:spPr>
        <a:xfrm>
          <a:off x="780222" y="2619375"/>
          <a:ext cx="5249103" cy="5044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 b="1"/>
            <a:t>試作･</a:t>
          </a:r>
          <a:r>
            <a:rPr kumimoji="1" lang="en-US" altLang="ja-JP" sz="2000" b="1"/>
            <a:t>AOI2</a:t>
          </a:r>
          <a:r>
            <a:rPr kumimoji="1" lang="ja-JP" altLang="en-US" sz="2000" b="1"/>
            <a:t>号機作業計画</a:t>
          </a:r>
          <a:endParaRPr kumimoji="1" lang="en-US" altLang="ja-JP" sz="20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16565</xdr:colOff>
      <xdr:row>1</xdr:row>
      <xdr:rowOff>124240</xdr:rowOff>
    </xdr:from>
    <xdr:to>
      <xdr:col>5</xdr:col>
      <xdr:colOff>0</xdr:colOff>
      <xdr:row>3</xdr:row>
      <xdr:rowOff>223632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5CAAFC7F-0D53-4ACE-8859-97EDB35C9131}"/>
            </a:ext>
          </a:extLst>
        </xdr:cNvPr>
        <xdr:cNvSpPr txBox="1"/>
      </xdr:nvSpPr>
      <xdr:spPr>
        <a:xfrm>
          <a:off x="702365" y="5601115"/>
          <a:ext cx="3517210" cy="5756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 b="1"/>
            <a:t>目視作業計画</a:t>
          </a:r>
          <a:endParaRPr kumimoji="1" lang="en-US" altLang="ja-JP" sz="20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5B3A-2AE2-4EA3-90E3-02841C68473D}">
  <sheetPr codeName="Sheet1"/>
  <dimension ref="A1:DH131"/>
  <sheetViews>
    <sheetView zoomScaleNormal="100" workbookViewId="0">
      <pane xSplit="6" ySplit="3" topLeftCell="BF4" activePane="bottomRight" state="frozen"/>
      <selection pane="topRight" activeCell="G1" sqref="G1"/>
      <selection pane="bottomLeft" activeCell="A4" sqref="A4"/>
      <selection pane="bottomRight" activeCell="C20" sqref="B20:C20"/>
    </sheetView>
    <sheetView zoomScale="85" zoomScaleNormal="85" workbookViewId="1">
      <pane xSplit="6" ySplit="3" topLeftCell="BF4" activePane="bottomRight" state="frozen"/>
      <selection pane="topRight" activeCell="G1" sqref="G1"/>
      <selection pane="bottomLeft" activeCell="A4" sqref="A4"/>
      <selection pane="bottomRight" activeCell="C21" sqref="C21"/>
    </sheetView>
    <sheetView workbookViewId="2">
      <pane xSplit="6" ySplit="3" topLeftCell="BH4" activePane="bottomRight" state="frozen"/>
      <selection pane="topRight" activeCell="G1" sqref="G1"/>
      <selection pane="bottomLeft" activeCell="A4" sqref="A4"/>
      <selection pane="bottomRight" activeCell="G4" sqref="G4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  <c r="K1" t="s">
        <v>1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42</v>
      </c>
      <c r="C4" s="6">
        <v>211980995</v>
      </c>
      <c r="D4" s="6" t="s">
        <v>28</v>
      </c>
      <c r="E4" s="7">
        <v>0.76449074074074075</v>
      </c>
      <c r="F4" s="7">
        <v>0.78493055555555558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 t="s">
        <v>28</v>
      </c>
      <c r="E5" s="7">
        <v>0.81434027777777773</v>
      </c>
      <c r="F5" s="7">
        <v>0.8150694444444444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/>
      <c r="C6" s="30"/>
      <c r="D6" s="6" t="s">
        <v>29</v>
      </c>
      <c r="E6" s="7">
        <v>0.72916666666666663</v>
      </c>
      <c r="F6" s="7">
        <v>0.76203588251593235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 t="s">
        <v>8</v>
      </c>
      <c r="C7" s="6">
        <v>211980555</v>
      </c>
      <c r="D7" s="6" t="s">
        <v>28</v>
      </c>
      <c r="E7" s="7">
        <v>0.84865740740740736</v>
      </c>
      <c r="F7" s="7">
        <v>0.94513888888888886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 t="s">
        <v>28</v>
      </c>
      <c r="E8" s="7">
        <v>0.94528935185185181</v>
      </c>
      <c r="F8" s="7">
        <v>0.94862268518518522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30"/>
      <c r="D9" s="6" t="s">
        <v>29</v>
      </c>
      <c r="E9" s="7">
        <v>0.76203588251593235</v>
      </c>
      <c r="F9" s="7">
        <v>0.86322635870640851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 t="s">
        <v>48</v>
      </c>
      <c r="C10" s="6">
        <v>211978407</v>
      </c>
      <c r="D10" s="6" t="s">
        <v>28</v>
      </c>
      <c r="E10" s="7">
        <v>0.99098379629629629</v>
      </c>
      <c r="F10" s="7">
        <v>7.6041666666666671E-3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 t="s">
        <v>28</v>
      </c>
      <c r="E11" s="7">
        <v>1.3043981481481481E-2</v>
      </c>
      <c r="F11" s="7">
        <v>1.849537037037037E-2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30"/>
      <c r="D12" s="6" t="s">
        <v>29</v>
      </c>
      <c r="E12" s="7">
        <v>0.89447635870640851</v>
      </c>
      <c r="F12" s="7">
        <v>0.92572635870640851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 t="s">
        <v>46</v>
      </c>
      <c r="C13" s="6">
        <v>211981013</v>
      </c>
      <c r="D13" s="6" t="s">
        <v>28</v>
      </c>
      <c r="E13" s="7">
        <v>7.7083333333333335E-3</v>
      </c>
      <c r="F13" s="7">
        <v>9.6064814814814815E-3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 t="s">
        <v>28</v>
      </c>
      <c r="E14" s="7">
        <v>2.0370370370370372E-2</v>
      </c>
      <c r="F14" s="7">
        <v>2.045138888888889E-2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 t="s">
        <v>29</v>
      </c>
      <c r="E15" s="7">
        <v>0.86322635870640851</v>
      </c>
      <c r="F15" s="7">
        <v>0.89447635870640851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8"/>
      <c r="F30" s="9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 x14ac:dyDescent="0.4">
      <c r="A32" s="6"/>
      <c r="B32" s="6"/>
      <c r="C32" s="6"/>
      <c r="D32" s="6"/>
      <c r="E32" s="8"/>
      <c r="F32" s="9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8"/>
      <c r="F34" s="9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7"/>
      <c r="F43" s="7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6"/>
      <c r="C45" s="6"/>
      <c r="D45" s="6"/>
      <c r="E45" s="7"/>
      <c r="F45" s="7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6"/>
      <c r="C51" s="6"/>
      <c r="D51" s="6"/>
      <c r="E51" s="7"/>
      <c r="F51" s="19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6"/>
      <c r="D52" s="6"/>
      <c r="E52" s="8"/>
      <c r="F52" s="9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6"/>
      <c r="D54" s="6"/>
      <c r="E54" s="8"/>
      <c r="F54" s="9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6"/>
      <c r="C55" s="6"/>
      <c r="D55" s="6"/>
      <c r="E55" s="8"/>
      <c r="F55" s="9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6"/>
      <c r="C59" s="6"/>
      <c r="D59" s="6"/>
      <c r="E59" s="7"/>
      <c r="F59" s="7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6"/>
      <c r="D60" s="6"/>
      <c r="E60" s="7"/>
      <c r="F60" s="7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6"/>
      <c r="C61" s="6"/>
      <c r="D61" s="6"/>
      <c r="E61" s="7"/>
      <c r="F61" s="7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.6" customHeight="1" x14ac:dyDescent="0.4">
      <c r="A67" s="6"/>
      <c r="B67" s="6"/>
      <c r="C67" s="6"/>
      <c r="D67" s="6"/>
      <c r="E67" s="7"/>
      <c r="F67" s="7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.6" customHeight="1" x14ac:dyDescent="0.4">
      <c r="A68" s="6"/>
      <c r="B68" s="6"/>
      <c r="C68" s="6"/>
      <c r="D68" s="6"/>
      <c r="E68" s="7"/>
      <c r="F68" s="7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.6" customHeight="1" x14ac:dyDescent="0.4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.6" customHeight="1" x14ac:dyDescent="0.4">
      <c r="A70" s="6"/>
      <c r="B70" s="6"/>
      <c r="C70" s="6"/>
      <c r="D70" s="6"/>
      <c r="E70" s="7"/>
      <c r="F70" s="7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.6" customHeight="1" x14ac:dyDescent="0.4">
      <c r="A71" s="6"/>
      <c r="B71" s="6"/>
      <c r="C71" s="6"/>
      <c r="D71" s="6"/>
      <c r="E71" s="7"/>
      <c r="F71" s="7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.6" customHeight="1" x14ac:dyDescent="0.4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 x14ac:dyDescent="0.4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 x14ac:dyDescent="0.4">
      <c r="A74" s="6"/>
      <c r="B74" s="6"/>
      <c r="C74" s="6"/>
      <c r="D74" s="6"/>
      <c r="E74" s="7"/>
      <c r="F74" s="7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 x14ac:dyDescent="0.4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 x14ac:dyDescent="0.4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 x14ac:dyDescent="0.4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 x14ac:dyDescent="0.4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 x14ac:dyDescent="0.4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 x14ac:dyDescent="0.4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 x14ac:dyDescent="0.4">
      <c r="A81" s="6"/>
      <c r="B81" s="6"/>
      <c r="C81" s="6"/>
      <c r="D81" s="6"/>
      <c r="E81" s="7"/>
      <c r="F81" s="7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 x14ac:dyDescent="0.4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 x14ac:dyDescent="0.4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 x14ac:dyDescent="0.4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 x14ac:dyDescent="0.4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 x14ac:dyDescent="0.4">
      <c r="A86" s="6"/>
      <c r="B86" s="6"/>
      <c r="C86" s="6"/>
      <c r="D86" s="6"/>
      <c r="E86" s="12"/>
      <c r="F86" s="13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 x14ac:dyDescent="0.4">
      <c r="A87" s="6"/>
      <c r="B87" s="6"/>
      <c r="C87" s="6"/>
      <c r="D87" s="6"/>
      <c r="E87" s="12"/>
      <c r="F87" s="13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 x14ac:dyDescent="0.4">
      <c r="A88" s="6"/>
      <c r="B88" s="6"/>
      <c r="C88" s="6"/>
      <c r="D88" s="6"/>
      <c r="E88" s="12"/>
      <c r="F88" s="13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 x14ac:dyDescent="0.4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 x14ac:dyDescent="0.4">
      <c r="A90" s="6"/>
      <c r="B90" s="6"/>
      <c r="C90" s="6"/>
      <c r="D90" s="6"/>
      <c r="E90" s="7"/>
      <c r="F90" s="7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 x14ac:dyDescent="0.4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 x14ac:dyDescent="0.4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  <row r="93" spans="1:112" ht="21.6" customHeight="1" x14ac:dyDescent="0.4">
      <c r="A93" s="6"/>
      <c r="B93" s="6"/>
      <c r="C93" s="6"/>
      <c r="D93" s="6"/>
      <c r="E93" s="7"/>
      <c r="F93" s="7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</row>
    <row r="94" spans="1:112" ht="21.6" customHeight="1" x14ac:dyDescent="0.4">
      <c r="A94" s="6"/>
      <c r="B94" s="6"/>
      <c r="C94" s="6"/>
      <c r="D94" s="6"/>
      <c r="E94" s="17"/>
      <c r="F94" s="18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</row>
    <row r="95" spans="1:112" ht="21.6" customHeight="1" x14ac:dyDescent="0.4">
      <c r="A95" s="6"/>
      <c r="B95" s="6"/>
      <c r="C95" s="6"/>
      <c r="D95" s="6"/>
      <c r="E95" s="12"/>
      <c r="F95" s="13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</row>
    <row r="96" spans="1:112" ht="21.6" customHeight="1" x14ac:dyDescent="0.4">
      <c r="A96" s="6"/>
      <c r="B96" s="6"/>
      <c r="C96" s="6"/>
      <c r="D96" s="6"/>
      <c r="E96" s="12"/>
      <c r="F96" s="13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</row>
    <row r="97" spans="1:112" ht="21" customHeight="1" x14ac:dyDescent="0.4">
      <c r="A97" s="6"/>
      <c r="B97" s="6"/>
      <c r="C97" s="6"/>
      <c r="D97" s="6"/>
      <c r="E97" s="7"/>
      <c r="F97" s="7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</row>
    <row r="98" spans="1:112" ht="21.6" customHeight="1" x14ac:dyDescent="0.4">
      <c r="A98" s="6"/>
      <c r="B98" s="6"/>
      <c r="C98" s="6"/>
      <c r="D98" s="6"/>
      <c r="E98" s="7"/>
      <c r="F98" s="7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</row>
    <row r="99" spans="1:112" ht="21.6" customHeight="1" x14ac:dyDescent="0.4">
      <c r="A99" s="6"/>
      <c r="B99" s="6"/>
      <c r="C99" s="6"/>
      <c r="D99" s="6"/>
      <c r="E99" s="7"/>
      <c r="F99" s="7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</row>
    <row r="100" spans="1:112" ht="21.6" customHeight="1" x14ac:dyDescent="0.4">
      <c r="A100" s="6"/>
      <c r="B100" s="6"/>
      <c r="C100" s="6"/>
      <c r="D100" s="6"/>
      <c r="E100" s="7"/>
      <c r="F100" s="7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</row>
    <row r="101" spans="1:112" ht="21.6" customHeight="1" x14ac:dyDescent="0.4">
      <c r="A101" s="6"/>
      <c r="B101" s="6"/>
      <c r="C101" s="6"/>
      <c r="D101" s="6"/>
      <c r="E101" s="7"/>
      <c r="F101" s="7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</row>
    <row r="102" spans="1:112" ht="21.6" customHeight="1" x14ac:dyDescent="0.4">
      <c r="A102" s="6"/>
      <c r="B102" s="6"/>
      <c r="C102" s="6"/>
      <c r="D102" s="6"/>
      <c r="E102" s="7"/>
      <c r="F102" s="7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</row>
    <row r="103" spans="1:112" ht="21.6" customHeight="1" x14ac:dyDescent="0.4">
      <c r="A103" s="6"/>
      <c r="B103" s="6"/>
      <c r="C103" s="6"/>
      <c r="D103" s="6"/>
      <c r="E103" s="7"/>
      <c r="F103" s="7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</row>
    <row r="104" spans="1:112" ht="21.6" customHeight="1" x14ac:dyDescent="0.4">
      <c r="A104" s="6"/>
      <c r="B104" s="6"/>
      <c r="C104" s="6"/>
      <c r="D104" s="6"/>
      <c r="E104" s="7"/>
      <c r="F104" s="7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</row>
    <row r="105" spans="1:112" ht="21.6" customHeight="1" x14ac:dyDescent="0.4">
      <c r="A105" s="6"/>
      <c r="B105" s="6"/>
      <c r="C105" s="6"/>
      <c r="D105" s="6"/>
      <c r="E105" s="7"/>
      <c r="F105" s="7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</row>
    <row r="106" spans="1:112" ht="21.6" customHeight="1" x14ac:dyDescent="0.4">
      <c r="A106" s="6"/>
      <c r="B106" s="6"/>
      <c r="C106" s="6"/>
      <c r="D106" s="6"/>
      <c r="E106" s="7"/>
      <c r="F106" s="7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</row>
    <row r="107" spans="1:112" ht="21.6" customHeight="1" x14ac:dyDescent="0.4">
      <c r="A107" s="6"/>
      <c r="B107" s="6"/>
      <c r="C107" s="6"/>
      <c r="D107" s="6"/>
      <c r="E107" s="7"/>
      <c r="F107" s="7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</row>
    <row r="108" spans="1:112" ht="21.6" customHeight="1" x14ac:dyDescent="0.4">
      <c r="A108" s="6"/>
      <c r="B108" s="6"/>
      <c r="C108" s="6"/>
      <c r="D108" s="6"/>
      <c r="E108" s="12"/>
      <c r="F108" s="13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</row>
    <row r="109" spans="1:112" ht="21.6" customHeight="1" x14ac:dyDescent="0.4">
      <c r="A109" s="6"/>
      <c r="B109" s="6"/>
      <c r="C109" s="6"/>
      <c r="D109" s="6"/>
      <c r="E109" s="7"/>
      <c r="F109" s="7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</row>
    <row r="110" spans="1:112" ht="21.6" customHeight="1" x14ac:dyDescent="0.4">
      <c r="A110" s="6"/>
      <c r="B110" s="6"/>
      <c r="C110" s="11"/>
      <c r="D110" s="6"/>
      <c r="E110" s="12"/>
      <c r="F110" s="13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</row>
    <row r="111" spans="1:112" ht="21.6" customHeight="1" x14ac:dyDescent="0.4">
      <c r="A111" s="6"/>
      <c r="B111" s="6"/>
      <c r="C111" s="6"/>
      <c r="D111" s="6"/>
      <c r="E111" s="7"/>
      <c r="F111" s="7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</row>
    <row r="112" spans="1:112" ht="21.6" customHeight="1" x14ac:dyDescent="0.4">
      <c r="A112" s="6"/>
      <c r="B112" s="14"/>
      <c r="C112" s="15"/>
      <c r="D112" s="6"/>
      <c r="E112" s="12"/>
      <c r="F112" s="13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</row>
    <row r="113" spans="1:112" ht="21.6" customHeight="1" x14ac:dyDescent="0.4">
      <c r="A113" s="6"/>
      <c r="B113" s="6"/>
      <c r="C113" s="6"/>
      <c r="D113" s="6"/>
      <c r="E113" s="7"/>
      <c r="F113" s="7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</row>
    <row r="114" spans="1:112" ht="21.6" customHeight="1" x14ac:dyDescent="0.4">
      <c r="A114" s="6"/>
      <c r="B114" s="6"/>
      <c r="C114" s="6"/>
      <c r="D114" s="6"/>
      <c r="E114" s="7"/>
      <c r="F114" s="7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</row>
    <row r="115" spans="1:112" ht="21.6" customHeight="1" x14ac:dyDescent="0.4">
      <c r="A115" s="6"/>
      <c r="B115" s="6"/>
      <c r="C115" s="15"/>
      <c r="D115" s="6"/>
      <c r="E115" s="12"/>
      <c r="F115" s="13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</row>
    <row r="116" spans="1:112" ht="21.6" customHeight="1" x14ac:dyDescent="0.4">
      <c r="A116" s="6"/>
      <c r="B116" s="10"/>
      <c r="C116" s="11"/>
      <c r="D116" s="6"/>
      <c r="E116" s="12"/>
      <c r="F116" s="13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</row>
    <row r="117" spans="1:112" ht="21.6" customHeight="1" x14ac:dyDescent="0.4">
      <c r="A117" s="6"/>
      <c r="B117" s="6"/>
      <c r="C117" s="15"/>
      <c r="D117" s="6"/>
      <c r="E117" s="12"/>
      <c r="F117" s="13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</row>
    <row r="118" spans="1:112" ht="21.6" customHeight="1" x14ac:dyDescent="0.4">
      <c r="A118" s="6"/>
      <c r="B118" s="14"/>
      <c r="C118" s="15"/>
      <c r="D118" s="6"/>
      <c r="E118" s="12"/>
      <c r="F118" s="13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</row>
    <row r="119" spans="1:112" ht="21.6" customHeight="1" x14ac:dyDescent="0.4">
      <c r="A119" s="6"/>
      <c r="B119" s="6"/>
      <c r="C119" s="15"/>
      <c r="D119" s="6"/>
      <c r="E119" s="12"/>
      <c r="F119" s="13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</row>
    <row r="120" spans="1:112" ht="21.6" customHeight="1" x14ac:dyDescent="0.4">
      <c r="A120" s="6"/>
      <c r="B120" s="14"/>
      <c r="C120" s="15"/>
      <c r="D120" s="6"/>
      <c r="E120" s="12"/>
      <c r="F120" s="13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</row>
    <row r="121" spans="1:112" ht="21.6" customHeight="1" x14ac:dyDescent="0.4">
      <c r="A121" s="6"/>
      <c r="B121" s="6"/>
      <c r="C121" s="15"/>
      <c r="D121" s="6"/>
      <c r="E121" s="12"/>
      <c r="F121" s="13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</row>
    <row r="122" spans="1:112" ht="21.6" customHeight="1" x14ac:dyDescent="0.4">
      <c r="A122" s="6"/>
      <c r="B122" s="14"/>
      <c r="C122" s="15"/>
      <c r="D122" s="6"/>
      <c r="E122" s="12"/>
      <c r="F122" s="13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</row>
    <row r="123" spans="1:112" ht="21.6" customHeight="1" x14ac:dyDescent="0.4">
      <c r="A123" s="6"/>
      <c r="B123" s="6"/>
      <c r="C123" s="15"/>
      <c r="D123" s="6"/>
      <c r="E123" s="12"/>
      <c r="F123" s="13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</row>
    <row r="124" spans="1:112" ht="21.6" customHeight="1" x14ac:dyDescent="0.4">
      <c r="A124" s="6"/>
      <c r="B124" s="14"/>
      <c r="C124" s="15"/>
      <c r="D124" s="6"/>
      <c r="E124" s="12"/>
      <c r="F124" s="13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</row>
    <row r="125" spans="1:112" ht="21.6" customHeight="1" x14ac:dyDescent="0.4">
      <c r="A125" s="6"/>
      <c r="B125" s="6"/>
      <c r="C125" s="15"/>
      <c r="D125" s="6"/>
      <c r="E125" s="12"/>
      <c r="F125" s="13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</row>
    <row r="126" spans="1:112" ht="21.6" customHeight="1" x14ac:dyDescent="0.4">
      <c r="A126" s="6"/>
      <c r="B126" s="14"/>
      <c r="C126" s="15"/>
      <c r="D126" s="6"/>
      <c r="E126" s="12"/>
      <c r="F126" s="13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</row>
    <row r="127" spans="1:112" ht="21.6" customHeight="1" x14ac:dyDescent="0.4">
      <c r="A127" s="6"/>
      <c r="B127" s="6"/>
      <c r="C127" s="15"/>
      <c r="D127" s="6"/>
      <c r="E127" s="12"/>
      <c r="F127" s="13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</row>
    <row r="128" spans="1:112" ht="21.6" customHeight="1" x14ac:dyDescent="0.4">
      <c r="A128" s="6"/>
      <c r="B128" s="14"/>
      <c r="C128" s="15"/>
      <c r="D128" s="6"/>
      <c r="E128" s="12"/>
      <c r="F128" s="13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</row>
    <row r="129" spans="1:112" ht="21.6" customHeight="1" x14ac:dyDescent="0.4">
      <c r="A129" s="6"/>
      <c r="B129" s="6"/>
      <c r="C129" s="15"/>
      <c r="D129" s="6"/>
      <c r="E129" s="12"/>
      <c r="F129" s="13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</row>
    <row r="130" spans="1:112" ht="21.6" customHeight="1" x14ac:dyDescent="0.4">
      <c r="A130" s="6"/>
      <c r="B130" s="14"/>
      <c r="C130" s="15"/>
      <c r="D130" s="6"/>
      <c r="E130" s="12"/>
      <c r="F130" s="13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</row>
    <row r="131" spans="1:112" ht="21.6" customHeight="1" x14ac:dyDescent="0.4">
      <c r="A131" s="6"/>
      <c r="B131" s="6"/>
      <c r="C131" s="6"/>
      <c r="D131" s="6"/>
      <c r="E131" s="7"/>
      <c r="F131" s="7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</row>
  </sheetData>
  <phoneticPr fontId="2"/>
  <conditionalFormatting sqref="G4:DH134">
    <cfRule type="expression" dxfId="8" priority="4">
      <formula>AND($D4="計画", $E4 &lt;= F$3, F$3 &lt; $F4 + IF($F4 &lt; $E4, 1, 0))</formula>
    </cfRule>
  </conditionalFormatting>
  <conditionalFormatting sqref="H4:DH134">
    <cfRule type="expression" dxfId="7" priority="5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194F-FECE-499E-8D65-8EEC10A1778C}">
  <dimension ref="A1:DH66"/>
  <sheetViews>
    <sheetView zoomScale="85" zoomScaleNormal="85" workbookViewId="0">
      <pane xSplit="6" ySplit="3" topLeftCell="BI4" activePane="bottomRight" state="frozen"/>
      <selection pane="topRight" activeCell="G1" sqref="G1"/>
      <selection pane="bottomLeft" activeCell="A4" sqref="A4"/>
      <selection pane="bottomRight" activeCell="E12" sqref="E12:F12"/>
    </sheetView>
    <sheetView workbookViewId="1">
      <pane xSplit="6" ySplit="3" topLeftCell="BF4" activePane="bottomRight" state="frozen"/>
      <selection pane="topRight" activeCell="G1" sqref="G1"/>
      <selection pane="bottomLeft" activeCell="A4" sqref="A4"/>
      <selection pane="bottomRight" activeCell="D7" sqref="D7:D9"/>
    </sheetView>
    <sheetView workbookViewId="2">
      <pane xSplit="6" ySplit="3" topLeftCell="BH4" activePane="bottomRight" state="frozen"/>
      <selection pane="topRight" activeCell="G1" sqref="G1"/>
      <selection pane="bottomLeft" activeCell="A4" sqref="A4"/>
      <selection pane="bottomRight" activeCell="G4" sqref="G4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  <c r="K1" t="s">
        <v>1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25</v>
      </c>
      <c r="C4" s="6">
        <v>211978924</v>
      </c>
      <c r="D4" s="6" t="s">
        <v>28</v>
      </c>
      <c r="E4" s="7">
        <v>0.76162037037037034</v>
      </c>
      <c r="F4" s="7">
        <v>0.85725694444444445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 t="s">
        <v>28</v>
      </c>
      <c r="E5" s="7">
        <v>0.92383101851851857</v>
      </c>
      <c r="F5" s="7">
        <v>0.93578703703703703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/>
      <c r="C6" s="30"/>
      <c r="D6" s="6" t="s">
        <v>29</v>
      </c>
      <c r="E6" s="7">
        <v>0.76041666666666663</v>
      </c>
      <c r="F6" s="7">
        <v>0.82976953601653436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 t="s">
        <v>26</v>
      </c>
      <c r="C7" s="6">
        <v>211976128</v>
      </c>
      <c r="D7" s="6" t="s">
        <v>28</v>
      </c>
      <c r="E7" s="7">
        <v>0.95248842592592597</v>
      </c>
      <c r="F7" s="7">
        <v>0.9894560185185185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 t="s">
        <v>28</v>
      </c>
      <c r="E8" s="7">
        <v>2.2442129629629631E-2</v>
      </c>
      <c r="F8" s="7">
        <v>3.3611111111111112E-2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30"/>
      <c r="D9" s="6" t="s">
        <v>29</v>
      </c>
      <c r="E9" s="7">
        <v>0.72916666666666663</v>
      </c>
      <c r="F9" s="7">
        <v>0.76041666666666663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/>
      <c r="C10" s="30"/>
      <c r="D10" s="6"/>
      <c r="E10" s="7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30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30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30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30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30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16"/>
      <c r="F18" s="16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6" priority="1">
      <formula>AND($D4="計画", $E4 &lt;= G$3, G$3 &lt; $F4 + IF($F4 &lt; $E4, 1, 0))</formula>
    </cfRule>
    <cfRule type="expression" dxfId="5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9DD66-17D1-4B9E-BFD4-D54398DB9601}">
  <dimension ref="A1:DH66"/>
  <sheetViews>
    <sheetView zoomScale="85" zoomScaleNormal="85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G4" sqref="G4"/>
    </sheetView>
    <sheetView workbookViewId="1"/>
    <sheetView workbookViewId="2"/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  <c r="K1" t="s">
        <v>1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/>
      <c r="C4" s="6"/>
      <c r="D4" s="6"/>
      <c r="E4" s="8"/>
      <c r="F4" s="9"/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/>
      <c r="C6" s="6"/>
      <c r="D6" s="6"/>
      <c r="E6" s="8"/>
      <c r="F6" s="9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/>
      <c r="E8" s="8"/>
      <c r="F8" s="9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/>
      <c r="C10" s="6"/>
      <c r="D10" s="6"/>
      <c r="E10" s="8"/>
      <c r="F10" s="9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8"/>
      <c r="F11" s="9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4" priority="1">
      <formula>AND($D4="計画", $E4 &lt;= G$3, G$3 &lt; $F4 + IF($F4 &lt; $E4, 1, 0))</formula>
    </cfRule>
    <cfRule type="expression" dxfId="3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C492-2043-4F0A-A32A-6F3E4BCC44E2}">
  <sheetPr codeName="Sheet2"/>
  <dimension ref="A1:DH92"/>
  <sheetViews>
    <sheetView tabSelected="1" zoomScale="85" zoomScaleNormal="85" workbookViewId="0">
      <pane xSplit="6" ySplit="3" topLeftCell="AX4" activePane="bottomRight" state="frozen"/>
      <selection pane="topRight" activeCell="G1" sqref="G1"/>
      <selection pane="bottomLeft" activeCell="A4" sqref="A4"/>
      <selection pane="bottomRight" activeCell="E15" sqref="E15:F15"/>
    </sheetView>
    <sheetView workbookViewId="1">
      <pane xSplit="6" ySplit="3" topLeftCell="BH4" activePane="bottomRight" state="frozen"/>
      <selection pane="topRight" activeCell="G1" sqref="G1"/>
      <selection pane="bottomLeft" activeCell="A4" sqref="A4"/>
      <selection pane="bottomRight" activeCell="E9" sqref="E9:F9"/>
    </sheetView>
    <sheetView tabSelected="1" workbookViewId="2">
      <pane xSplit="6" ySplit="3" topLeftCell="BE4" activePane="bottomRight" state="frozen"/>
      <selection pane="topRight" activeCell="G1" sqref="G1"/>
      <selection pane="bottomLeft" activeCell="A4" sqref="A4"/>
      <selection pane="bottomRight" activeCell="G4" sqref="G4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</row>
    <row r="2" spans="1:112" x14ac:dyDescent="0.4">
      <c r="F2" s="2"/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4.8611111111111098E-2</v>
      </c>
      <c r="CY3" s="5">
        <v>9.0277777777777804E-2</v>
      </c>
      <c r="CZ3" s="5">
        <v>0.131944444444444</v>
      </c>
      <c r="DA3" s="5">
        <v>0.17361111111111099</v>
      </c>
      <c r="DB3" s="5">
        <v>0.21527777777777801</v>
      </c>
      <c r="DC3" s="5">
        <v>0.25694444444444398</v>
      </c>
      <c r="DD3" s="5">
        <v>0.29861111111111099</v>
      </c>
      <c r="DE3" s="5">
        <v>0.34027777777777801</v>
      </c>
      <c r="DF3" s="5">
        <v>0.38194444444444398</v>
      </c>
      <c r="DG3" s="5">
        <v>0.42361111111111099</v>
      </c>
      <c r="DH3" s="5">
        <v>0.46527777777777801</v>
      </c>
    </row>
    <row r="4" spans="1:112" ht="21.6" customHeight="1" x14ac:dyDescent="0.4">
      <c r="A4" s="6"/>
      <c r="B4" s="6" t="s">
        <v>34</v>
      </c>
      <c r="C4" s="6">
        <v>211980996</v>
      </c>
      <c r="D4" s="6" t="s">
        <v>54</v>
      </c>
      <c r="E4" s="7">
        <v>0.87151620370370375</v>
      </c>
      <c r="F4" s="7">
        <v>0.9026967592592593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 t="s">
        <v>55</v>
      </c>
      <c r="E5" s="7">
        <v>0.72916666666666663</v>
      </c>
      <c r="F5" s="7">
        <v>0.74064107696390769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 t="s">
        <v>36</v>
      </c>
      <c r="C6" s="6">
        <v>211980997</v>
      </c>
      <c r="D6" s="6" t="s">
        <v>54</v>
      </c>
      <c r="E6" s="7">
        <v>0.9105092592592593</v>
      </c>
      <c r="F6" s="7">
        <v>0.91454861111111108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 t="s">
        <v>55</v>
      </c>
      <c r="E7" s="7">
        <v>0.74064107696390769</v>
      </c>
      <c r="F7" s="7">
        <v>0.77189107696390769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 t="s">
        <v>25</v>
      </c>
      <c r="C8" s="6">
        <v>211978924</v>
      </c>
      <c r="D8" s="6" t="s">
        <v>54</v>
      </c>
      <c r="E8" s="7">
        <v>1.7615740740740741E-2</v>
      </c>
      <c r="F8" s="7">
        <v>3.3125000000000002E-2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 t="s">
        <v>55</v>
      </c>
      <c r="E9" s="7">
        <v>0.80314107696390769</v>
      </c>
      <c r="F9" s="7">
        <v>0.83439107696390769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/>
      <c r="C10" s="6"/>
      <c r="D10" s="6"/>
      <c r="E10" s="7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8"/>
      <c r="F26" s="9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8"/>
      <c r="F27" s="9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17"/>
      <c r="F29" s="18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17"/>
      <c r="F30" s="18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 x14ac:dyDescent="0.4">
      <c r="A32" s="6"/>
      <c r="B32" s="6"/>
      <c r="C32" s="6"/>
      <c r="D32" s="6"/>
      <c r="E32" s="17"/>
      <c r="F32" s="18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17"/>
      <c r="F35" s="18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17"/>
      <c r="F36" s="18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12"/>
      <c r="F38" s="13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12"/>
      <c r="F40" s="13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12"/>
      <c r="F41" s="13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12"/>
      <c r="F42" s="13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12"/>
      <c r="F44" s="13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6"/>
      <c r="C45" s="6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6"/>
      <c r="C51" s="6"/>
      <c r="D51" s="6"/>
      <c r="E51" s="7"/>
      <c r="F51" s="7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6"/>
      <c r="D52" s="6"/>
      <c r="E52" s="7"/>
      <c r="F52" s="7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6"/>
      <c r="D54" s="6"/>
      <c r="E54" s="7"/>
      <c r="F54" s="7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6"/>
      <c r="C55" s="6"/>
      <c r="D55" s="6"/>
      <c r="E55" s="7"/>
      <c r="F55" s="7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6"/>
      <c r="C59" s="6"/>
      <c r="D59" s="6"/>
      <c r="E59" s="16"/>
      <c r="F59" s="16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6"/>
      <c r="D60" s="6"/>
      <c r="E60" s="16"/>
      <c r="F60" s="16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6"/>
      <c r="C61" s="6"/>
      <c r="D61" s="6"/>
      <c r="E61" s="16"/>
      <c r="F61" s="16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" customHeight="1" x14ac:dyDescent="0.4">
      <c r="A67" s="6"/>
      <c r="B67" s="6"/>
      <c r="C67" s="6"/>
      <c r="D67" s="6"/>
      <c r="E67" s="16"/>
      <c r="F67" s="16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" customHeight="1" x14ac:dyDescent="0.4">
      <c r="A68" s="6"/>
      <c r="B68" s="6"/>
      <c r="C68" s="6"/>
      <c r="D68" s="6"/>
      <c r="E68" s="16"/>
      <c r="F68" s="16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" customHeight="1" x14ac:dyDescent="0.4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" customHeight="1" x14ac:dyDescent="0.4">
      <c r="A70" s="6"/>
      <c r="B70" s="6"/>
      <c r="C70" s="6"/>
      <c r="D70" s="6"/>
      <c r="E70" s="17"/>
      <c r="F70" s="18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" customHeight="1" x14ac:dyDescent="0.4">
      <c r="A71" s="6"/>
      <c r="B71" s="6"/>
      <c r="C71" s="6"/>
      <c r="D71" s="6"/>
      <c r="E71" s="12"/>
      <c r="F71" s="13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" customHeight="1" x14ac:dyDescent="0.4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 x14ac:dyDescent="0.4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 x14ac:dyDescent="0.4">
      <c r="A74" s="6"/>
      <c r="B74" s="6"/>
      <c r="C74" s="6"/>
      <c r="D74" s="6"/>
      <c r="E74" s="12"/>
      <c r="F74" s="13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 x14ac:dyDescent="0.4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 x14ac:dyDescent="0.4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 x14ac:dyDescent="0.4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 x14ac:dyDescent="0.4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 x14ac:dyDescent="0.4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 x14ac:dyDescent="0.4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 x14ac:dyDescent="0.4">
      <c r="A81" s="6"/>
      <c r="B81" s="6"/>
      <c r="C81" s="6"/>
      <c r="D81" s="6"/>
      <c r="E81" s="12"/>
      <c r="F81" s="13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 x14ac:dyDescent="0.4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 x14ac:dyDescent="0.4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 x14ac:dyDescent="0.4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 x14ac:dyDescent="0.4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 x14ac:dyDescent="0.4">
      <c r="A86" s="6"/>
      <c r="B86" s="6"/>
      <c r="C86" s="6"/>
      <c r="D86" s="6"/>
      <c r="E86" s="7"/>
      <c r="F86" s="7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 x14ac:dyDescent="0.4">
      <c r="A87" s="6"/>
      <c r="B87" s="6"/>
      <c r="C87" s="6"/>
      <c r="D87" s="6"/>
      <c r="E87" s="7"/>
      <c r="F87" s="7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 x14ac:dyDescent="0.4">
      <c r="A88" s="6"/>
      <c r="B88" s="6"/>
      <c r="C88" s="6"/>
      <c r="D88" s="6"/>
      <c r="E88" s="7"/>
      <c r="F88" s="7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 x14ac:dyDescent="0.4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 x14ac:dyDescent="0.4">
      <c r="A90" s="6"/>
      <c r="B90" s="6"/>
      <c r="C90" s="11"/>
      <c r="D90" s="6"/>
      <c r="E90" s="8"/>
      <c r="F90" s="9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 x14ac:dyDescent="0.4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 x14ac:dyDescent="0.4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</sheetData>
  <phoneticPr fontId="2"/>
  <conditionalFormatting sqref="C1:C3 C21 C7 C9 C11 C13 C23:C1048576">
    <cfRule type="duplicateValues" dxfId="2" priority="1"/>
  </conditionalFormatting>
  <conditionalFormatting sqref="G4:DH99">
    <cfRule type="expression" dxfId="1" priority="2">
      <formula>AND($D4="計画", $E4 &lt;= F$3, F$3 &lt; $F4 + IF($F4 &lt; $E4, 1, 0))</formula>
    </cfRule>
    <cfRule type="expression" dxfId="0" priority="3">
      <formula>AND($D4="実績", $E4 &lt;= F$3, F$3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661C-CCB4-4033-AC5E-E51968A9C14C}">
  <dimension ref="B2:J21"/>
  <sheetViews>
    <sheetView workbookViewId="0">
      <selection activeCell="I9" sqref="I9"/>
    </sheetView>
    <sheetView tabSelected="1" topLeftCell="A7" zoomScale="85" zoomScaleNormal="85" workbookViewId="1">
      <selection activeCell="I16" sqref="I16:J16"/>
    </sheetView>
    <sheetView workbookViewId="2"/>
  </sheetViews>
  <sheetFormatPr defaultColWidth="9.125" defaultRowHeight="18.75" x14ac:dyDescent="0.4"/>
  <cols>
    <col min="2" max="2" width="13.25" bestFit="1" customWidth="1"/>
    <col min="3" max="3" width="11" bestFit="1" customWidth="1"/>
    <col min="4" max="4" width="5.25" bestFit="1" customWidth="1"/>
    <col min="5" max="5" width="7.125" bestFit="1" customWidth="1"/>
    <col min="6" max="6" width="17.5" style="25" bestFit="1" customWidth="1"/>
    <col min="7" max="7" width="8.375" style="23" bestFit="1" customWidth="1"/>
    <col min="8" max="8" width="9" style="23" bestFit="1" customWidth="1"/>
    <col min="9" max="10" width="20.625" bestFit="1" customWidth="1"/>
  </cols>
  <sheetData>
    <row r="2" spans="2:10" x14ac:dyDescent="0.4">
      <c r="H2" s="21"/>
      <c r="I2" t="s">
        <v>9</v>
      </c>
    </row>
    <row r="4" spans="2:10" x14ac:dyDescent="0.4">
      <c r="I4" s="2"/>
      <c r="J4" s="2"/>
    </row>
    <row r="5" spans="2:10" x14ac:dyDescent="0.4">
      <c r="B5" s="6" t="s">
        <v>19</v>
      </c>
      <c r="C5" s="6" t="s">
        <v>20</v>
      </c>
      <c r="D5" s="6" t="s">
        <v>12</v>
      </c>
      <c r="E5" s="6" t="s">
        <v>30</v>
      </c>
      <c r="F5" s="24" t="s">
        <v>21</v>
      </c>
      <c r="G5" s="22" t="s">
        <v>33</v>
      </c>
      <c r="H5" s="22" t="s">
        <v>32</v>
      </c>
      <c r="I5" s="6" t="s">
        <v>22</v>
      </c>
      <c r="J5" s="6" t="s">
        <v>23</v>
      </c>
    </row>
    <row r="6" spans="2:10" x14ac:dyDescent="0.4">
      <c r="B6" s="6" t="s">
        <v>42</v>
      </c>
      <c r="C6" s="6" t="s">
        <v>43</v>
      </c>
      <c r="D6" s="6">
        <v>48</v>
      </c>
      <c r="E6" s="6" t="s">
        <v>17</v>
      </c>
      <c r="F6" s="28" t="s">
        <v>16</v>
      </c>
      <c r="G6" s="22">
        <v>0.78886118038237707</v>
      </c>
      <c r="H6" s="22">
        <v>0.57938487115544479</v>
      </c>
      <c r="I6" s="16">
        <v>0.72916666666666663</v>
      </c>
      <c r="J6" s="16">
        <f t="shared" ref="J6:J9" si="0">I6+G6/24</f>
        <v>0.76203588251593235</v>
      </c>
    </row>
    <row r="7" spans="2:10" x14ac:dyDescent="0.4">
      <c r="B7" s="6" t="s">
        <v>8</v>
      </c>
      <c r="C7" s="6" t="s">
        <v>40</v>
      </c>
      <c r="D7" s="6">
        <v>288</v>
      </c>
      <c r="E7" s="6" t="s">
        <v>17</v>
      </c>
      <c r="F7" s="29">
        <v>45582.705694444441</v>
      </c>
      <c r="G7" s="22">
        <v>2.428571428571427</v>
      </c>
      <c r="H7" s="22">
        <v>1.9523809523809526</v>
      </c>
      <c r="I7" s="16">
        <f>J6</f>
        <v>0.76203588251593235</v>
      </c>
      <c r="J7" s="16">
        <f t="shared" si="0"/>
        <v>0.86322635870640851</v>
      </c>
    </row>
    <row r="8" spans="2:10" x14ac:dyDescent="0.4">
      <c r="B8" s="6" t="s">
        <v>46</v>
      </c>
      <c r="C8" s="6" t="s">
        <v>47</v>
      </c>
      <c r="D8" s="6">
        <v>12</v>
      </c>
      <c r="E8" s="6" t="s">
        <v>15</v>
      </c>
      <c r="F8" s="28" t="s">
        <v>16</v>
      </c>
      <c r="G8" s="27">
        <v>0.75</v>
      </c>
      <c r="H8" s="22" t="s">
        <v>24</v>
      </c>
      <c r="I8" s="16">
        <f t="shared" ref="I8:I9" si="1">J7</f>
        <v>0.86322635870640851</v>
      </c>
      <c r="J8" s="16">
        <f t="shared" si="0"/>
        <v>0.89447635870640851</v>
      </c>
    </row>
    <row r="9" spans="2:10" x14ac:dyDescent="0.4">
      <c r="B9" s="6" t="s">
        <v>48</v>
      </c>
      <c r="C9" s="6" t="s">
        <v>49</v>
      </c>
      <c r="D9" s="6">
        <v>12</v>
      </c>
      <c r="E9" s="6" t="s">
        <v>15</v>
      </c>
      <c r="F9" s="28" t="s">
        <v>16</v>
      </c>
      <c r="G9" s="27">
        <v>0.75</v>
      </c>
      <c r="H9" s="22" t="s">
        <v>24</v>
      </c>
      <c r="I9" s="16">
        <f t="shared" si="1"/>
        <v>0.89447635870640851</v>
      </c>
      <c r="J9" s="16">
        <f t="shared" si="0"/>
        <v>0.92572635870640851</v>
      </c>
    </row>
    <row r="14" spans="2:10" x14ac:dyDescent="0.4">
      <c r="I14" s="2"/>
    </row>
    <row r="15" spans="2:10" x14ac:dyDescent="0.4">
      <c r="B15" s="6" t="s">
        <v>19</v>
      </c>
      <c r="C15" s="6" t="s">
        <v>20</v>
      </c>
      <c r="D15" s="6" t="s">
        <v>12</v>
      </c>
      <c r="E15" s="6" t="s">
        <v>30</v>
      </c>
      <c r="F15" s="24" t="s">
        <v>21</v>
      </c>
      <c r="G15" s="22" t="s">
        <v>33</v>
      </c>
      <c r="H15" s="22" t="s">
        <v>32</v>
      </c>
      <c r="I15" s="6" t="s">
        <v>22</v>
      </c>
      <c r="J15" s="6" t="s">
        <v>23</v>
      </c>
    </row>
    <row r="16" spans="2:10" x14ac:dyDescent="0.4">
      <c r="B16" s="6" t="s">
        <v>26</v>
      </c>
      <c r="C16" s="6" t="s">
        <v>38</v>
      </c>
      <c r="D16" s="6">
        <v>48</v>
      </c>
      <c r="E16" s="6" t="s">
        <v>18</v>
      </c>
      <c r="F16" s="28" t="s">
        <v>16</v>
      </c>
      <c r="G16" s="27">
        <v>0.75</v>
      </c>
      <c r="H16" s="27">
        <v>0.75</v>
      </c>
      <c r="I16" s="16">
        <v>0.72916666666666663</v>
      </c>
      <c r="J16" s="16">
        <f>I16+G16/24</f>
        <v>0.76041666666666663</v>
      </c>
    </row>
    <row r="17" spans="2:10" x14ac:dyDescent="0.4">
      <c r="B17" s="6" t="s">
        <v>25</v>
      </c>
      <c r="C17" s="6" t="s">
        <v>39</v>
      </c>
      <c r="D17" s="6">
        <v>59</v>
      </c>
      <c r="E17" s="6" t="s">
        <v>18</v>
      </c>
      <c r="F17" s="28" t="s">
        <v>16</v>
      </c>
      <c r="G17" s="22">
        <v>1.6644688643968255</v>
      </c>
      <c r="H17" s="27">
        <v>0.75</v>
      </c>
      <c r="I17" s="16">
        <f t="shared" ref="I17:I21" si="2">J16</f>
        <v>0.76041666666666663</v>
      </c>
      <c r="J17" s="16">
        <f t="shared" ref="J17:J21" si="3">I17+G17/24</f>
        <v>0.82976953601653436</v>
      </c>
    </row>
    <row r="18" spans="2:10" x14ac:dyDescent="0.4">
      <c r="B18" s="6" t="s">
        <v>27</v>
      </c>
      <c r="C18" s="6" t="s">
        <v>41</v>
      </c>
      <c r="D18" s="6">
        <v>36</v>
      </c>
      <c r="E18" s="6" t="s">
        <v>18</v>
      </c>
      <c r="F18" s="28" t="s">
        <v>16</v>
      </c>
      <c r="G18" s="22">
        <v>0.52834467119047612</v>
      </c>
      <c r="H18" s="27">
        <v>0.75</v>
      </c>
      <c r="I18" s="16">
        <f t="shared" si="2"/>
        <v>0.82976953601653436</v>
      </c>
      <c r="J18" s="16">
        <f t="shared" si="3"/>
        <v>0.85178389731613757</v>
      </c>
    </row>
    <row r="19" spans="2:10" x14ac:dyDescent="0.4">
      <c r="B19" s="6" t="s">
        <v>44</v>
      </c>
      <c r="C19" s="6" t="s">
        <v>45</v>
      </c>
      <c r="D19" s="6">
        <v>60</v>
      </c>
      <c r="E19" s="6" t="s">
        <v>18</v>
      </c>
      <c r="F19" s="29">
        <v>45582.785960648151</v>
      </c>
      <c r="G19" s="22">
        <v>1.1771000535045477</v>
      </c>
      <c r="H19" s="22">
        <v>1.1620117710005353</v>
      </c>
      <c r="I19" s="16">
        <f t="shared" si="2"/>
        <v>0.85178389731613757</v>
      </c>
      <c r="J19" s="16">
        <f t="shared" si="3"/>
        <v>0.90082973287882706</v>
      </c>
    </row>
    <row r="20" spans="2:10" x14ac:dyDescent="0.4">
      <c r="B20" s="6" t="s">
        <v>50</v>
      </c>
      <c r="C20" s="6" t="s">
        <v>51</v>
      </c>
      <c r="D20" s="6">
        <v>24</v>
      </c>
      <c r="E20" s="6" t="s">
        <v>15</v>
      </c>
      <c r="F20" s="29">
        <v>45582.759351851855</v>
      </c>
      <c r="G20" s="22">
        <v>0.53463203463203457</v>
      </c>
      <c r="H20" s="22" t="s">
        <v>24</v>
      </c>
      <c r="I20" s="16">
        <f t="shared" si="2"/>
        <v>0.90082973287882706</v>
      </c>
      <c r="J20" s="16">
        <f t="shared" si="3"/>
        <v>0.92310606765516179</v>
      </c>
    </row>
    <row r="21" spans="2:10" x14ac:dyDescent="0.4">
      <c r="B21" s="6" t="s">
        <v>52</v>
      </c>
      <c r="C21" s="6" t="s">
        <v>53</v>
      </c>
      <c r="D21" s="6">
        <v>12</v>
      </c>
      <c r="E21" s="6" t="s">
        <v>15</v>
      </c>
      <c r="F21" s="29">
        <v>45582.773240740738</v>
      </c>
      <c r="G21" s="22">
        <v>0.40952380952380957</v>
      </c>
      <c r="H21" s="22" t="s">
        <v>24</v>
      </c>
      <c r="I21" s="16">
        <f t="shared" si="2"/>
        <v>0.92310606765516179</v>
      </c>
      <c r="J21" s="16">
        <f t="shared" si="3"/>
        <v>0.9401695597186539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3453D-E57F-4A77-B420-F1CA2B1A20F4}">
  <dimension ref="B1:I15"/>
  <sheetViews>
    <sheetView workbookViewId="0">
      <selection activeCell="I9" sqref="I9"/>
    </sheetView>
    <sheetView workbookViewId="1">
      <selection activeCell="H10" sqref="H10:I10"/>
    </sheetView>
    <sheetView workbookViewId="2"/>
  </sheetViews>
  <sheetFormatPr defaultColWidth="9.125" defaultRowHeight="18.75" x14ac:dyDescent="0.4"/>
  <cols>
    <col min="2" max="2" width="13.125" bestFit="1" customWidth="1"/>
    <col min="3" max="3" width="13" bestFit="1" customWidth="1"/>
    <col min="4" max="4" width="5.25" bestFit="1" customWidth="1"/>
    <col min="5" max="5" width="7.125" bestFit="1" customWidth="1"/>
    <col min="6" max="6" width="16.5" style="20" bestFit="1" customWidth="1"/>
    <col min="7" max="7" width="9" bestFit="1" customWidth="1"/>
    <col min="8" max="8" width="15.125" bestFit="1" customWidth="1"/>
    <col min="9" max="9" width="13" bestFit="1" customWidth="1"/>
  </cols>
  <sheetData>
    <row r="1" spans="2:9" x14ac:dyDescent="0.4">
      <c r="F1" s="25"/>
      <c r="G1" s="23"/>
      <c r="H1" s="23"/>
    </row>
    <row r="2" spans="2:9" x14ac:dyDescent="0.4">
      <c r="F2" s="25"/>
    </row>
    <row r="3" spans="2:9" x14ac:dyDescent="0.4">
      <c r="F3" s="25"/>
      <c r="G3" s="21"/>
      <c r="H3" t="s">
        <v>9</v>
      </c>
    </row>
    <row r="4" spans="2:9" x14ac:dyDescent="0.4">
      <c r="F4" s="25"/>
    </row>
    <row r="5" spans="2:9" x14ac:dyDescent="0.4">
      <c r="F5" s="25"/>
    </row>
    <row r="6" spans="2:9" x14ac:dyDescent="0.4">
      <c r="B6" s="6" t="s">
        <v>10</v>
      </c>
      <c r="C6" s="6" t="s">
        <v>11</v>
      </c>
      <c r="D6" s="6" t="s">
        <v>12</v>
      </c>
      <c r="E6" s="6" t="s">
        <v>30</v>
      </c>
      <c r="F6" s="26" t="s">
        <v>31</v>
      </c>
      <c r="G6" s="22" t="s">
        <v>32</v>
      </c>
      <c r="H6" s="6" t="s">
        <v>13</v>
      </c>
      <c r="I6" s="6" t="s">
        <v>14</v>
      </c>
    </row>
    <row r="7" spans="2:9" x14ac:dyDescent="0.4">
      <c r="B7" s="6" t="s">
        <v>34</v>
      </c>
      <c r="C7" s="6" t="s">
        <v>35</v>
      </c>
      <c r="D7" s="6">
        <v>448</v>
      </c>
      <c r="E7" s="6" t="s">
        <v>17</v>
      </c>
      <c r="F7" s="28" t="s">
        <v>16</v>
      </c>
      <c r="G7" s="22">
        <v>0.27538584713378622</v>
      </c>
      <c r="H7" s="16">
        <v>0.72916666666666663</v>
      </c>
      <c r="I7" s="16">
        <f>H7+G7/24</f>
        <v>0.74064107696390769</v>
      </c>
    </row>
    <row r="8" spans="2:9" x14ac:dyDescent="0.4">
      <c r="B8" s="6" t="s">
        <v>36</v>
      </c>
      <c r="C8" s="6" t="s">
        <v>37</v>
      </c>
      <c r="D8" s="6">
        <v>48</v>
      </c>
      <c r="E8" s="6" t="s">
        <v>18</v>
      </c>
      <c r="F8" s="28" t="s">
        <v>16</v>
      </c>
      <c r="G8" s="27">
        <v>0.75</v>
      </c>
      <c r="H8" s="16">
        <f>I7</f>
        <v>0.74064107696390769</v>
      </c>
      <c r="I8" s="16">
        <f>H8+G8/24</f>
        <v>0.77189107696390769</v>
      </c>
    </row>
    <row r="9" spans="2:9" x14ac:dyDescent="0.4">
      <c r="B9" s="6" t="s">
        <v>26</v>
      </c>
      <c r="C9" s="6" t="s">
        <v>38</v>
      </c>
      <c r="D9" s="6">
        <v>48</v>
      </c>
      <c r="E9" s="6" t="s">
        <v>18</v>
      </c>
      <c r="F9" s="26">
        <v>0.76041666666666663</v>
      </c>
      <c r="G9" s="22">
        <v>0.75</v>
      </c>
      <c r="H9" s="16">
        <f>I8</f>
        <v>0.77189107696390769</v>
      </c>
      <c r="I9" s="16">
        <f t="shared" ref="I9:I15" si="0">H9+G9/24</f>
        <v>0.80314107696390769</v>
      </c>
    </row>
    <row r="10" spans="2:9" x14ac:dyDescent="0.4">
      <c r="B10" s="6" t="s">
        <v>25</v>
      </c>
      <c r="C10" s="6" t="s">
        <v>39</v>
      </c>
      <c r="D10" s="6">
        <v>59</v>
      </c>
      <c r="E10" s="6" t="s">
        <v>18</v>
      </c>
      <c r="F10" s="26">
        <v>0.82976953601653436</v>
      </c>
      <c r="G10" s="22">
        <v>0.75</v>
      </c>
      <c r="H10" s="16">
        <f>I9</f>
        <v>0.80314107696390769</v>
      </c>
      <c r="I10" s="16">
        <f t="shared" si="0"/>
        <v>0.83439107696390769</v>
      </c>
    </row>
    <row r="11" spans="2:9" x14ac:dyDescent="0.4">
      <c r="B11" s="6" t="s">
        <v>8</v>
      </c>
      <c r="C11" s="6" t="s">
        <v>40</v>
      </c>
      <c r="D11" s="6">
        <v>288</v>
      </c>
      <c r="E11" s="6" t="s">
        <v>17</v>
      </c>
      <c r="F11" s="26">
        <v>0.83035714285714279</v>
      </c>
      <c r="G11" s="22">
        <v>1.9523809523809526</v>
      </c>
      <c r="H11" s="16">
        <f>I10</f>
        <v>0.83439107696390769</v>
      </c>
      <c r="I11" s="16">
        <f t="shared" si="0"/>
        <v>0.91574028331311408</v>
      </c>
    </row>
    <row r="12" spans="2:9" x14ac:dyDescent="0.4">
      <c r="B12" s="6" t="s">
        <v>27</v>
      </c>
      <c r="C12" s="6" t="s">
        <v>41</v>
      </c>
      <c r="D12" s="6">
        <v>36</v>
      </c>
      <c r="E12" s="6" t="s">
        <v>18</v>
      </c>
      <c r="F12" s="26">
        <v>0.85178389731613757</v>
      </c>
      <c r="G12" s="22">
        <v>0.75</v>
      </c>
      <c r="H12" s="16">
        <f t="shared" ref="H12:H15" si="1">I11</f>
        <v>0.91574028331311408</v>
      </c>
      <c r="I12" s="16">
        <f t="shared" si="0"/>
        <v>0.94699028331311408</v>
      </c>
    </row>
    <row r="13" spans="2:9" x14ac:dyDescent="0.4">
      <c r="B13" s="6" t="s">
        <v>42</v>
      </c>
      <c r="C13" s="6" t="s">
        <v>43</v>
      </c>
      <c r="D13" s="6">
        <v>48</v>
      </c>
      <c r="E13" s="6" t="s">
        <v>17</v>
      </c>
      <c r="F13" s="26">
        <v>0.86322635870640851</v>
      </c>
      <c r="G13" s="22">
        <v>0.57938487115544479</v>
      </c>
      <c r="H13" s="16">
        <f t="shared" si="1"/>
        <v>0.94699028331311408</v>
      </c>
      <c r="I13" s="16">
        <f t="shared" si="0"/>
        <v>0.97113131961125765</v>
      </c>
    </row>
    <row r="14" spans="2:9" x14ac:dyDescent="0.4">
      <c r="B14" s="6" t="s">
        <v>44</v>
      </c>
      <c r="C14" s="6" t="s">
        <v>45</v>
      </c>
      <c r="D14" s="6">
        <v>60</v>
      </c>
      <c r="E14" s="6" t="s">
        <v>18</v>
      </c>
      <c r="F14" s="26">
        <v>0.90082973287882706</v>
      </c>
      <c r="G14" s="22">
        <v>1.1620117710005353</v>
      </c>
      <c r="H14" s="16">
        <f t="shared" si="1"/>
        <v>0.97113131961125765</v>
      </c>
      <c r="I14" s="16">
        <f t="shared" si="0"/>
        <v>1.0195484767362799</v>
      </c>
    </row>
    <row r="15" spans="2:9" x14ac:dyDescent="0.4">
      <c r="B15" s="6" t="s">
        <v>8</v>
      </c>
      <c r="C15" s="6" t="s">
        <v>40</v>
      </c>
      <c r="D15" s="6">
        <v>288</v>
      </c>
      <c r="E15" s="6" t="s">
        <v>17</v>
      </c>
      <c r="F15" s="26">
        <v>0.96441683489688468</v>
      </c>
      <c r="G15" s="22">
        <v>1.9523809523809526</v>
      </c>
      <c r="H15" s="16">
        <f t="shared" si="1"/>
        <v>1.0195484767362799</v>
      </c>
      <c r="I15" s="16">
        <f t="shared" si="0"/>
        <v>1.1008976830854862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Props1.xml><?xml version="1.0" encoding="utf-8"?>
<ds:datastoreItem xmlns:ds="http://schemas.openxmlformats.org/officeDocument/2006/customXml" ds:itemID="{319C3116-BB26-4046-9CEE-30119B9D27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7A5BFC-242B-4811-92CE-1ABA01457DC3}"/>
</file>

<file path=customXml/itemProps3.xml><?xml version="1.0" encoding="utf-8"?>
<ds:datastoreItem xmlns:ds="http://schemas.openxmlformats.org/officeDocument/2006/customXml" ds:itemID="{D9B6089C-DC21-4487-A7DE-E222667BF51D}">
  <ds:schemaRefs>
    <ds:schemaRef ds:uri="http://purl.org/dc/terms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ea180fb7-6417-4417-bcc2-1a1988547c9d"/>
    <ds:schemaRef ds:uri="http://schemas.microsoft.com/office/2006/metadata/properties"/>
    <ds:schemaRef ds:uri="a7e61ba0-4c47-4710-ac4c-031e401f92bd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AOI1号機</vt:lpstr>
      <vt:lpstr>AOI2号機</vt:lpstr>
      <vt:lpstr>AOI3号機</vt:lpstr>
      <vt:lpstr>目視</vt:lpstr>
      <vt:lpstr>AOI計画</vt:lpstr>
      <vt:lpstr>目視計画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UCHIDA Yoshiharu (内田 寿治)</dc:creator>
  <cp:keywords/>
  <dc:description/>
  <cp:lastModifiedBy>UCHIDA Yoshiharu (内田 寿治)</cp:lastModifiedBy>
  <cp:revision/>
  <dcterms:created xsi:type="dcterms:W3CDTF">2024-09-18T03:10:58Z</dcterms:created>
  <dcterms:modified xsi:type="dcterms:W3CDTF">2024-10-17T23:38:38Z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