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38" documentId="8_{075DBB72-9FB9-4654-B75B-9A9641A123A5}" xr6:coauthVersionLast="47" xr6:coauthVersionMax="47" xr10:uidLastSave="{12462077-F136-41F4-8C30-BD2A6F8196DB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<sst xmlns="http://schemas.openxmlformats.org/spreadsheetml/2006/main" count="91" uniqueCount="26">
  <si>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</si>
  <si>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</si>
  <si>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</si>
  <si>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</si>
  <si>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</si>
  <si>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</si>
  <si>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</si>
  <si>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</si>
  <si>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</si>
  <si>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UR-05091-03</t>
  </si>
  <si>
    <t>UR-0486</t>
  </si>
  <si>
    <t>実績</t>
  </si>
  <si>
    <t>UR-0489</t>
  </si>
  <si>
    <t>UR-0488-01</t>
  </si>
  <si>
    <t>UR-0483</t>
  </si>
  <si>
    <t>UR-0480</t>
  </si>
  <si>
    <t>UR-0511</t>
  </si>
  <si>
    <t>UR-0519</t>
  </si>
  <si>
    <t>URS-0580</t>
  </si>
  <si>
    <t>UR-4487</t>
  </si>
  <si>
    <t>UR-0624</t>
  </si>
  <si>
    <t>UR-0475</t>
  </si>
  <si>
    <t>実績</t>
    <rPh sb="0" eb="2">
      <t>ジッセキ</t>
    </rPh>
    <phoneticPr fontId="2"/>
  </si>
  <si>
    <t>UR-0493</t>
  </si>
  <si>
    <t>UR-0505</t>
  </si>
  <si>
    <t>URS-42982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</si>
</sst>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BE4" activePane="bottomRight" state="frozen"/>
      <selection pane="topRight" activeCell="G1" sqref="G1"/>
      <selection pane="bottomLeft" activeCell="A4" sqref="A4"/>
      <selection pane="bottomRight" activeCell="B10" sqref="B10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19</v>
      </c>
      <c r="C4" s="6">
        <v>211994970</v>
      </c>
      <c r="D4" s="6" t="s">
        <v>11</v>
      </c>
      <c r="E4" s="7">
        <v>0.72359953703703705</v>
      </c>
      <c r="F4" s="7">
        <v>0.73221064814814818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0.75875000000000004</v>
      </c>
      <c r="F5" s="7">
        <v>0.76885416666666662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19</v>
      </c>
      <c r="C7" s="6">
        <v>211994971</v>
      </c>
      <c r="D7" s="6" t="s">
        <v>11</v>
      </c>
      <c r="E7" s="7">
        <v>0.7323263888888889</v>
      </c>
      <c r="F7" s="7">
        <v>0.75862268518518516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11</v>
      </c>
      <c r="E8" s="7">
        <v>0.76896990740740745</v>
      </c>
      <c r="F8" s="7">
        <v>0.77483796296296292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20</v>
      </c>
      <c r="C10" s="6">
        <v>110012169</v>
      </c>
      <c r="D10" s="6" t="s">
        <v>11</v>
      </c>
      <c r="E10" s="7">
        <v>0.77496527777777779</v>
      </c>
      <c r="F10" s="7">
        <v>0.81085648148148148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 t="s">
        <v>11</v>
      </c>
      <c r="E11" s="7">
        <v>0.81233796296296301</v>
      </c>
      <c r="F11" s="7">
        <v>0.81466435185185182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25</v>
      </c>
      <c r="C13" s="6">
        <v>211999071</v>
      </c>
      <c r="D13" s="6" t="s">
        <v>11</v>
      </c>
      <c r="E13" s="7">
        <v>0.86148148148148151</v>
      </c>
      <c r="F13" s="7">
        <v>0.86989583333333331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G13:DH13">
    <cfRule type="expression" dxfId="12" priority="8">
      <formula>AND($D15="計画", $E15 &lt;= F$3, F$3 &lt; $F15 + IF($F15 &lt; $E15, 1, 0))</formula>
    </cfRule>
  </conditionalFormatting>
  <conditionalFormatting sqref="G15:DH15">
    <cfRule type="expression" dxfId="11" priority="9">
      <formula>AND(#REF!="計画", #REF! &lt;= F$3, F$3 &lt; #REF! + IF(#REF! &lt; #REF!, 1, 0))</formula>
    </cfRule>
  </conditionalFormatting>
  <conditionalFormatting sqref="H4:DH12 H14:DH14 H16:DH134">
    <cfRule type="expression" dxfId="10" priority="6">
      <formula>AND($D4="実績", $E4 &lt;= G$3, G$3 &lt; $F4 + IF($F4 &lt; $E4,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E4" activePane="bottomRight" state="frozen"/>
      <selection pane="topRight" activeCell="G1" sqref="G1"/>
      <selection pane="bottomLeft" activeCell="A4" sqref="A4"/>
      <selection pane="bottomRight" activeCell="B16" sqref="B16:C16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21</v>
      </c>
      <c r="C4" s="6">
        <v>212000835</v>
      </c>
      <c r="D4" s="6" t="s">
        <v>11</v>
      </c>
      <c r="E4" s="7">
        <v>0.71949074074074071</v>
      </c>
      <c r="F4" s="7">
        <v>0.75115740740740744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12</v>
      </c>
      <c r="C6" s="6">
        <v>212000857</v>
      </c>
      <c r="D6" s="6" t="s">
        <v>11</v>
      </c>
      <c r="E6" s="7">
        <v>0.79819444444444443</v>
      </c>
      <c r="F6" s="7">
        <v>0.81930555555555551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 t="s">
        <v>11</v>
      </c>
      <c r="E7" s="7">
        <v>0.81943287037037038</v>
      </c>
      <c r="F7" s="7">
        <v>0.82194444444444448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14</v>
      </c>
      <c r="C9" s="6">
        <v>212000855</v>
      </c>
      <c r="D9" s="6" t="s">
        <v>11</v>
      </c>
      <c r="E9" s="7">
        <v>0.98255787037037035</v>
      </c>
      <c r="F9" s="7">
        <v>0.99237268518518518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 t="s">
        <v>11</v>
      </c>
      <c r="E10" s="7">
        <v>3.7037037037037035E-4</v>
      </c>
      <c r="F10" s="7">
        <v>4.2361111111111115E-3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15</v>
      </c>
      <c r="C12" s="6">
        <v>212000853</v>
      </c>
      <c r="D12" s="6" t="s">
        <v>11</v>
      </c>
      <c r="E12" s="7">
        <v>0.99252314814814813</v>
      </c>
      <c r="F12" s="7">
        <v>1.8518518518518518E-4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 t="s">
        <v>11</v>
      </c>
      <c r="E13" s="7">
        <v>1.4722222222222222E-2</v>
      </c>
      <c r="F13" s="7">
        <v>2.6157407407407407E-2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23</v>
      </c>
      <c r="C15" s="6">
        <v>212000858</v>
      </c>
      <c r="D15" s="6" t="s">
        <v>11</v>
      </c>
      <c r="E15" s="7">
        <v>4.363425925925926E-3</v>
      </c>
      <c r="F15" s="7">
        <v>4.43287037037037E-3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 t="s">
        <v>11</v>
      </c>
      <c r="E16" s="7">
        <v>4.5717592592592589E-3</v>
      </c>
      <c r="F16" s="7">
        <v>5.7291666666666663E-3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21</v>
      </c>
      <c r="C18" s="6">
        <v>212000835</v>
      </c>
      <c r="D18" s="6" t="s">
        <v>11</v>
      </c>
      <c r="E18" s="7">
        <v>6.053240740740741E-3</v>
      </c>
      <c r="F18" s="7">
        <v>9.1087962962962971E-3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24</v>
      </c>
      <c r="C20" s="6">
        <v>212000859</v>
      </c>
      <c r="D20" s="6" t="s">
        <v>11</v>
      </c>
      <c r="E20" s="7">
        <v>9.7106481481481488E-3</v>
      </c>
      <c r="F20" s="7">
        <v>1.4606481481481481E-2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D5" sqref="D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9</v>
      </c>
      <c r="C4" s="6">
        <v>212000860</v>
      </c>
      <c r="D4" s="6" t="s">
        <v>22</v>
      </c>
      <c r="E4" s="7">
        <v>0.84928240740740746</v>
      </c>
      <c r="F4" s="7">
        <v>0.95925925925925926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22</v>
      </c>
      <c r="E5" s="7">
        <v>0.97231481481481485</v>
      </c>
      <c r="F5" s="7">
        <v>0.97243055555555558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AV4" activePane="bottomRight" state="frozen"/>
      <selection pane="topRight" activeCell="G1" sqref="G1"/>
      <selection pane="bottomLeft" activeCell="A4" sqref="A4"/>
      <selection pane="bottomRight" activeCell="D10" sqref="D10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13</v>
      </c>
      <c r="C4" s="6">
        <v>212000235</v>
      </c>
      <c r="D4" s="6" t="s">
        <v>11</v>
      </c>
      <c r="E4" s="7">
        <v>0.71783564814814815</v>
      </c>
      <c r="F4" s="7">
        <v>0.72890046296296296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17</v>
      </c>
      <c r="C6" s="6">
        <v>212000243</v>
      </c>
      <c r="D6" s="6" t="s">
        <v>11</v>
      </c>
      <c r="E6" s="7">
        <v>0.72910879629629632</v>
      </c>
      <c r="F6" s="7">
        <v>0.7575115740740741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12</v>
      </c>
      <c r="C8" s="6">
        <v>212000236</v>
      </c>
      <c r="D8" s="6" t="s">
        <v>11</v>
      </c>
      <c r="E8" s="7">
        <v>0.75769675925925928</v>
      </c>
      <c r="F8" s="7">
        <v>0.77268518518518514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10</v>
      </c>
      <c r="C10" s="6">
        <v>212000318</v>
      </c>
      <c r="D10" s="6" t="s">
        <v>11</v>
      </c>
      <c r="E10" s="7">
        <v>0.77285879629629628</v>
      </c>
      <c r="F10" s="7">
        <v>0.7853472222222222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16</v>
      </c>
      <c r="C12" s="6">
        <v>212000861</v>
      </c>
      <c r="D12" s="6" t="s">
        <v>11</v>
      </c>
      <c r="E12" s="7">
        <v>0.78552083333333333</v>
      </c>
      <c r="F12" s="7">
        <v>0.81059027777777781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18</v>
      </c>
      <c r="C14" s="6">
        <v>212000871</v>
      </c>
      <c r="D14" s="6" t="s">
        <v>11</v>
      </c>
      <c r="E14" s="7">
        <v>0.80092592592592593</v>
      </c>
      <c r="F14" s="7">
        <v>0.91422453703703699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13</v>
      </c>
      <c r="C16" s="6">
        <v>212000856</v>
      </c>
      <c r="D16" s="6" t="s">
        <v>11</v>
      </c>
      <c r="E16" s="7">
        <v>0.81079861111111107</v>
      </c>
      <c r="F16" s="7">
        <v>0.81968750000000001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19</v>
      </c>
      <c r="C18" s="6">
        <v>211994970</v>
      </c>
      <c r="D18" s="6" t="s">
        <v>11</v>
      </c>
      <c r="E18" s="7">
        <v>0.85265046296296299</v>
      </c>
      <c r="F18" s="7">
        <v>0.86168981481481477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19</v>
      </c>
      <c r="C20" s="6">
        <v>211994971</v>
      </c>
      <c r="D20" s="6" t="s">
        <v>11</v>
      </c>
      <c r="E20" s="7">
        <v>0.86192129629629632</v>
      </c>
      <c r="F20" s="7">
        <v>0.87290509259259264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20</v>
      </c>
      <c r="C22" s="6">
        <v>110012169</v>
      </c>
      <c r="D22" s="6" t="s">
        <v>11</v>
      </c>
      <c r="E22" s="7">
        <v>0.92376157407407411</v>
      </c>
      <c r="F22" s="7">
        <v>0.92391203703703706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 t="s">
        <v>12</v>
      </c>
      <c r="C24" s="6">
        <v>212000857</v>
      </c>
      <c r="D24" s="6" t="s">
        <v>11</v>
      </c>
      <c r="E24" s="7">
        <v>0.9254282407407407</v>
      </c>
      <c r="F24" s="7">
        <v>0.95402777777777781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 t="s">
        <v>9</v>
      </c>
      <c r="C26" s="6">
        <v>212000860</v>
      </c>
      <c r="D26" s="6" t="s">
        <v>11</v>
      </c>
      <c r="E26" s="7">
        <v>0.9594907407407407</v>
      </c>
      <c r="F26" s="7">
        <v>2.9618055555555557E-2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:C1048576 C1:C3">
    <cfRule type="duplicateValues" dxfId="2" priority="4"/>
  </conditionalFormatting>
  <conditionalFormatting sqref="G4:DH5 H6:DH6 G7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3ADC105-8EA2-4085-832E-05B3E4F899FA}"/>
</file>

<file path=customXml/itemProps3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2024-12-11T00:09:40Z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