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134" documentId="8_{94C193AD-4BFE-4A33-9473-04D4E8ADB50C}" xr6:coauthVersionLast="47" xr6:coauthVersionMax="47" xr10:uidLastSave="{C4B713F9-D30D-47C3-A92E-4937D536F8DC}"/>
  <bookViews>
    <workbookView xWindow="20370" yWindow="-4650" windowWidth="29040" windowHeight="15840" activeTab="2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6" l="1"/>
  <c r="I34" i="6" s="1"/>
  <c r="J34" i="6" s="1"/>
  <c r="I35" i="6" s="1"/>
  <c r="J35" i="6" s="1"/>
  <c r="J25" i="6"/>
  <c r="I26" i="6" s="1"/>
  <c r="J26" i="6" s="1"/>
  <c r="I22" i="6"/>
  <c r="J22" i="6" s="1"/>
  <c r="I23" i="6" s="1"/>
  <c r="J23" i="6" s="1"/>
  <c r="I24" i="6" s="1"/>
  <c r="J24" i="6" s="1"/>
  <c r="J21" i="6"/>
  <c r="J14" i="6"/>
  <c r="J13" i="6"/>
  <c r="J12" i="6"/>
  <c r="J11" i="6"/>
  <c r="J10" i="6"/>
  <c r="J9" i="6"/>
  <c r="J6" i="6"/>
  <c r="I7" i="6" s="1"/>
  <c r="J7" i="6" s="1"/>
  <c r="I8" i="6" s="1"/>
  <c r="J8" i="6" s="1"/>
  <c r="F22" i="5"/>
  <c r="F21" i="5"/>
  <c r="F20" i="5"/>
  <c r="F19" i="5"/>
  <c r="F18" i="5"/>
  <c r="F17" i="5"/>
  <c r="F16" i="5"/>
  <c r="F15" i="5"/>
  <c r="F14" i="5"/>
  <c r="F13" i="5"/>
  <c r="F12" i="5"/>
  <c r="F11" i="5"/>
  <c r="H7" i="5"/>
  <c r="I7" i="5" s="1"/>
  <c r="H8" i="5" s="1"/>
  <c r="I8" i="5" s="1"/>
  <c r="H9" i="5" s="1"/>
  <c r="I9" i="5" s="1"/>
  <c r="H10" i="5" s="1"/>
  <c r="I10" i="5" s="1"/>
  <c r="H11" i="5" s="1"/>
  <c r="I11" i="5" s="1"/>
  <c r="H12" i="5" s="1"/>
  <c r="I12" i="5" s="1"/>
  <c r="H13" i="5" s="1"/>
  <c r="I13" i="5" s="1"/>
  <c r="H14" i="5" s="1"/>
  <c r="I14" i="5" s="1"/>
  <c r="H15" i="5" s="1"/>
  <c r="I15" i="5" s="1"/>
  <c r="H16" i="5" s="1"/>
  <c r="I16" i="5" s="1"/>
  <c r="H17" i="5" s="1"/>
  <c r="I17" i="5" s="1"/>
  <c r="H18" i="5" s="1"/>
  <c r="I18" i="5" s="1"/>
  <c r="H19" i="5" s="1"/>
  <c r="I19" i="5" s="1"/>
  <c r="H20" i="5" s="1"/>
  <c r="I20" i="5" s="1"/>
  <c r="H21" i="5" s="1"/>
  <c r="I21" i="5" s="1"/>
  <c r="H22" i="5" s="1"/>
  <c r="I22" i="5" s="1"/>
  <c r="I6" i="5"/>
</calcChain>
</file>

<file path=xl/sharedStrings.xml><?xml version="1.0" encoding="utf-8"?>
<sst xmlns="http://schemas.openxmlformats.org/spreadsheetml/2006/main" count="315" uniqueCount="77">
  <si>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</si>
  <si>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</si>
  <si>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</si>
  <si>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</si>
  <si>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</si>
  <si>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</si>
  <si>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</si>
  <si>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</si>
  <si>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←マスタ未登録</t>
    <rPh sb="4" eb="7">
      <t>ミ</t>
    </rPh>
    <phoneticPr fontId="2"/>
  </si>
  <si>
    <t>品目名</t>
    <rPh sb="0" eb="3">
      <t>ヒンモクメイ</t>
    </rPh>
    <phoneticPr fontId="2"/>
  </si>
  <si>
    <t>指図</t>
    <rPh sb="0" eb="2">
      <t>サシズ</t>
    </rPh>
    <phoneticPr fontId="2"/>
  </si>
  <si>
    <t>台数</t>
    <rPh sb="0" eb="2">
      <t>ダイスウ</t>
    </rPh>
    <phoneticPr fontId="2"/>
  </si>
  <si>
    <t>ライン</t>
    <phoneticPr fontId="2"/>
  </si>
  <si>
    <t>SMT終了予定時刻</t>
    <rPh sb="3" eb="7">
      <t>シュウリョウヨテイ</t>
    </rPh>
    <rPh sb="7" eb="9">
      <t>ジコク</t>
    </rPh>
    <phoneticPr fontId="2"/>
  </si>
  <si>
    <t>AOI工数</t>
    <rPh sb="3" eb="5">
      <t>コウスウ</t>
    </rPh>
    <phoneticPr fontId="9"/>
  </si>
  <si>
    <t>目視工数</t>
    <rPh sb="0" eb="2">
      <t>モクシ</t>
    </rPh>
    <rPh sb="2" eb="4">
      <t>コウスウ</t>
    </rPh>
    <phoneticPr fontId="9"/>
  </si>
  <si>
    <t>AOI作業開始予定時刻</t>
    <rPh sb="3" eb="5">
      <t>サギョウ</t>
    </rPh>
    <rPh sb="5" eb="7">
      <t>カイシ</t>
    </rPh>
    <rPh sb="7" eb="9">
      <t>ヨテイ</t>
    </rPh>
    <rPh sb="9" eb="11">
      <t>ジコク</t>
    </rPh>
    <phoneticPr fontId="2"/>
  </si>
  <si>
    <t>AOI作業終了予定時刻</t>
    <rPh sb="5" eb="7">
      <t>シュウリョウ</t>
    </rPh>
    <phoneticPr fontId="2"/>
  </si>
  <si>
    <t>Line-1</t>
  </si>
  <si>
    <t>仕掛</t>
    <rPh sb="0" eb="2">
      <t>シカカリ</t>
    </rPh>
    <phoneticPr fontId="2"/>
  </si>
  <si>
    <t>―</t>
  </si>
  <si>
    <t>TypeID</t>
  </si>
  <si>
    <t>orderNumber</t>
  </si>
  <si>
    <t>目視開始予定</t>
    <rPh sb="0" eb="2">
      <t>モクシ</t>
    </rPh>
    <rPh sb="2" eb="6">
      <t>カイシヨテイ</t>
    </rPh>
    <phoneticPr fontId="2"/>
  </si>
  <si>
    <t>目視終了予定</t>
    <rPh sb="0" eb="2">
      <t>モクシ</t>
    </rPh>
    <rPh sb="2" eb="4">
      <t>シュウリョウ</t>
    </rPh>
    <rPh sb="4" eb="6">
      <t>ヨテイ</t>
    </rPh>
    <phoneticPr fontId="2"/>
  </si>
  <si>
    <t>AOI終了予定時刻</t>
    <rPh sb="3" eb="5">
      <t>シュウリョウ</t>
    </rPh>
    <rPh sb="5" eb="9">
      <t>ヨテイジコク</t>
    </rPh>
    <phoneticPr fontId="9"/>
  </si>
  <si>
    <t>UR-0481-01</t>
  </si>
  <si>
    <t>Line-2</t>
  </si>
  <si>
    <t>UR-0483</t>
  </si>
  <si>
    <t>UR-06101-01</t>
  </si>
  <si>
    <t>Line-3</t>
  </si>
  <si>
    <t>UR-0559-06</t>
  </si>
  <si>
    <t>UR-05091-03</t>
  </si>
  <si>
    <t>URS-42144-02</t>
  </si>
  <si>
    <t>211984954</t>
  </si>
  <si>
    <t>UR-0489</t>
  </si>
  <si>
    <t>211986407</t>
  </si>
  <si>
    <t>211986372</t>
  </si>
  <si>
    <t>UR-0610-01</t>
  </si>
  <si>
    <t>211987041</t>
  </si>
  <si>
    <t>UR-42143-02</t>
  </si>
  <si>
    <t>211987046</t>
  </si>
  <si>
    <t>UR-43014</t>
  </si>
  <si>
    <t>211987047</t>
  </si>
  <si>
    <t>UR-05971</t>
  </si>
  <si>
    <t>211987043</t>
  </si>
  <si>
    <t>211987044</t>
  </si>
  <si>
    <t>211987078</t>
  </si>
  <si>
    <t>211987038</t>
  </si>
  <si>
    <t>UR-0488-01</t>
  </si>
  <si>
    <t>211984404</t>
  </si>
  <si>
    <t>211983862</t>
  </si>
  <si>
    <t>UR-0486</t>
  </si>
  <si>
    <t>211984952</t>
  </si>
  <si>
    <t>UT-0931-01</t>
  </si>
  <si>
    <t>211981121</t>
  </si>
  <si>
    <t>UR-4329-03</t>
  </si>
  <si>
    <t>211987048</t>
  </si>
  <si>
    <t>211987039</t>
  </si>
  <si>
    <t>211987049</t>
  </si>
  <si>
    <t>URS-0429</t>
  </si>
  <si>
    <t>211987055</t>
  </si>
  <si>
    <t>UR-0562</t>
  </si>
  <si>
    <t>211987042</t>
  </si>
  <si>
    <t>URS-0580</t>
  </si>
  <si>
    <t>211987057</t>
  </si>
  <si>
    <t>UT-0780</t>
  </si>
  <si>
    <t>211987064</t>
  </si>
  <si>
    <t>UR-4207-02</t>
  </si>
  <si>
    <t>211987045</t>
  </si>
  <si>
    <t>UR-0476</t>
  </si>
  <si>
    <t>211987037</t>
  </si>
  <si>
    <t>実績</t>
    <rPh sb="0" eb="2">
      <t>ジッセキ</t>
    </rPh>
    <phoneticPr fontId="2"/>
  </si>
  <si>
    <t>計画</t>
    <rPh sb="0" eb="2">
      <t>ケイカク</t>
    </rPh>
    <phoneticPr fontId="2"/>
  </si>
  <si>
    <t>計画外</t>
    <rPh sb="0" eb="3">
      <t>ケイカクガイ</t>
    </rPh>
    <phoneticPr fontId="2"/>
  </si>
  <si>
    <t>実績データなし</t>
    <rPh sb="0" eb="2">
      <t>ジッセキ</t>
    </rPh>
    <phoneticPr fontId="2"/>
  </si>
  <si>
    <t>デバック待ち(設変)</t>
    <rPh sb="4" eb="5">
      <t>マ</t>
    </rPh>
    <rPh sb="7" eb="9">
      <t>セッペン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</si>
</sst>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10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2" borderId="0" xfId="0" applyNumberFormat="1" applyFill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6" fontId="8" fillId="0" borderId="0" xfId="0" applyNumberFormat="1" applyFont="1">
      <alignment vertical="center"/>
    </xf>
    <xf numFmtId="176" fontId="8" fillId="0" borderId="1" xfId="0" applyNumberFormat="1" applyFont="1" applyBorder="1">
      <alignment vertical="center"/>
    </xf>
    <xf numFmtId="176" fontId="7" fillId="0" borderId="1" xfId="0" applyNumberFormat="1" applyFont="1" applyBorder="1">
      <alignment vertical="center"/>
    </xf>
    <xf numFmtId="176" fontId="7" fillId="0" borderId="1" xfId="0" applyNumberFormat="1" applyFont="1" applyBorder="1" applyAlignment="1">
      <alignment horizontal="right" vertical="center"/>
    </xf>
    <xf numFmtId="0" fontId="0" fillId="3" borderId="1" xfId="0" applyFill="1" applyBorder="1">
      <alignment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13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248478</xdr:colOff>
      <xdr:row>0</xdr:row>
      <xdr:rowOff>207065</xdr:rowOff>
    </xdr:from>
    <xdr:to>
      <xdr:col>6</xdr:col>
      <xdr:colOff>0</xdr:colOff>
      <xdr:row>3</xdr:row>
      <xdr:rowOff>66261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47838C5-D23A-4D7D-8D76-54CEA13040A8}"/>
            </a:ext>
          </a:extLst>
        </xdr:cNvPr>
        <xdr:cNvSpPr txBox="1"/>
      </xdr:nvSpPr>
      <xdr:spPr>
        <a:xfrm>
          <a:off x="934278" y="207065"/>
          <a:ext cx="5095047" cy="573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</a:t>
          </a:r>
          <a:r>
            <a:rPr kumimoji="1" lang="en-US" altLang="ja-JP" sz="2000" b="1" baseline="0"/>
            <a:t> 1</a:t>
          </a:r>
          <a:r>
            <a:rPr kumimoji="1" lang="ja-JP" altLang="en-US" sz="2000" b="1" baseline="0"/>
            <a:t>号機</a:t>
          </a:r>
          <a:r>
            <a:rPr kumimoji="1" lang="ja-JP" altLang="en-US" sz="2000" b="1"/>
            <a:t>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16</xdr:row>
      <xdr:rowOff>0</xdr:rowOff>
    </xdr:from>
    <xdr:to>
      <xdr:col>6</xdr:col>
      <xdr:colOff>0</xdr:colOff>
      <xdr:row>18</xdr:row>
      <xdr:rowOff>28161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7B6F11B4-9DFE-4DFA-90C7-0C6C7680C3D7}"/>
            </a:ext>
          </a:extLst>
        </xdr:cNvPr>
        <xdr:cNvSpPr txBox="1"/>
      </xdr:nvSpPr>
      <xdr:spPr>
        <a:xfrm>
          <a:off x="780222" y="3810000"/>
          <a:ext cx="52491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AOI2</a:t>
          </a:r>
          <a:r>
            <a:rPr kumimoji="1" lang="ja-JP" altLang="en-US" sz="2000" b="1"/>
            <a:t>号機作業計画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28</xdr:row>
      <xdr:rowOff>0</xdr:rowOff>
    </xdr:from>
    <xdr:to>
      <xdr:col>6</xdr:col>
      <xdr:colOff>0</xdr:colOff>
      <xdr:row>30</xdr:row>
      <xdr:rowOff>28161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108DC8F0-AF2E-4851-B863-5A6DB8F8EFFE}"/>
            </a:ext>
          </a:extLst>
        </xdr:cNvPr>
        <xdr:cNvSpPr txBox="1"/>
      </xdr:nvSpPr>
      <xdr:spPr>
        <a:xfrm>
          <a:off x="780222" y="6667500"/>
          <a:ext cx="52491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AOI3</a:t>
          </a:r>
          <a:r>
            <a:rPr kumimoji="1" lang="ja-JP" altLang="en-US" sz="2000" b="1"/>
            <a:t>号機作業計画</a:t>
          </a:r>
          <a:endParaRPr kumimoji="1" lang="en-US" altLang="ja-JP" sz="2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16565</xdr:colOff>
      <xdr:row>0</xdr:row>
      <xdr:rowOff>124240</xdr:rowOff>
    </xdr:from>
    <xdr:to>
      <xdr:col>5</xdr:col>
      <xdr:colOff>0</xdr:colOff>
      <xdr:row>2</xdr:row>
      <xdr:rowOff>223632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6C07532-7202-41B5-8DAD-9AE5C2612519}"/>
            </a:ext>
          </a:extLst>
        </xdr:cNvPr>
        <xdr:cNvSpPr txBox="1"/>
      </xdr:nvSpPr>
      <xdr:spPr>
        <a:xfrm>
          <a:off x="702365" y="8696740"/>
          <a:ext cx="3517210" cy="575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目視作業計画</a:t>
          </a:r>
          <a:endParaRPr kumimoji="1" lang="en-US" altLang="ja-JP" sz="2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workbookViewId="0">
      <pane xSplit="6" ySplit="3" topLeftCell="BA14" activePane="bottomRight" state="frozen"/>
      <selection pane="topRight" activeCell="G1" sqref="G1"/>
      <selection pane="bottomLeft" activeCell="A4" sqref="A4"/>
      <selection pane="bottomRight" activeCell="D27" sqref="D27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31</v>
      </c>
      <c r="C4" s="6">
        <v>211987041</v>
      </c>
      <c r="D4" s="6" t="s">
        <v>72</v>
      </c>
      <c r="E4" s="7">
        <v>0.72385416666666669</v>
      </c>
      <c r="F4" s="7">
        <v>0.72515046296296293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28" t="s">
        <v>74</v>
      </c>
      <c r="D5" s="6" t="s">
        <v>73</v>
      </c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42</v>
      </c>
      <c r="C6" s="6">
        <v>211987047</v>
      </c>
      <c r="D6" s="6" t="s">
        <v>72</v>
      </c>
      <c r="E6" s="7">
        <v>0.73931712962962959</v>
      </c>
      <c r="F6" s="7">
        <v>0.74503472222222222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 t="s">
        <v>72</v>
      </c>
      <c r="E7" s="7">
        <v>0.75186342592592592</v>
      </c>
      <c r="F7" s="7">
        <v>0.75329861111111107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 t="s">
        <v>73</v>
      </c>
      <c r="E8" s="7">
        <v>0.75</v>
      </c>
      <c r="F8" s="7">
        <v>0.76355820105820105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 t="s">
        <v>64</v>
      </c>
      <c r="C9" s="6">
        <v>211987057</v>
      </c>
      <c r="D9" s="6" t="s">
        <v>72</v>
      </c>
      <c r="E9" s="7">
        <v>0.90892361111111108</v>
      </c>
      <c r="F9" s="7">
        <v>0.93398148148148152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 t="s">
        <v>72</v>
      </c>
      <c r="E10" s="7">
        <v>0.93412037037037032</v>
      </c>
      <c r="F10" s="7">
        <v>0.93531249999999999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73</v>
      </c>
      <c r="E11" s="7">
        <v>45603.811145833337</v>
      </c>
      <c r="F11" s="7">
        <v>45603.842395833337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66</v>
      </c>
      <c r="C12" s="6">
        <v>211987064</v>
      </c>
      <c r="D12" s="6" t="s">
        <v>72</v>
      </c>
      <c r="E12" s="7">
        <v>0.94982638888888893</v>
      </c>
      <c r="F12" s="7">
        <v>0.9499305555555555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 t="s">
        <v>72</v>
      </c>
      <c r="E13" s="7">
        <v>0.95006944444444441</v>
      </c>
      <c r="F13" s="7">
        <v>0.95033564814814819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 t="s">
        <v>73</v>
      </c>
      <c r="E14" s="7">
        <v>45603.914849537039</v>
      </c>
      <c r="F14" s="7">
        <v>45603.946595568785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 t="s">
        <v>56</v>
      </c>
      <c r="C15" s="6">
        <v>211987048</v>
      </c>
      <c r="D15" s="6" t="s">
        <v>72</v>
      </c>
      <c r="E15" s="7">
        <v>0.96940972222222221</v>
      </c>
      <c r="F15" s="7">
        <v>0.97280092592592593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 t="s">
        <v>72</v>
      </c>
      <c r="E16" s="7">
        <v>0.97295138888888888</v>
      </c>
      <c r="F16" s="7">
        <v>0.9745949074074074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 t="s">
        <v>73</v>
      </c>
      <c r="E17" s="7">
        <v>45603.975891203707</v>
      </c>
      <c r="F17" s="7">
        <v>45603.988498677252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68</v>
      </c>
      <c r="C18" s="6">
        <v>211987045</v>
      </c>
      <c r="D18" s="6" t="s">
        <v>72</v>
      </c>
      <c r="E18" s="7">
        <v>6.3541666666666668E-3</v>
      </c>
      <c r="F18" s="7">
        <v>2.5763888888888888E-2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 t="s">
        <v>73</v>
      </c>
      <c r="E19" s="7">
        <v>45604.062719907408</v>
      </c>
      <c r="F19" s="7">
        <v>45604.076354324476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 t="s">
        <v>75</v>
      </c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 t="s">
        <v>60</v>
      </c>
      <c r="C22" s="6" t="s">
        <v>61</v>
      </c>
      <c r="D22" s="6" t="s">
        <v>73</v>
      </c>
      <c r="E22" s="7">
        <v>0.76355820105820105</v>
      </c>
      <c r="F22" s="7">
        <v>0.78377149470899465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 t="s">
        <v>62</v>
      </c>
      <c r="C23" s="6" t="s">
        <v>63</v>
      </c>
      <c r="D23" s="6" t="s">
        <v>73</v>
      </c>
      <c r="E23" s="7">
        <v>0.78377149470899465</v>
      </c>
      <c r="F23" s="7">
        <v>0.79406415343915338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 t="s">
        <v>56</v>
      </c>
      <c r="C24" s="6" t="s">
        <v>59</v>
      </c>
      <c r="D24" s="6" t="s">
        <v>73</v>
      </c>
      <c r="E24" s="16">
        <v>45604.029988425929</v>
      </c>
      <c r="F24" s="7">
        <v>45604.042595899475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 t="s">
        <v>76</v>
      </c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 t="s">
        <v>54</v>
      </c>
      <c r="C26" s="6" t="s">
        <v>55</v>
      </c>
      <c r="D26" s="6" t="s">
        <v>73</v>
      </c>
      <c r="E26" s="7">
        <v>45603.899791666663</v>
      </c>
      <c r="F26" s="7">
        <v>45603.977827573581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8"/>
      <c r="F30" s="9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8"/>
      <c r="F32" s="9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12" priority="5">
      <formula>AND($D4="計画", $E4 &lt;= F$3, F$3 &lt; $F4 + IF($F4 &lt; $E4, 1, 0))</formula>
    </cfRule>
  </conditionalFormatting>
  <conditionalFormatting sqref="H4:DH134">
    <cfRule type="expression" dxfId="11" priority="6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6"/>
  <sheetViews>
    <sheetView workbookViewId="0">
      <pane xSplit="6" ySplit="3" topLeftCell="BC4" activePane="bottomRight" state="frozen"/>
      <selection pane="topRight" activeCell="G1" sqref="G1"/>
      <selection pane="bottomLeft" activeCell="A4" sqref="A4"/>
      <selection pane="bottomRight" activeCell="E20" sqref="E20:F20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44</v>
      </c>
      <c r="C4" s="6">
        <v>211987043</v>
      </c>
      <c r="D4" s="6" t="s">
        <v>72</v>
      </c>
      <c r="E4" s="7">
        <v>0.72932870370370373</v>
      </c>
      <c r="F4" s="7">
        <v>0.73793981481481485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72</v>
      </c>
      <c r="E5" s="7">
        <v>0.7480324074074074</v>
      </c>
      <c r="F5" s="7">
        <v>0.74945601851851851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 t="s">
        <v>73</v>
      </c>
      <c r="E6" s="7">
        <v>0.75</v>
      </c>
      <c r="F6" s="7">
        <v>0.78125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26</v>
      </c>
      <c r="C7" s="6">
        <v>211987038</v>
      </c>
      <c r="D7" s="6" t="s">
        <v>72</v>
      </c>
      <c r="E7" s="7">
        <v>0.79287037037037034</v>
      </c>
      <c r="F7" s="7">
        <v>0.91577546296296297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 t="s">
        <v>72</v>
      </c>
      <c r="E8" s="7">
        <v>0.95452546296296292</v>
      </c>
      <c r="F8" s="7">
        <v>0.95925925925925926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 t="s">
        <v>73</v>
      </c>
      <c r="E9" s="7">
        <v>0.78125</v>
      </c>
      <c r="F9" s="7">
        <v>0.85744213581683315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49</v>
      </c>
      <c r="C10" s="6">
        <v>211984404</v>
      </c>
      <c r="D10" s="6" t="s">
        <v>72</v>
      </c>
      <c r="E10" s="7">
        <v>0.91593749999999996</v>
      </c>
      <c r="F10" s="7">
        <v>0.92901620370370375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72</v>
      </c>
      <c r="E11" s="7">
        <v>0.96304398148148151</v>
      </c>
      <c r="F11" s="7">
        <v>0.96751157407407407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 t="s">
        <v>73</v>
      </c>
      <c r="E12" s="7">
        <v>0.85744213581683315</v>
      </c>
      <c r="F12" s="7">
        <v>0.88262633713739813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52</v>
      </c>
      <c r="C13" s="6">
        <v>211984952</v>
      </c>
      <c r="D13" s="6" t="s">
        <v>72</v>
      </c>
      <c r="E13" s="7">
        <v>0.96857638888888886</v>
      </c>
      <c r="F13" s="7">
        <v>0.96864583333333332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 t="s">
        <v>72</v>
      </c>
      <c r="E14" s="7">
        <v>0.96879629629629627</v>
      </c>
      <c r="F14" s="7">
        <v>0.9837731481481482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 t="s">
        <v>73</v>
      </c>
      <c r="E15" s="7">
        <v>45603.9528125</v>
      </c>
      <c r="F15" s="7">
        <v>45603.969570509369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28</v>
      </c>
      <c r="C16" s="6">
        <v>211987039</v>
      </c>
      <c r="D16" s="6" t="s">
        <v>72</v>
      </c>
      <c r="E16" s="7">
        <v>0.98393518518518519</v>
      </c>
      <c r="F16" s="7">
        <v>3.8541666666666668E-3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 t="s">
        <v>72</v>
      </c>
      <c r="E17" s="7">
        <v>4.0393518518518521E-3</v>
      </c>
      <c r="F17" s="7">
        <v>3.6249999999999998E-2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 t="s">
        <v>73</v>
      </c>
      <c r="E18" s="7">
        <v>45603.969570509369</v>
      </c>
      <c r="F18" s="7">
        <v>45604.018616344933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 t="s">
        <v>70</v>
      </c>
      <c r="C19" s="6">
        <v>211987037</v>
      </c>
      <c r="D19" s="6" t="s">
        <v>72</v>
      </c>
      <c r="E19" s="7">
        <v>3.6423611111111108E-2</v>
      </c>
      <c r="F19" s="7">
        <v>3.9039351851851853E-2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 t="s">
        <v>73</v>
      </c>
      <c r="E20" s="7">
        <v>0.88262633713739813</v>
      </c>
      <c r="F20" s="7">
        <v>0.89298077271504794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C18">
    <cfRule type="duplicateValues" dxfId="9" priority="1"/>
  </conditionalFormatting>
  <conditionalFormatting sqref="H4:DH69">
    <cfRule type="expression" dxfId="8" priority="3">
      <formula>AND($D4="計画", $E4 &lt;= G$3, G$3 &lt; $F4 + IF($F4 &lt; $E4, 1, 0))</formula>
    </cfRule>
    <cfRule type="expression" dxfId="7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dimension ref="A1:DH66"/>
  <sheetViews>
    <sheetView tabSelected="1" workbookViewId="0">
      <selection activeCell="F14" sqref="F14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32</v>
      </c>
      <c r="C4" s="6">
        <v>211983862</v>
      </c>
      <c r="D4" s="6" t="s">
        <v>72</v>
      </c>
      <c r="E4" s="7">
        <v>0.7722106481481481</v>
      </c>
      <c r="F4" s="7">
        <v>0.89609953703703704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72</v>
      </c>
      <c r="E5" s="7">
        <v>0.89636574074074071</v>
      </c>
      <c r="F5" s="7">
        <v>0.90293981481481478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 t="s">
        <v>73</v>
      </c>
      <c r="E6" s="7">
        <v>0.81454466452285901</v>
      </c>
      <c r="F6" s="7">
        <v>0.91573514071333517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76</v>
      </c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 t="s">
        <v>38</v>
      </c>
      <c r="C9" s="6" t="s">
        <v>46</v>
      </c>
      <c r="D9" s="6" t="s">
        <v>73</v>
      </c>
      <c r="E9" s="7">
        <v>0.75</v>
      </c>
      <c r="F9" s="7">
        <v>0.78311965811965811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29</v>
      </c>
      <c r="C10" s="6" t="s">
        <v>47</v>
      </c>
      <c r="D10" s="6" t="s">
        <v>73</v>
      </c>
      <c r="E10" s="7">
        <v>0.78311965811965811</v>
      </c>
      <c r="F10" s="7">
        <v>0.81454466452285901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8"/>
      <c r="F11" s="9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6" priority="1">
      <formula>AND($D4="計画", $E4 &lt;= G$3, G$3 &lt; $F4 + IF($F4 &lt; $E4, 1, 0))</formula>
    </cfRule>
    <cfRule type="expression" dxfId="5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AS14" activePane="bottomRight" state="frozen"/>
      <selection pane="topRight" activeCell="G1" sqref="G1"/>
      <selection pane="bottomLeft" activeCell="A4" sqref="A4"/>
      <selection pane="bottomRight" activeCell="D21" sqref="D21:D30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</row>
    <row r="2" spans="1:112">
      <c r="F2" s="2"/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>
      <c r="A4" s="6"/>
      <c r="B4" s="6" t="s">
        <v>35</v>
      </c>
      <c r="C4" s="6">
        <v>211986366</v>
      </c>
      <c r="D4" s="6" t="s">
        <v>72</v>
      </c>
      <c r="E4" s="7">
        <v>0.91287037037037033</v>
      </c>
      <c r="F4" s="7">
        <v>0.92097222222222219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28" t="s">
        <v>74</v>
      </c>
      <c r="D5" s="6" t="s">
        <v>73</v>
      </c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29</v>
      </c>
      <c r="C6" s="6">
        <v>211986407</v>
      </c>
      <c r="D6" s="6" t="s">
        <v>72</v>
      </c>
      <c r="E6" s="7">
        <v>0.92684027777777778</v>
      </c>
      <c r="F6" s="7">
        <v>0.94576388888888885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 t="s">
        <v>73</v>
      </c>
      <c r="E7" s="7">
        <v>0.75</v>
      </c>
      <c r="F7" s="7">
        <v>0.78527731051717098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31</v>
      </c>
      <c r="C8" s="6">
        <v>211986372</v>
      </c>
      <c r="D8" s="6" t="s">
        <v>72</v>
      </c>
      <c r="E8" s="7">
        <v>0.94715277777777773</v>
      </c>
      <c r="F8" s="7">
        <v>0.9573842592592593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 t="s">
        <v>73</v>
      </c>
      <c r="E9" s="7">
        <v>0.78527731051717098</v>
      </c>
      <c r="F9" s="7">
        <v>0.81288677083463134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31</v>
      </c>
      <c r="C10" s="6">
        <v>211987041</v>
      </c>
      <c r="D10" s="6" t="s">
        <v>72</v>
      </c>
      <c r="E10" s="7">
        <v>0.95887731481481486</v>
      </c>
      <c r="F10" s="7">
        <v>0.97024305555555557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73</v>
      </c>
      <c r="E11" s="7">
        <v>0.87264041245662938</v>
      </c>
      <c r="F11" s="7">
        <v>0.90024987277408974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33</v>
      </c>
      <c r="C12" s="6">
        <v>211984954</v>
      </c>
      <c r="D12" s="6" t="s">
        <v>72</v>
      </c>
      <c r="E12" s="7">
        <v>0.97168981481481487</v>
      </c>
      <c r="F12" s="7">
        <v>9.1087962962962971E-3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 t="s">
        <v>73</v>
      </c>
      <c r="E13" s="7">
        <v>0.81288677083463134</v>
      </c>
      <c r="F13" s="7">
        <v>0.87264041245662938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 t="s">
        <v>40</v>
      </c>
      <c r="C14" s="6">
        <v>211987046</v>
      </c>
      <c r="D14" s="6" t="s">
        <v>72</v>
      </c>
      <c r="E14" s="7">
        <v>1.0532407407407407E-2</v>
      </c>
      <c r="F14" s="7">
        <v>1.6608796296296295E-2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 t="s">
        <v>73</v>
      </c>
      <c r="E15" s="7">
        <v>0.90024987277408974</v>
      </c>
      <c r="F15" s="7">
        <v>0.91483251235672935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42</v>
      </c>
      <c r="C16" s="6">
        <v>211987047</v>
      </c>
      <c r="D16" s="6" t="s">
        <v>72</v>
      </c>
      <c r="E16" s="7">
        <v>1.6863425925925928E-2</v>
      </c>
      <c r="F16" s="7">
        <v>3.2939814814814818E-2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 t="s">
        <v>73</v>
      </c>
      <c r="E17" s="7">
        <v>0.91483251235672935</v>
      </c>
      <c r="F17" s="7">
        <v>0.93561073105161474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 t="s">
        <v>75</v>
      </c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 t="s">
        <v>44</v>
      </c>
      <c r="C20" s="6" t="s">
        <v>45</v>
      </c>
      <c r="D20" s="6" t="s">
        <v>73</v>
      </c>
      <c r="E20" s="7">
        <v>0.93561073105161474</v>
      </c>
      <c r="F20" s="7">
        <v>0.9455345405754243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 t="s">
        <v>38</v>
      </c>
      <c r="C21" s="6" t="s">
        <v>46</v>
      </c>
      <c r="D21" s="6" t="s">
        <v>73</v>
      </c>
      <c r="E21" s="16">
        <v>0.9455345405754243</v>
      </c>
      <c r="F21" s="16">
        <v>0.97926469930558302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 t="s">
        <v>29</v>
      </c>
      <c r="C22" s="6" t="s">
        <v>47</v>
      </c>
      <c r="D22" s="6" t="s">
        <v>73</v>
      </c>
      <c r="E22" s="7">
        <v>0.97926469930558302</v>
      </c>
      <c r="F22" s="7">
        <v>1.014542009822754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 t="s">
        <v>26</v>
      </c>
      <c r="C23" s="6" t="s">
        <v>48</v>
      </c>
      <c r="D23" s="6" t="s">
        <v>73</v>
      </c>
      <c r="E23" s="7">
        <v>1.014542009822754</v>
      </c>
      <c r="F23" s="7">
        <v>1.1091166912618422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 t="s">
        <v>49</v>
      </c>
      <c r="C24" s="6" t="s">
        <v>50</v>
      </c>
      <c r="D24" s="6" t="s">
        <v>73</v>
      </c>
      <c r="E24" s="7">
        <v>1.1091166912618422</v>
      </c>
      <c r="F24" s="7">
        <v>1.1303517693151022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 t="s">
        <v>32</v>
      </c>
      <c r="C25" s="6" t="s">
        <v>51</v>
      </c>
      <c r="D25" s="6" t="s">
        <v>73</v>
      </c>
      <c r="E25" s="8">
        <v>1.1303517693151022</v>
      </c>
      <c r="F25" s="9">
        <v>1.2117009756643085</v>
      </c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 t="s">
        <v>52</v>
      </c>
      <c r="C26" s="6" t="s">
        <v>53</v>
      </c>
      <c r="D26" s="6" t="s">
        <v>73</v>
      </c>
      <c r="E26" s="8">
        <v>1.2117009756643085</v>
      </c>
      <c r="F26" s="9">
        <v>1.2299184246083583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 t="s">
        <v>54</v>
      </c>
      <c r="C27" s="6" t="s">
        <v>55</v>
      </c>
      <c r="D27" s="6" t="s">
        <v>73</v>
      </c>
      <c r="E27" s="8">
        <v>1.2299184246083583</v>
      </c>
      <c r="F27" s="9">
        <v>1.2963192567858897</v>
      </c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 t="s">
        <v>56</v>
      </c>
      <c r="C28" s="6" t="s">
        <v>57</v>
      </c>
      <c r="D28" s="6" t="s">
        <v>73</v>
      </c>
      <c r="E28" s="7">
        <v>1.2963192567858897</v>
      </c>
      <c r="F28" s="7">
        <v>1.3253970510980591</v>
      </c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 t="s">
        <v>28</v>
      </c>
      <c r="C29" s="6" t="s">
        <v>58</v>
      </c>
      <c r="D29" s="6" t="s">
        <v>73</v>
      </c>
      <c r="E29" s="17">
        <v>1.3253970510980591</v>
      </c>
      <c r="F29" s="18">
        <v>1.3738142082230813</v>
      </c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 t="s">
        <v>56</v>
      </c>
      <c r="C30" s="6" t="s">
        <v>59</v>
      </c>
      <c r="D30" s="6" t="s">
        <v>73</v>
      </c>
      <c r="E30" s="17">
        <v>1.3738142082230813</v>
      </c>
      <c r="F30" s="18">
        <v>1.4028920025352507</v>
      </c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 C13 C23 C26:C1048576 C1:C3 C5 C11 C7 C9">
    <cfRule type="duplicateValues" dxfId="4" priority="3"/>
  </conditionalFormatting>
  <conditionalFormatting sqref="C24">
    <cfRule type="duplicateValues" dxfId="3" priority="2"/>
  </conditionalFormatting>
  <conditionalFormatting sqref="C25">
    <cfRule type="duplicateValues" dxfId="2" priority="1"/>
  </conditionalFormatting>
  <conditionalFormatting sqref="G4:DH99">
    <cfRule type="expression" dxfId="1" priority="4">
      <formula>AND($D4="計画", $E4 &lt;= F$3, F$3 &lt; $F4 + IF($F4 &lt; $E4, 1, 0))</formula>
    </cfRule>
    <cfRule type="expression" dxfId="0" priority="5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dimension ref="A2:J35"/>
  <sheetViews>
    <sheetView workbookViewId="0">
      <selection activeCell="J15" sqref="J15"/>
    </sheetView>
  </sheetViews>
  <sheetFormatPr defaultColWidth="9.25" defaultRowHeight="18.75"/>
  <cols>
    <col min="1" max="1" width="9.25" style="29"/>
    <col min="2" max="2" width="13.125" bestFit="1" customWidth="1"/>
    <col min="3" max="3" width="10.5" bestFit="1" customWidth="1"/>
    <col min="4" max="4" width="5.25" bestFit="1" customWidth="1"/>
    <col min="5" max="5" width="7.125" bestFit="1" customWidth="1"/>
    <col min="6" max="6" width="17.5" style="24" bestFit="1" customWidth="1"/>
    <col min="7" max="7" width="8.375" style="23" bestFit="1" customWidth="1"/>
    <col min="8" max="8" width="9" style="23" bestFit="1" customWidth="1"/>
    <col min="9" max="10" width="20.625" bestFit="1" customWidth="1"/>
  </cols>
  <sheetData>
    <row r="2" spans="2:10">
      <c r="H2" s="21"/>
      <c r="I2" t="s">
        <v>8</v>
      </c>
    </row>
    <row r="4" spans="2:10">
      <c r="I4" s="2"/>
      <c r="J4" s="2"/>
    </row>
    <row r="5" spans="2:10">
      <c r="B5" s="6" t="s">
        <v>9</v>
      </c>
      <c r="C5" s="6" t="s">
        <v>10</v>
      </c>
      <c r="D5" s="6" t="s">
        <v>11</v>
      </c>
      <c r="E5" s="6" t="s">
        <v>12</v>
      </c>
      <c r="F5" s="26" t="s">
        <v>13</v>
      </c>
      <c r="G5" s="22" t="s">
        <v>14</v>
      </c>
      <c r="H5" s="22" t="s">
        <v>15</v>
      </c>
      <c r="I5" s="6" t="s">
        <v>16</v>
      </c>
      <c r="J5" s="6" t="s">
        <v>17</v>
      </c>
    </row>
    <row r="6" spans="2:10">
      <c r="B6" s="6" t="s">
        <v>42</v>
      </c>
      <c r="C6" s="6" t="s">
        <v>43</v>
      </c>
      <c r="D6" s="6">
        <v>96</v>
      </c>
      <c r="E6" s="6" t="s">
        <v>18</v>
      </c>
      <c r="F6" s="27" t="s">
        <v>19</v>
      </c>
      <c r="G6" s="22">
        <v>0.32539682539682541</v>
      </c>
      <c r="H6" s="22">
        <v>0.49867724867724872</v>
      </c>
      <c r="I6" s="16">
        <v>0.75</v>
      </c>
      <c r="J6" s="16">
        <f t="shared" ref="J6:J14" si="0">I6+G6/24</f>
        <v>0.76355820105820105</v>
      </c>
    </row>
    <row r="7" spans="2:10">
      <c r="B7" s="6" t="s">
        <v>60</v>
      </c>
      <c r="C7" s="6" t="s">
        <v>61</v>
      </c>
      <c r="D7" s="6">
        <v>24</v>
      </c>
      <c r="E7" s="6" t="s">
        <v>18</v>
      </c>
      <c r="F7" s="26">
        <v>45603.76053240741</v>
      </c>
      <c r="G7" s="22">
        <v>0.48511904761904767</v>
      </c>
      <c r="H7" s="22" t="s">
        <v>20</v>
      </c>
      <c r="I7" s="16">
        <f t="shared" ref="I7:I8" si="1">J6</f>
        <v>0.76355820105820105</v>
      </c>
      <c r="J7" s="16">
        <f t="shared" si="0"/>
        <v>0.78377149470899465</v>
      </c>
    </row>
    <row r="8" spans="2:10">
      <c r="B8" s="6" t="s">
        <v>62</v>
      </c>
      <c r="C8" s="6" t="s">
        <v>63</v>
      </c>
      <c r="D8" s="6">
        <v>48</v>
      </c>
      <c r="E8" s="6" t="s">
        <v>18</v>
      </c>
      <c r="F8" s="26">
        <v>45603.770879629628</v>
      </c>
      <c r="G8" s="22">
        <v>0.24702380952380953</v>
      </c>
      <c r="H8" s="22" t="s">
        <v>20</v>
      </c>
      <c r="I8" s="16">
        <f t="shared" si="1"/>
        <v>0.78377149470899465</v>
      </c>
      <c r="J8" s="16">
        <f t="shared" si="0"/>
        <v>0.79406415343915338</v>
      </c>
    </row>
    <row r="9" spans="2:10">
      <c r="B9" s="6" t="s">
        <v>64</v>
      </c>
      <c r="C9" s="6" t="s">
        <v>65</v>
      </c>
      <c r="D9" s="6">
        <v>12</v>
      </c>
      <c r="E9" s="6" t="s">
        <v>18</v>
      </c>
      <c r="F9" s="26">
        <v>45603.811145833337</v>
      </c>
      <c r="G9" s="21">
        <v>0.75</v>
      </c>
      <c r="H9" s="22" t="s">
        <v>20</v>
      </c>
      <c r="I9" s="26">
        <v>45603.811145833337</v>
      </c>
      <c r="J9" s="16">
        <f t="shared" si="0"/>
        <v>45603.842395833337</v>
      </c>
    </row>
    <row r="10" spans="2:10">
      <c r="B10" s="6" t="s">
        <v>54</v>
      </c>
      <c r="C10" s="6" t="s">
        <v>55</v>
      </c>
      <c r="D10" s="6">
        <v>24</v>
      </c>
      <c r="E10" s="6" t="s">
        <v>18</v>
      </c>
      <c r="F10" s="26">
        <v>45603.899791666663</v>
      </c>
      <c r="G10" s="22">
        <v>1.8728617660656497</v>
      </c>
      <c r="H10" s="22">
        <v>1.5936199722607525</v>
      </c>
      <c r="I10" s="26">
        <v>45603.899791666663</v>
      </c>
      <c r="J10" s="16">
        <f t="shared" si="0"/>
        <v>45603.977827573581</v>
      </c>
    </row>
    <row r="11" spans="2:10">
      <c r="B11" s="6" t="s">
        <v>66</v>
      </c>
      <c r="C11" s="6" t="s">
        <v>67</v>
      </c>
      <c r="D11" s="6">
        <v>1</v>
      </c>
      <c r="E11" s="6" t="s">
        <v>18</v>
      </c>
      <c r="F11" s="26">
        <v>45603.914849537039</v>
      </c>
      <c r="G11" s="22">
        <v>0.76190476190476197</v>
      </c>
      <c r="H11" s="22" t="s">
        <v>20</v>
      </c>
      <c r="I11" s="26">
        <v>45603.914849537039</v>
      </c>
      <c r="J11" s="16">
        <f t="shared" si="0"/>
        <v>45603.946595568785</v>
      </c>
    </row>
    <row r="12" spans="2:10">
      <c r="B12" s="6" t="s">
        <v>56</v>
      </c>
      <c r="C12" s="6" t="s">
        <v>57</v>
      </c>
      <c r="D12" s="6">
        <v>208</v>
      </c>
      <c r="E12" s="6" t="s">
        <v>18</v>
      </c>
      <c r="F12" s="26">
        <v>45603.975891203707</v>
      </c>
      <c r="G12" s="22">
        <v>0.30257936507936511</v>
      </c>
      <c r="H12" s="22">
        <v>0.69786706349206351</v>
      </c>
      <c r="I12" s="26">
        <v>45603.975891203707</v>
      </c>
      <c r="J12" s="16">
        <f t="shared" si="0"/>
        <v>45603.988498677252</v>
      </c>
    </row>
    <row r="13" spans="2:10">
      <c r="B13" s="6" t="s">
        <v>56</v>
      </c>
      <c r="C13" s="6" t="s">
        <v>59</v>
      </c>
      <c r="D13" s="6">
        <v>208</v>
      </c>
      <c r="E13" s="6" t="s">
        <v>18</v>
      </c>
      <c r="F13" s="26">
        <v>45604.029988425929</v>
      </c>
      <c r="G13" s="22">
        <v>0.30257936507936511</v>
      </c>
      <c r="H13" s="22">
        <v>0.69786706349206351</v>
      </c>
      <c r="I13" s="26">
        <v>45604.029988425929</v>
      </c>
      <c r="J13" s="16">
        <f t="shared" si="0"/>
        <v>45604.042595899475</v>
      </c>
    </row>
    <row r="14" spans="2:10">
      <c r="B14" s="6" t="s">
        <v>68</v>
      </c>
      <c r="C14" s="6" t="s">
        <v>69</v>
      </c>
      <c r="D14" s="6">
        <v>208</v>
      </c>
      <c r="E14" s="6" t="s">
        <v>18</v>
      </c>
      <c r="F14" s="26">
        <v>45604.062719907408</v>
      </c>
      <c r="G14" s="22">
        <v>0.3272260097097407</v>
      </c>
      <c r="H14" s="22" t="s">
        <v>20</v>
      </c>
      <c r="I14" s="26">
        <v>45604.062719907408</v>
      </c>
      <c r="J14" s="16">
        <f t="shared" si="0"/>
        <v>45604.076354324476</v>
      </c>
    </row>
    <row r="19" spans="2:10">
      <c r="I19" s="2"/>
    </row>
    <row r="20" spans="2:10">
      <c r="B20" s="6" t="s">
        <v>9</v>
      </c>
      <c r="C20" s="6" t="s">
        <v>10</v>
      </c>
      <c r="D20" s="6" t="s">
        <v>11</v>
      </c>
      <c r="E20" s="6" t="s">
        <v>12</v>
      </c>
      <c r="F20" s="26" t="s">
        <v>13</v>
      </c>
      <c r="G20" s="22" t="s">
        <v>14</v>
      </c>
      <c r="H20" s="22" t="s">
        <v>15</v>
      </c>
      <c r="I20" s="6" t="s">
        <v>16</v>
      </c>
      <c r="J20" s="6" t="s">
        <v>17</v>
      </c>
    </row>
    <row r="21" spans="2:10">
      <c r="B21" s="6" t="s">
        <v>44</v>
      </c>
      <c r="C21" s="6" t="s">
        <v>45</v>
      </c>
      <c r="D21" s="6">
        <v>48</v>
      </c>
      <c r="E21" s="6" t="s">
        <v>27</v>
      </c>
      <c r="F21" s="27" t="s">
        <v>19</v>
      </c>
      <c r="G21" s="21">
        <v>0.75</v>
      </c>
      <c r="H21" s="22">
        <v>0.23817142857142859</v>
      </c>
      <c r="I21" s="16">
        <v>0.75</v>
      </c>
      <c r="J21" s="16">
        <f>I21+G21/24</f>
        <v>0.78125</v>
      </c>
    </row>
    <row r="22" spans="2:10">
      <c r="B22" s="6" t="s">
        <v>26</v>
      </c>
      <c r="C22" s="6" t="s">
        <v>48</v>
      </c>
      <c r="D22" s="6">
        <v>60</v>
      </c>
      <c r="E22" s="6" t="s">
        <v>27</v>
      </c>
      <c r="F22" s="26">
        <v>45603.765960648147</v>
      </c>
      <c r="G22" s="22">
        <v>1.8286112596039952</v>
      </c>
      <c r="H22" s="22">
        <v>2.2697923545381169</v>
      </c>
      <c r="I22" s="16">
        <f t="shared" ref="I22:I23" si="2">J21</f>
        <v>0.78125</v>
      </c>
      <c r="J22" s="16">
        <f t="shared" ref="J22:J26" si="3">I22+G22/24</f>
        <v>0.85744213581683315</v>
      </c>
    </row>
    <row r="23" spans="2:10">
      <c r="B23" s="6" t="s">
        <v>49</v>
      </c>
      <c r="C23" s="6" t="s">
        <v>50</v>
      </c>
      <c r="D23" s="6">
        <v>60</v>
      </c>
      <c r="E23" s="6" t="s">
        <v>27</v>
      </c>
      <c r="F23" s="26">
        <v>45603.809594907405</v>
      </c>
      <c r="G23" s="22">
        <v>0.60442083169355953</v>
      </c>
      <c r="H23" s="22">
        <v>0.50964187327823696</v>
      </c>
      <c r="I23" s="16">
        <f t="shared" si="2"/>
        <v>0.85744213581683315</v>
      </c>
      <c r="J23" s="16">
        <f t="shared" si="3"/>
        <v>0.88262633713739813</v>
      </c>
    </row>
    <row r="24" spans="2:10">
      <c r="B24" s="6" t="s">
        <v>70</v>
      </c>
      <c r="C24" s="6" t="s">
        <v>71</v>
      </c>
      <c r="D24" s="6">
        <v>60</v>
      </c>
      <c r="E24" s="6" t="s">
        <v>27</v>
      </c>
      <c r="F24" s="26">
        <v>45603.819409722222</v>
      </c>
      <c r="G24" s="22">
        <v>0.24850645386359674</v>
      </c>
      <c r="H24" s="22" t="s">
        <v>20</v>
      </c>
      <c r="I24" s="16">
        <f>J23</f>
        <v>0.88262633713739813</v>
      </c>
      <c r="J24" s="16">
        <f t="shared" si="3"/>
        <v>0.89298077271504794</v>
      </c>
    </row>
    <row r="25" spans="2:10">
      <c r="B25" s="6" t="s">
        <v>52</v>
      </c>
      <c r="C25" s="6" t="s">
        <v>53</v>
      </c>
      <c r="D25" s="6">
        <v>60</v>
      </c>
      <c r="E25" s="6" t="s">
        <v>27</v>
      </c>
      <c r="F25" s="26">
        <v>45603.882395833331</v>
      </c>
      <c r="G25" s="22">
        <v>0.40219222485232387</v>
      </c>
      <c r="H25" s="22">
        <v>0.43721877465719833</v>
      </c>
      <c r="I25" s="26">
        <v>45603.9528125</v>
      </c>
      <c r="J25" s="16">
        <f t="shared" si="3"/>
        <v>45603.969570509369</v>
      </c>
    </row>
    <row r="26" spans="2:10">
      <c r="B26" s="6" t="s">
        <v>28</v>
      </c>
      <c r="C26" s="6" t="s">
        <v>58</v>
      </c>
      <c r="D26" s="6">
        <v>60</v>
      </c>
      <c r="E26" s="6" t="s">
        <v>27</v>
      </c>
      <c r="F26" s="26">
        <v>45603.9528125</v>
      </c>
      <c r="G26" s="22">
        <v>1.1771000535045477</v>
      </c>
      <c r="H26" s="22">
        <v>1.1620117710005353</v>
      </c>
      <c r="I26" s="16">
        <f t="shared" ref="I26" si="4">J25</f>
        <v>45603.969570509369</v>
      </c>
      <c r="J26" s="16">
        <f t="shared" si="3"/>
        <v>45604.018616344933</v>
      </c>
    </row>
    <row r="31" spans="2:10">
      <c r="I31" s="2"/>
    </row>
    <row r="32" spans="2:10">
      <c r="B32" s="6" t="s">
        <v>9</v>
      </c>
      <c r="C32" s="6" t="s">
        <v>10</v>
      </c>
      <c r="D32" s="6" t="s">
        <v>11</v>
      </c>
      <c r="E32" s="6" t="s">
        <v>12</v>
      </c>
      <c r="F32" s="26" t="s">
        <v>13</v>
      </c>
      <c r="G32" s="22" t="s">
        <v>14</v>
      </c>
      <c r="H32" s="22" t="s">
        <v>15</v>
      </c>
      <c r="I32" s="6" t="s">
        <v>16</v>
      </c>
      <c r="J32" s="6" t="s">
        <v>17</v>
      </c>
    </row>
    <row r="33" spans="2:10">
      <c r="B33" s="6" t="s">
        <v>38</v>
      </c>
      <c r="C33" s="6" t="s">
        <v>46</v>
      </c>
      <c r="D33" s="6">
        <v>48</v>
      </c>
      <c r="E33" s="6" t="s">
        <v>30</v>
      </c>
      <c r="F33" s="27" t="s">
        <v>19</v>
      </c>
      <c r="G33" s="22">
        <v>0.79487179487179527</v>
      </c>
      <c r="H33" s="22">
        <v>0.80952380952380953</v>
      </c>
      <c r="I33" s="16">
        <v>0.75</v>
      </c>
      <c r="J33" s="16">
        <f>I33+G33/24</f>
        <v>0.78311965811965811</v>
      </c>
    </row>
    <row r="34" spans="2:10">
      <c r="B34" s="6" t="s">
        <v>29</v>
      </c>
      <c r="C34" s="6" t="s">
        <v>47</v>
      </c>
      <c r="D34" s="6">
        <v>48</v>
      </c>
      <c r="E34" s="6" t="s">
        <v>30</v>
      </c>
      <c r="F34" s="27" t="s">
        <v>19</v>
      </c>
      <c r="G34" s="22">
        <v>0.75420015367682192</v>
      </c>
      <c r="H34" s="22">
        <v>0.84665545241210305</v>
      </c>
      <c r="I34" s="16">
        <f t="shared" ref="I34:I35" si="5">J33</f>
        <v>0.78311965811965811</v>
      </c>
      <c r="J34" s="16">
        <f t="shared" ref="J34:J35" si="6">I34+G34/24</f>
        <v>0.81454466452285901</v>
      </c>
    </row>
    <row r="35" spans="2:10">
      <c r="B35" s="6" t="s">
        <v>32</v>
      </c>
      <c r="C35" s="6" t="s">
        <v>51</v>
      </c>
      <c r="D35" s="6">
        <v>288</v>
      </c>
      <c r="E35" s="6" t="s">
        <v>30</v>
      </c>
      <c r="F35" s="26">
        <v>45603.736250000002</v>
      </c>
      <c r="G35" s="22">
        <v>2.428571428571427</v>
      </c>
      <c r="H35" s="22">
        <v>1.9523809523809526</v>
      </c>
      <c r="I35" s="16">
        <f t="shared" si="5"/>
        <v>0.81454466452285901</v>
      </c>
      <c r="J35" s="16">
        <f t="shared" si="6"/>
        <v>0.91573514071333517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dimension ref="B1:I23"/>
  <sheetViews>
    <sheetView workbookViewId="0">
      <selection activeCell="F30" sqref="F30"/>
    </sheetView>
  </sheetViews>
  <sheetFormatPr defaultColWidth="9.375" defaultRowHeight="18.75"/>
  <cols>
    <col min="2" max="2" width="14.375" bestFit="1" customWidth="1"/>
    <col min="3" max="3" width="13" bestFit="1" customWidth="1"/>
    <col min="4" max="4" width="5.25" bestFit="1" customWidth="1"/>
    <col min="5" max="5" width="7.125" bestFit="1" customWidth="1"/>
    <col min="6" max="6" width="16.5" style="20" bestFit="1" customWidth="1"/>
    <col min="7" max="7" width="9" bestFit="1" customWidth="1"/>
    <col min="8" max="8" width="15.125" bestFit="1" customWidth="1"/>
    <col min="9" max="9" width="13" bestFit="1" customWidth="1"/>
  </cols>
  <sheetData>
    <row r="1" spans="2:9">
      <c r="F1" s="24"/>
    </row>
    <row r="2" spans="2:9">
      <c r="F2" s="24"/>
      <c r="G2" s="21"/>
      <c r="H2" t="s">
        <v>8</v>
      </c>
    </row>
    <row r="3" spans="2:9">
      <c r="F3" s="24"/>
    </row>
    <row r="4" spans="2:9">
      <c r="F4" s="24"/>
    </row>
    <row r="5" spans="2:9">
      <c r="B5" s="6" t="s">
        <v>21</v>
      </c>
      <c r="C5" s="6" t="s">
        <v>22</v>
      </c>
      <c r="D5" s="6" t="s">
        <v>11</v>
      </c>
      <c r="E5" s="6" t="s">
        <v>12</v>
      </c>
      <c r="F5" s="25" t="s">
        <v>25</v>
      </c>
      <c r="G5" s="22" t="s">
        <v>15</v>
      </c>
      <c r="H5" s="6" t="s">
        <v>23</v>
      </c>
      <c r="I5" s="6" t="s">
        <v>24</v>
      </c>
    </row>
    <row r="6" spans="2:9">
      <c r="B6" s="6" t="s">
        <v>29</v>
      </c>
      <c r="C6" s="6" t="s">
        <v>36</v>
      </c>
      <c r="D6" s="6">
        <v>48</v>
      </c>
      <c r="E6" s="6" t="s">
        <v>30</v>
      </c>
      <c r="F6" s="27" t="s">
        <v>19</v>
      </c>
      <c r="G6" s="22">
        <v>0.84665545241210305</v>
      </c>
      <c r="H6" s="16">
        <v>0.75</v>
      </c>
      <c r="I6" s="16">
        <f>H6+G6/24</f>
        <v>0.78527731051717098</v>
      </c>
    </row>
    <row r="7" spans="2:9">
      <c r="B7" s="6" t="s">
        <v>31</v>
      </c>
      <c r="C7" s="6" t="s">
        <v>37</v>
      </c>
      <c r="D7" s="6">
        <v>48</v>
      </c>
      <c r="E7" s="6" t="s">
        <v>30</v>
      </c>
      <c r="F7" s="27" t="s">
        <v>19</v>
      </c>
      <c r="G7" s="22">
        <v>0.66262704761904767</v>
      </c>
      <c r="H7" s="16">
        <f>I6</f>
        <v>0.78527731051717098</v>
      </c>
      <c r="I7" s="16">
        <f>H7+G7/24</f>
        <v>0.81288677083463134</v>
      </c>
    </row>
    <row r="8" spans="2:9">
      <c r="B8" s="6" t="s">
        <v>33</v>
      </c>
      <c r="C8" s="6" t="s">
        <v>34</v>
      </c>
      <c r="D8" s="6">
        <v>400</v>
      </c>
      <c r="E8" s="6" t="s">
        <v>18</v>
      </c>
      <c r="F8" s="27" t="s">
        <v>19</v>
      </c>
      <c r="G8" s="22">
        <v>1.4340873989279523</v>
      </c>
      <c r="H8" s="16">
        <f>I7</f>
        <v>0.81288677083463134</v>
      </c>
      <c r="I8" s="16">
        <f t="shared" ref="I8:I22" si="0">H8+G8/24</f>
        <v>0.87264041245662938</v>
      </c>
    </row>
    <row r="9" spans="2:9">
      <c r="B9" s="6" t="s">
        <v>31</v>
      </c>
      <c r="C9" s="6" t="s">
        <v>39</v>
      </c>
      <c r="D9" s="6">
        <v>48</v>
      </c>
      <c r="E9" s="6" t="s">
        <v>30</v>
      </c>
      <c r="F9" s="27" t="s">
        <v>19</v>
      </c>
      <c r="G9" s="22">
        <v>0.66262704761904767</v>
      </c>
      <c r="H9" s="16">
        <f t="shared" ref="H9:H22" si="1">I8</f>
        <v>0.87264041245662938</v>
      </c>
      <c r="I9" s="16">
        <f t="shared" si="0"/>
        <v>0.90024987277408974</v>
      </c>
    </row>
    <row r="10" spans="2:9">
      <c r="B10" s="6" t="s">
        <v>40</v>
      </c>
      <c r="C10" s="6" t="s">
        <v>41</v>
      </c>
      <c r="D10" s="6">
        <v>48</v>
      </c>
      <c r="E10" s="6" t="s">
        <v>18</v>
      </c>
      <c r="F10" s="27" t="s">
        <v>19</v>
      </c>
      <c r="G10" s="22">
        <v>0.34998334998335007</v>
      </c>
      <c r="H10" s="16">
        <f t="shared" si="1"/>
        <v>0.90024987277408974</v>
      </c>
      <c r="I10" s="16">
        <f t="shared" si="0"/>
        <v>0.91483251235672935</v>
      </c>
    </row>
    <row r="11" spans="2:9">
      <c r="B11" s="6" t="s">
        <v>42</v>
      </c>
      <c r="C11" s="6" t="s">
        <v>43</v>
      </c>
      <c r="D11" s="6">
        <v>96</v>
      </c>
      <c r="E11" s="16" t="s">
        <v>18</v>
      </c>
      <c r="F11" s="25">
        <f t="shared" ref="F11:F22" si="2">_xlfn.XLOOKUP(C11,C:C,J:J)</f>
        <v>0</v>
      </c>
      <c r="G11" s="22">
        <v>0.49867724867724872</v>
      </c>
      <c r="H11" s="16">
        <f t="shared" si="1"/>
        <v>0.91483251235672935</v>
      </c>
      <c r="I11" s="16">
        <f t="shared" si="0"/>
        <v>0.93561073105161474</v>
      </c>
    </row>
    <row r="12" spans="2:9">
      <c r="B12" s="6" t="s">
        <v>44</v>
      </c>
      <c r="C12" s="6" t="s">
        <v>45</v>
      </c>
      <c r="D12" s="6">
        <v>48</v>
      </c>
      <c r="E12" s="16" t="s">
        <v>27</v>
      </c>
      <c r="F12" s="25">
        <f t="shared" si="2"/>
        <v>0</v>
      </c>
      <c r="G12" s="22">
        <v>0.23817142857142859</v>
      </c>
      <c r="H12" s="16">
        <f t="shared" si="1"/>
        <v>0.93561073105161474</v>
      </c>
      <c r="I12" s="16">
        <f t="shared" si="0"/>
        <v>0.9455345405754243</v>
      </c>
    </row>
    <row r="13" spans="2:9">
      <c r="B13" s="6" t="s">
        <v>38</v>
      </c>
      <c r="C13" s="6" t="s">
        <v>46</v>
      </c>
      <c r="D13" s="6">
        <v>48</v>
      </c>
      <c r="E13" s="16" t="s">
        <v>30</v>
      </c>
      <c r="F13" s="25">
        <f t="shared" si="2"/>
        <v>0</v>
      </c>
      <c r="G13" s="22">
        <v>0.80952380952380953</v>
      </c>
      <c r="H13" s="16">
        <f t="shared" si="1"/>
        <v>0.9455345405754243</v>
      </c>
      <c r="I13" s="16">
        <f t="shared" si="0"/>
        <v>0.97926469930558302</v>
      </c>
    </row>
    <row r="14" spans="2:9">
      <c r="B14" s="6" t="s">
        <v>29</v>
      </c>
      <c r="C14" s="6" t="s">
        <v>47</v>
      </c>
      <c r="D14" s="6">
        <v>48</v>
      </c>
      <c r="E14" s="16" t="s">
        <v>30</v>
      </c>
      <c r="F14" s="25">
        <f t="shared" si="2"/>
        <v>0</v>
      </c>
      <c r="G14" s="22">
        <v>0.84665545241210305</v>
      </c>
      <c r="H14" s="16">
        <f t="shared" si="1"/>
        <v>0.97926469930558302</v>
      </c>
      <c r="I14" s="16">
        <f t="shared" si="0"/>
        <v>1.014542009822754</v>
      </c>
    </row>
    <row r="15" spans="2:9">
      <c r="B15" s="6" t="s">
        <v>26</v>
      </c>
      <c r="C15" s="6" t="s">
        <v>48</v>
      </c>
      <c r="D15" s="6">
        <v>60</v>
      </c>
      <c r="E15" s="16" t="s">
        <v>27</v>
      </c>
      <c r="F15" s="25">
        <f t="shared" si="2"/>
        <v>0</v>
      </c>
      <c r="G15" s="22">
        <v>2.2697923545381169</v>
      </c>
      <c r="H15" s="16">
        <f t="shared" si="1"/>
        <v>1.014542009822754</v>
      </c>
      <c r="I15" s="16">
        <f t="shared" si="0"/>
        <v>1.1091166912618422</v>
      </c>
    </row>
    <row r="16" spans="2:9">
      <c r="B16" s="6" t="s">
        <v>49</v>
      </c>
      <c r="C16" s="6" t="s">
        <v>50</v>
      </c>
      <c r="D16" s="6">
        <v>60</v>
      </c>
      <c r="E16" s="16" t="s">
        <v>27</v>
      </c>
      <c r="F16" s="25">
        <f t="shared" si="2"/>
        <v>0</v>
      </c>
      <c r="G16" s="22">
        <v>0.50964187327823696</v>
      </c>
      <c r="H16" s="16">
        <f t="shared" si="1"/>
        <v>1.1091166912618422</v>
      </c>
      <c r="I16" s="16">
        <f t="shared" si="0"/>
        <v>1.1303517693151022</v>
      </c>
    </row>
    <row r="17" spans="2:9">
      <c r="B17" s="6" t="s">
        <v>32</v>
      </c>
      <c r="C17" s="6" t="s">
        <v>51</v>
      </c>
      <c r="D17" s="6">
        <v>288</v>
      </c>
      <c r="E17" s="16" t="s">
        <v>30</v>
      </c>
      <c r="F17" s="25">
        <f t="shared" si="2"/>
        <v>0</v>
      </c>
      <c r="G17" s="22">
        <v>1.9523809523809526</v>
      </c>
      <c r="H17" s="16">
        <f t="shared" si="1"/>
        <v>1.1303517693151022</v>
      </c>
      <c r="I17" s="16">
        <f t="shared" si="0"/>
        <v>1.2117009756643085</v>
      </c>
    </row>
    <row r="18" spans="2:9">
      <c r="B18" s="6" t="s">
        <v>52</v>
      </c>
      <c r="C18" s="6" t="s">
        <v>53</v>
      </c>
      <c r="D18" s="6">
        <v>60</v>
      </c>
      <c r="E18" s="16" t="s">
        <v>27</v>
      </c>
      <c r="F18" s="25">
        <f t="shared" si="2"/>
        <v>0</v>
      </c>
      <c r="G18" s="22">
        <v>0.43721877465719833</v>
      </c>
      <c r="H18" s="16">
        <f t="shared" si="1"/>
        <v>1.2117009756643085</v>
      </c>
      <c r="I18" s="16">
        <f t="shared" si="0"/>
        <v>1.2299184246083583</v>
      </c>
    </row>
    <row r="19" spans="2:9">
      <c r="B19" s="6" t="s">
        <v>54</v>
      </c>
      <c r="C19" s="6" t="s">
        <v>55</v>
      </c>
      <c r="D19" s="6">
        <v>24</v>
      </c>
      <c r="E19" s="16" t="s">
        <v>18</v>
      </c>
      <c r="F19" s="25">
        <f t="shared" si="2"/>
        <v>0</v>
      </c>
      <c r="G19" s="22">
        <v>1.5936199722607525</v>
      </c>
      <c r="H19" s="16">
        <f t="shared" si="1"/>
        <v>1.2299184246083583</v>
      </c>
      <c r="I19" s="16">
        <f t="shared" si="0"/>
        <v>1.2963192567858897</v>
      </c>
    </row>
    <row r="20" spans="2:9">
      <c r="B20" s="6" t="s">
        <v>56</v>
      </c>
      <c r="C20" s="6" t="s">
        <v>57</v>
      </c>
      <c r="D20" s="6">
        <v>208</v>
      </c>
      <c r="E20" s="16" t="s">
        <v>18</v>
      </c>
      <c r="F20" s="25">
        <f t="shared" si="2"/>
        <v>0</v>
      </c>
      <c r="G20" s="22">
        <v>0.69786706349206351</v>
      </c>
      <c r="H20" s="16">
        <f t="shared" si="1"/>
        <v>1.2963192567858897</v>
      </c>
      <c r="I20" s="16">
        <f t="shared" si="0"/>
        <v>1.3253970510980591</v>
      </c>
    </row>
    <row r="21" spans="2:9">
      <c r="B21" s="6" t="s">
        <v>28</v>
      </c>
      <c r="C21" s="6" t="s">
        <v>58</v>
      </c>
      <c r="D21" s="6">
        <v>60</v>
      </c>
      <c r="E21" s="16" t="s">
        <v>27</v>
      </c>
      <c r="F21" s="25">
        <f t="shared" si="2"/>
        <v>0</v>
      </c>
      <c r="G21" s="22">
        <v>1.1620117710005353</v>
      </c>
      <c r="H21" s="16">
        <f t="shared" si="1"/>
        <v>1.3253970510980591</v>
      </c>
      <c r="I21" s="16">
        <f t="shared" si="0"/>
        <v>1.3738142082230813</v>
      </c>
    </row>
    <row r="22" spans="2:9">
      <c r="B22" s="6" t="s">
        <v>56</v>
      </c>
      <c r="C22" s="6" t="s">
        <v>59</v>
      </c>
      <c r="D22" s="6">
        <v>208</v>
      </c>
      <c r="E22" s="16" t="s">
        <v>18</v>
      </c>
      <c r="F22" s="25">
        <f t="shared" si="2"/>
        <v>0</v>
      </c>
      <c r="G22" s="22">
        <v>0.69786706349206351</v>
      </c>
      <c r="H22" s="16">
        <f t="shared" si="1"/>
        <v>1.3738142082230813</v>
      </c>
      <c r="I22" s="16">
        <f t="shared" si="0"/>
        <v>1.4028920025352507</v>
      </c>
    </row>
    <row r="23" spans="2:9">
      <c r="F23" s="24"/>
      <c r="G23" s="23"/>
      <c r="H23" s="23"/>
    </row>
  </sheetData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B6089C-DC21-4487-A7DE-E222667BF51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7e61ba0-4c47-4710-ac4c-031e401f92bd"/>
    <ds:schemaRef ds:uri="ea180fb7-6417-4417-bcc2-1a1988547c9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EB1D3AE-4017-474C-8091-6FDDB5CC3C8D}"/>
</file>

<file path=customXml/itemProps3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2024-11-08T00:06:25Z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