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75" documentId="8_{35EA7CEC-CFC8-4D65-B1E1-4DC7BD5C8B6C}" xr6:coauthVersionLast="47" xr6:coauthVersionMax="47" xr10:uidLastSave="{539AD6CB-8C2F-468D-A0CA-F68D9218D371}"/>
  <bookViews>
    <workbookView xWindow="20370" yWindow="-4650" windowWidth="29040" windowHeight="15840" activeTab="1" xr2:uid="{D4E99A79-39B5-4714-8CFE-6838D0007EB9}"/>
    <workbookView xWindow="-120" yWindow="-120" windowWidth="20730" windowHeight="11160" activeTab="4" xr2:uid="{F5DD9891-DEA8-455C-A90A-B211034E7CF2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5" l="1"/>
  <c r="I8" i="5" s="1"/>
  <c r="H9" i="5" s="1"/>
  <c r="I9" i="5" s="1"/>
  <c r="H10" i="5" s="1"/>
  <c r="I10" i="5" s="1"/>
  <c r="H11" i="5" s="1"/>
  <c r="I11" i="5" s="1"/>
  <c r="H12" i="5" s="1"/>
  <c r="I12" i="5" s="1"/>
  <c r="H13" i="5" s="1"/>
  <c r="I13" i="5" s="1"/>
  <c r="H14" i="5" s="1"/>
  <c r="I14" i="5" s="1"/>
  <c r="H15" i="5" s="1"/>
  <c r="I15" i="5" s="1"/>
  <c r="I7" i="5"/>
  <c r="J22" i="6"/>
  <c r="I23" i="6" s="1"/>
  <c r="J23" i="6" s="1"/>
  <c r="I24" i="6" s="1"/>
  <c r="J24" i="6" s="1"/>
  <c r="I25" i="6" s="1"/>
  <c r="J25" i="6" s="1"/>
  <c r="I26" i="6" s="1"/>
  <c r="J26" i="6" s="1"/>
  <c r="I27" i="6" s="1"/>
  <c r="J27" i="6" s="1"/>
  <c r="I28" i="6" s="1"/>
  <c r="J28" i="6" s="1"/>
  <c r="I29" i="6" s="1"/>
  <c r="J29" i="6" s="1"/>
  <c r="I30" i="6" s="1"/>
  <c r="J30" i="6" s="1"/>
  <c r="J6" i="6"/>
  <c r="I7" i="6" s="1"/>
  <c r="J7" i="6" s="1"/>
  <c r="I8" i="6" s="1"/>
  <c r="J8" i="6" s="1"/>
  <c r="I9" i="6" s="1"/>
  <c r="J9" i="6" s="1"/>
  <c r="I10" i="6" s="1"/>
  <c r="J10" i="6" s="1"/>
  <c r="I11" i="6" s="1"/>
  <c r="J11" i="6" s="1"/>
  <c r="I12" i="6" s="1"/>
  <c r="J12" i="6" s="1"/>
  <c r="I13" i="6" s="1"/>
  <c r="J13" i="6" s="1"/>
  <c r="I14" i="6" s="1"/>
  <c r="J14" i="6" s="1"/>
  <c r="I15" i="6" s="1"/>
  <c r="J15" i="6" s="1"/>
  <c r="F2" i="2" l="1"/>
</calcChain>
</file>

<file path=xl/sharedStrings.xml><?xml version="1.0" encoding="utf-8"?>
<sst xmlns="http://schemas.openxmlformats.org/spreadsheetml/2006/main" count="212" uniqueCount="69">
  <si>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</si>
  <si>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</si>
  <si>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</si>
  <si>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</si>
  <si>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</si>
  <si>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</si>
  <si>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</si>
  <si>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</si>
  <si>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UR-0481-01</t>
  </si>
  <si>
    <t>UR-05091-03</t>
  </si>
  <si>
    <t>UR-06101-01</t>
  </si>
  <si>
    <t>UR-0559-05</t>
  </si>
  <si>
    <t>←マスタ未登録</t>
    <rPh sb="4" eb="7">
      <t>ミ</t>
    </rPh>
    <phoneticPr fontId="2"/>
  </si>
  <si>
    <t>TypeID</t>
  </si>
  <si>
    <t>orderNumber</t>
  </si>
  <si>
    <t>台数</t>
    <rPh sb="0" eb="2">
      <t>ダイスウ</t>
    </rPh>
    <phoneticPr fontId="2"/>
  </si>
  <si>
    <t>ライン</t>
    <phoneticPr fontId="2"/>
  </si>
  <si>
    <t>AOI終了予定時刻</t>
    <rPh sb="3" eb="5">
      <t>シュウリョウ</t>
    </rPh>
    <rPh sb="5" eb="9">
      <t>ヨテイジコク</t>
    </rPh>
    <phoneticPr fontId="7"/>
  </si>
  <si>
    <t>目視工数</t>
    <rPh sb="0" eb="2">
      <t>モクシ</t>
    </rPh>
    <rPh sb="2" eb="4">
      <t>コウスウ</t>
    </rPh>
    <phoneticPr fontId="7"/>
  </si>
  <si>
    <t>目視開始予定</t>
    <rPh sb="0" eb="2">
      <t>モクシ</t>
    </rPh>
    <rPh sb="2" eb="6">
      <t>カイシヨテイ</t>
    </rPh>
    <phoneticPr fontId="2"/>
  </si>
  <si>
    <t>目視終了予定</t>
    <rPh sb="0" eb="2">
      <t>モクシ</t>
    </rPh>
    <rPh sb="2" eb="4">
      <t>シュウリョウ</t>
    </rPh>
    <rPh sb="4" eb="6">
      <t>ヨテイ</t>
    </rPh>
    <phoneticPr fontId="2"/>
  </si>
  <si>
    <t>Line-1</t>
  </si>
  <si>
    <t>仕掛</t>
    <rPh sb="0" eb="2">
      <t>シカカリ</t>
    </rPh>
    <phoneticPr fontId="2"/>
  </si>
  <si>
    <t>Line-3</t>
  </si>
  <si>
    <t>Line-2</t>
  </si>
  <si>
    <t>品目名</t>
    <rPh sb="0" eb="3">
      <t>ヒンモクメイ</t>
    </rPh>
    <phoneticPr fontId="2"/>
  </si>
  <si>
    <t>指図</t>
    <rPh sb="0" eb="2">
      <t>サシズ</t>
    </rPh>
    <phoneticPr fontId="2"/>
  </si>
  <si>
    <t>SMT終了予定時刻</t>
    <rPh sb="3" eb="7">
      <t>シュウリョウヨテイ</t>
    </rPh>
    <rPh sb="7" eb="9">
      <t>ジコク</t>
    </rPh>
    <phoneticPr fontId="2"/>
  </si>
  <si>
    <t>AOI工数</t>
    <rPh sb="3" eb="5">
      <t>コウスウ</t>
    </rPh>
    <phoneticPr fontId="7"/>
  </si>
  <si>
    <t>AOI作業開始予定時刻</t>
    <rPh sb="3" eb="5">
      <t>サギョウ</t>
    </rPh>
    <rPh sb="5" eb="7">
      <t>カイシ</t>
    </rPh>
    <rPh sb="7" eb="9">
      <t>ヨテイ</t>
    </rPh>
    <rPh sb="9" eb="11">
      <t>ジコク</t>
    </rPh>
    <phoneticPr fontId="2"/>
  </si>
  <si>
    <t>AOI作業終了予定時刻</t>
    <rPh sb="5" eb="7">
      <t>シュウリョウ</t>
    </rPh>
    <phoneticPr fontId="2"/>
  </si>
  <si>
    <t>―</t>
  </si>
  <si>
    <t>UR-0475</t>
  </si>
  <si>
    <t>UR-0493</t>
  </si>
  <si>
    <t>UR-0483</t>
  </si>
  <si>
    <t>UR-0480</t>
  </si>
  <si>
    <t>211977907</t>
  </si>
  <si>
    <t>211975581</t>
  </si>
  <si>
    <t>UTS-0808-01</t>
  </si>
  <si>
    <t>211979419</t>
  </si>
  <si>
    <t>URS-0595</t>
  </si>
  <si>
    <t>211979405</t>
  </si>
  <si>
    <t>211979395</t>
  </si>
  <si>
    <t>UR-43721</t>
  </si>
  <si>
    <t>211977837</t>
  </si>
  <si>
    <t>URS-42883</t>
  </si>
  <si>
    <t>211979414</t>
  </si>
  <si>
    <t>URS-45353</t>
  </si>
  <si>
    <t>211979418</t>
  </si>
  <si>
    <t>UR-4207-02</t>
  </si>
  <si>
    <t>211979426</t>
  </si>
  <si>
    <t>UR-4421-01</t>
  </si>
  <si>
    <t>211979404</t>
  </si>
  <si>
    <t>UR-05972</t>
  </si>
  <si>
    <t>211979396</t>
  </si>
  <si>
    <t>UR-0598</t>
  </si>
  <si>
    <t>211976125</t>
  </si>
  <si>
    <t>211979422</t>
  </si>
  <si>
    <t>UR-0625</t>
  </si>
  <si>
    <t>211979272</t>
  </si>
  <si>
    <t>UR-0600</t>
  </si>
  <si>
    <t>211979397</t>
  </si>
  <si>
    <t>211979423</t>
  </si>
  <si>
    <t>211979393</t>
  </si>
  <si>
    <t>211979394</t>
  </si>
  <si>
    <t>211979449</t>
  </si>
  <si>
    <t>UR-0610-01</t>
  </si>
  <si>
    <t>実績</t>
    <rPh sb="0" eb="2">
      <t>ジッセキ</t>
    </rPh>
    <phoneticPr fontId="2"/>
  </si>
  <si>
    <t>計画</t>
    <rPh sb="0" eb="2">
      <t>ケイカク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</si>
</sst>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10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8" fillId="0" borderId="1" xfId="0" applyNumberFormat="1" applyFont="1" applyBorder="1">
      <alignment vertical="center"/>
    </xf>
    <xf numFmtId="176" fontId="9" fillId="0" borderId="0" xfId="0" applyNumberFormat="1" applyFont="1">
      <alignment vertical="center"/>
    </xf>
    <xf numFmtId="176" fontId="9" fillId="0" borderId="1" xfId="0" applyNumberFormat="1" applyFont="1" applyBorder="1">
      <alignment vertical="center"/>
    </xf>
  </cellXfs>
  <cellStyles count="1">
    <cellStyle name="標準" xfId="0" builtinId="0"/>
  </cellStyles>
  <dxfs count="9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248478</xdr:colOff>
      <xdr:row>0</xdr:row>
      <xdr:rowOff>207065</xdr:rowOff>
    </xdr:from>
    <xdr:to>
      <xdr:col>6</xdr:col>
      <xdr:colOff>0</xdr:colOff>
      <xdr:row>3</xdr:row>
      <xdr:rowOff>66261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45ADC30-6994-44D7-9676-431A58F4B8F2}"/>
            </a:ext>
          </a:extLst>
        </xdr:cNvPr>
        <xdr:cNvSpPr txBox="1"/>
      </xdr:nvSpPr>
      <xdr:spPr>
        <a:xfrm>
          <a:off x="934278" y="207065"/>
          <a:ext cx="5095047" cy="573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</a:t>
          </a:r>
          <a:r>
            <a:rPr kumimoji="1" lang="ja-JP" altLang="en-US" sz="2000" b="1"/>
            <a:t>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17</xdr:row>
      <xdr:rowOff>0</xdr:rowOff>
    </xdr:from>
    <xdr:to>
      <xdr:col>6</xdr:col>
      <xdr:colOff>0</xdr:colOff>
      <xdr:row>19</xdr:row>
      <xdr:rowOff>28161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39E3D55-4AF7-4C8E-AD3C-A3B5FF7E6EB2}"/>
            </a:ext>
          </a:extLst>
        </xdr:cNvPr>
        <xdr:cNvSpPr txBox="1"/>
      </xdr:nvSpPr>
      <xdr:spPr>
        <a:xfrm>
          <a:off x="780222" y="4048125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試作･</a:t>
          </a:r>
          <a:r>
            <a:rPr kumimoji="1" lang="en-US" altLang="ja-JP" sz="2000" b="1"/>
            <a:t>AOI2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16565</xdr:colOff>
      <xdr:row>1</xdr:row>
      <xdr:rowOff>124240</xdr:rowOff>
    </xdr:from>
    <xdr:to>
      <xdr:col>5</xdr:col>
      <xdr:colOff>0</xdr:colOff>
      <xdr:row>3</xdr:row>
      <xdr:rowOff>223632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624812C-DB0D-4D6B-98CB-765C8042DFCB}"/>
            </a:ext>
          </a:extLst>
        </xdr:cNvPr>
        <xdr:cNvSpPr txBox="1"/>
      </xdr:nvSpPr>
      <xdr:spPr>
        <a:xfrm>
          <a:off x="702365" y="7744240"/>
          <a:ext cx="3517210" cy="57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目視作業計画</a:t>
          </a:r>
          <a:endParaRPr kumimoji="1" lang="en-US" altLang="ja-JP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17" sqref="D17"/>
    </sheetView>
    <sheetView workbookViewId="1"/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66</v>
      </c>
      <c r="C4" s="6">
        <v>211979398</v>
      </c>
      <c r="D4" s="6" t="s">
        <v>67</v>
      </c>
      <c r="E4" s="7">
        <v>0.75515046296296295</v>
      </c>
      <c r="F4" s="7">
        <v>0.78178240740740745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67</v>
      </c>
      <c r="E5" s="7">
        <v>0.79076388888888893</v>
      </c>
      <c r="F5" s="7">
        <v>0.8139467592592593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 t="s">
        <v>68</v>
      </c>
      <c r="E6" s="7">
        <v>0.85495625364222994</v>
      </c>
      <c r="F6" s="7">
        <v>0.87578958499143633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10</v>
      </c>
      <c r="C7" s="6">
        <v>211977907</v>
      </c>
      <c r="D7" s="6" t="s">
        <v>67</v>
      </c>
      <c r="E7" s="7">
        <v>0.8580902777777778</v>
      </c>
      <c r="F7" s="7">
        <v>0.87366898148148153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67</v>
      </c>
      <c r="E8" s="7">
        <v>0.98092592592592598</v>
      </c>
      <c r="F8" s="7">
        <v>0.98781249999999998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68</v>
      </c>
      <c r="E9" s="7">
        <v>0.72916666666666663</v>
      </c>
      <c r="F9" s="7">
        <v>0.76059167306986752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9</v>
      </c>
      <c r="C10" s="6">
        <v>211975581</v>
      </c>
      <c r="D10" s="6" t="s">
        <v>67</v>
      </c>
      <c r="E10" s="7">
        <v>0.88035879629629632</v>
      </c>
      <c r="F10" s="7">
        <v>0.98015046296296293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67</v>
      </c>
      <c r="E11" s="7">
        <v>0.98951388888888892</v>
      </c>
      <c r="F11" s="7">
        <v>3.1180555555555555E-2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 t="s">
        <v>68</v>
      </c>
      <c r="E12" s="7">
        <v>0.76059167306986752</v>
      </c>
      <c r="F12" s="7">
        <v>0.86178214926034369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8" priority="4">
      <formula>AND($D4="計画", $E4 &lt;= F$3, F$3 &lt; $F4 + IF($F4 &lt; $E4, 1, 0))</formula>
    </cfRule>
  </conditionalFormatting>
  <conditionalFormatting sqref="H4:DH134">
    <cfRule type="expression" dxfId="7" priority="5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tabSelected="1" zoomScale="85" zoomScaleNormal="85"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B21" sqref="B21"/>
    </sheetView>
    <sheetView workbookViewId="1"/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53</v>
      </c>
      <c r="C4" s="6">
        <v>211979396</v>
      </c>
      <c r="D4" s="6" t="s">
        <v>67</v>
      </c>
      <c r="E4" s="7">
        <v>0.76405092592592594</v>
      </c>
      <c r="F4" s="7">
        <v>0.77218750000000003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67</v>
      </c>
      <c r="E5" s="7">
        <v>0.80697916666666669</v>
      </c>
      <c r="F5" s="7">
        <v>0.812037037037037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 t="s">
        <v>68</v>
      </c>
      <c r="E6" s="7">
        <v>0.72916666666666663</v>
      </c>
      <c r="F6" s="7">
        <v>0.74466765873015872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58</v>
      </c>
      <c r="C7" s="6">
        <v>211979272</v>
      </c>
      <c r="D7" s="6" t="s">
        <v>67</v>
      </c>
      <c r="E7" s="7">
        <v>0.78651620370370368</v>
      </c>
      <c r="F7" s="7">
        <v>0.7900462962962963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67</v>
      </c>
      <c r="E8" s="7">
        <v>0.81240740740740736</v>
      </c>
      <c r="F8" s="7">
        <v>0.81929398148148147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68</v>
      </c>
      <c r="E9" s="7">
        <v>0.85495625364222994</v>
      </c>
      <c r="F9" s="7">
        <v>0.87578958499143633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60</v>
      </c>
      <c r="C10" s="6">
        <v>211979397</v>
      </c>
      <c r="D10" s="6" t="s">
        <v>67</v>
      </c>
      <c r="E10" s="7">
        <v>0.8220601851851852</v>
      </c>
      <c r="F10" s="7">
        <v>0.85644675925925928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67</v>
      </c>
      <c r="E11" s="7">
        <v>0.8565625</v>
      </c>
      <c r="F11" s="7">
        <v>0.86011574074074071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 t="s">
        <v>68</v>
      </c>
      <c r="E12" s="7">
        <v>0.87578958499143633</v>
      </c>
      <c r="F12" s="7">
        <v>0.91120625165810298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55</v>
      </c>
      <c r="C13" s="6">
        <v>211976125</v>
      </c>
      <c r="D13" s="6" t="s">
        <v>67</v>
      </c>
      <c r="E13" s="7">
        <v>0.88601851851851854</v>
      </c>
      <c r="F13" s="7">
        <v>0.90620370370370373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 t="s">
        <v>67</v>
      </c>
      <c r="E14" s="7">
        <v>0.90648148148148144</v>
      </c>
      <c r="F14" s="7">
        <v>0.91203703703703709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 t="s">
        <v>68</v>
      </c>
      <c r="E15" s="7">
        <v>0.74466765873015872</v>
      </c>
      <c r="F15" s="7">
        <v>0.77876411782539678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8</v>
      </c>
      <c r="C16" s="6">
        <v>211979422</v>
      </c>
      <c r="D16" s="6" t="s">
        <v>67</v>
      </c>
      <c r="E16" s="7">
        <v>0.91659722222222217</v>
      </c>
      <c r="F16" s="7">
        <v>0.95298611111111109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 t="s">
        <v>67</v>
      </c>
      <c r="E17" s="7">
        <v>0.953125</v>
      </c>
      <c r="F17" s="7">
        <v>0.96537037037037032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 t="s">
        <v>68</v>
      </c>
      <c r="E18" s="16">
        <v>0.77876411782539678</v>
      </c>
      <c r="F18" s="16">
        <v>0.85495625364222994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34</v>
      </c>
      <c r="C19" s="6">
        <v>211979423</v>
      </c>
      <c r="D19" s="6" t="s">
        <v>67</v>
      </c>
      <c r="E19" s="7">
        <v>0.99567129629629625</v>
      </c>
      <c r="F19" s="7">
        <v>7.2453703703703708E-3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 t="s">
        <v>68</v>
      </c>
      <c r="E20" s="7">
        <v>0.91120625165810298</v>
      </c>
      <c r="F20" s="7">
        <v>0.96025208722079247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6" priority="1">
      <formula>AND($D4="計画", $E4 &lt;= G$3, G$3 &lt; $F4 + IF($F4 &lt; $E4, 1, 0))</formula>
    </cfRule>
    <cfRule type="expression" dxfId="5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zoomScale="85" zoomScaleNormal="8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  <sheetView workbookViewId="1"/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/>
      <c r="C4" s="6"/>
      <c r="D4" s="6"/>
      <c r="E4" s="8"/>
      <c r="F4" s="9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8"/>
      <c r="F6" s="9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8"/>
      <c r="F8" s="9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8"/>
      <c r="F10" s="9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4" priority="1">
      <formula>AND($D4="計画", $E4 &lt;= G$3, G$3 &lt; $F4 + IF($F4 &lt; $E4, 1, 0))</formula>
    </cfRule>
    <cfRule type="expression" dxfId="3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topLeftCell="B1" zoomScale="85" zoomScaleNormal="85" workbookViewId="0">
      <selection activeCell="D18" sqref="D18"/>
    </sheetView>
    <sheetView workbookViewId="1"/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hidden="1" customWidth="1"/>
    <col min="16" max="57" width="3.5" hidden="1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2" spans="1:112">
      <c r="F2" s="2" t="e">
        <f>+#REF!-#REF!</f>
        <v>#REF!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>
      <c r="A4" s="6"/>
      <c r="B4" s="6" t="s">
        <v>66</v>
      </c>
      <c r="C4" s="6">
        <v>211979398</v>
      </c>
      <c r="D4" s="6" t="s">
        <v>67</v>
      </c>
      <c r="E4" s="7">
        <v>0.87765046296296301</v>
      </c>
      <c r="F4" s="7">
        <v>0.87778935185185181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53</v>
      </c>
      <c r="C6" s="6">
        <v>211979396</v>
      </c>
      <c r="D6" s="6" t="s">
        <v>67</v>
      </c>
      <c r="E6" s="7">
        <v>0.88082175925925921</v>
      </c>
      <c r="F6" s="7">
        <v>0.88362268518518516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 t="s">
        <v>68</v>
      </c>
      <c r="E7" s="7">
        <v>0.72916666666666663</v>
      </c>
      <c r="F7" s="7">
        <v>0.76458333333333328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55</v>
      </c>
      <c r="C8" s="6">
        <v>211976125</v>
      </c>
      <c r="D8" s="6" t="s">
        <v>67</v>
      </c>
      <c r="E8" s="7">
        <v>0.9190625</v>
      </c>
      <c r="F8" s="7">
        <v>0.92336805555555557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68</v>
      </c>
      <c r="E9" s="7">
        <v>0.79986064385050426</v>
      </c>
      <c r="F9" s="7">
        <v>0.83527731051717091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8</v>
      </c>
      <c r="C10" s="6">
        <v>211979422</v>
      </c>
      <c r="D10" s="6" t="s">
        <v>67</v>
      </c>
      <c r="E10" s="7">
        <v>0.96837962962962965</v>
      </c>
      <c r="F10" s="7">
        <v>0.99215277777777777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68</v>
      </c>
      <c r="E11" s="7">
        <v>0.85495625364222994</v>
      </c>
      <c r="F11" s="7">
        <v>0.94953093508131814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10</v>
      </c>
      <c r="C12" s="6">
        <v>211977907</v>
      </c>
      <c r="D12" s="6" t="s">
        <v>67</v>
      </c>
      <c r="E12" s="7">
        <v>9.6296296296296303E-3</v>
      </c>
      <c r="F12" s="7">
        <v>1.9965277777777776E-2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 t="s">
        <v>68</v>
      </c>
      <c r="E13" s="7">
        <v>0.76458333333333328</v>
      </c>
      <c r="F13" s="7">
        <v>0.79986064385050426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34</v>
      </c>
      <c r="C14" s="6">
        <v>211979423</v>
      </c>
      <c r="D14" s="6" t="s">
        <v>67</v>
      </c>
      <c r="E14" s="7">
        <v>2.5787037037037035E-2</v>
      </c>
      <c r="F14" s="7">
        <v>3.5949074074074071E-2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 t="s">
        <v>68</v>
      </c>
      <c r="E15" s="7">
        <v>1.0308801414305244</v>
      </c>
      <c r="F15" s="7">
        <v>1.0792972985555467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8"/>
      <c r="F26" s="9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8"/>
      <c r="F27" s="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1:C3 C20:C1048576 C7 C9 C11 C13">
    <cfRule type="duplicateValues" dxfId="2" priority="1"/>
  </conditionalFormatting>
  <conditionalFormatting sqref="G4:DH99">
    <cfRule type="expression" dxfId="1" priority="2">
      <formula>AND($D4="計画", $E4 &lt;= F$3, F$3 &lt; $F4 + IF($F4 &lt; $E4, 1, 0))</formula>
    </cfRule>
    <cfRule type="expression" dxfId="0" priority="3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B2:L30"/>
  <sheetViews>
    <sheetView workbookViewId="0">
      <selection activeCell="I7" sqref="I7:J7"/>
    </sheetView>
    <sheetView tabSelected="1" workbookViewId="1">
      <selection activeCell="I27" sqref="I27:J27"/>
    </sheetView>
  </sheetViews>
  <sheetFormatPr defaultRowHeight="18.75"/>
  <cols>
    <col min="2" max="2" width="14.375" bestFit="1" customWidth="1"/>
    <col min="3" max="3" width="13" bestFit="1" customWidth="1"/>
    <col min="4" max="4" width="10" bestFit="1" customWidth="1"/>
    <col min="6" max="6" width="23.75" style="25" customWidth="1"/>
    <col min="7" max="7" width="9" style="23"/>
    <col min="8" max="8" width="13" style="23" bestFit="1" customWidth="1"/>
    <col min="9" max="9" width="20.625" bestFit="1" customWidth="1"/>
    <col min="10" max="10" width="20.625" customWidth="1"/>
    <col min="11" max="12" width="14.5" customWidth="1"/>
  </cols>
  <sheetData>
    <row r="2" spans="2:12">
      <c r="H2" s="21"/>
      <c r="I2" t="s">
        <v>12</v>
      </c>
    </row>
    <row r="4" spans="2:12">
      <c r="I4" s="2"/>
      <c r="J4" s="2"/>
      <c r="K4" s="2"/>
      <c r="L4" s="2"/>
    </row>
    <row r="5" spans="2:12">
      <c r="B5" s="6" t="s">
        <v>25</v>
      </c>
      <c r="C5" s="6" t="s">
        <v>26</v>
      </c>
      <c r="D5" s="6" t="s">
        <v>15</v>
      </c>
      <c r="E5" s="6" t="s">
        <v>16</v>
      </c>
      <c r="F5" s="24" t="s">
        <v>27</v>
      </c>
      <c r="G5" s="22" t="s">
        <v>28</v>
      </c>
      <c r="H5" s="22" t="s">
        <v>18</v>
      </c>
      <c r="I5" s="6" t="s">
        <v>29</v>
      </c>
      <c r="J5" s="6" t="s">
        <v>30</v>
      </c>
    </row>
    <row r="6" spans="2:12">
      <c r="B6" s="6" t="s">
        <v>10</v>
      </c>
      <c r="C6" s="6" t="s">
        <v>36</v>
      </c>
      <c r="D6" s="6">
        <v>48</v>
      </c>
      <c r="E6" s="6" t="s">
        <v>23</v>
      </c>
      <c r="F6" s="24" t="s">
        <v>22</v>
      </c>
      <c r="G6" s="22">
        <v>0.75420015367682192</v>
      </c>
      <c r="H6" s="22">
        <v>0.84665545241210305</v>
      </c>
      <c r="I6" s="16">
        <v>0.72916666666666663</v>
      </c>
      <c r="J6" s="16">
        <f>I6+G6/24</f>
        <v>0.76059167306986752</v>
      </c>
      <c r="K6" s="2"/>
      <c r="L6" s="2"/>
    </row>
    <row r="7" spans="2:12">
      <c r="B7" s="6" t="s">
        <v>9</v>
      </c>
      <c r="C7" s="6" t="s">
        <v>37</v>
      </c>
      <c r="D7" s="6">
        <v>288</v>
      </c>
      <c r="E7" s="6" t="s">
        <v>23</v>
      </c>
      <c r="F7" s="24">
        <v>45576.778298611112</v>
      </c>
      <c r="G7" s="22">
        <v>2.428571428571427</v>
      </c>
      <c r="H7" s="22">
        <v>1.9523809523809526</v>
      </c>
      <c r="I7" s="16">
        <f>J6</f>
        <v>0.76059167306986752</v>
      </c>
      <c r="J7" s="16">
        <f>I7+G7/24</f>
        <v>0.86178214926034369</v>
      </c>
      <c r="K7" s="2"/>
      <c r="L7" s="2"/>
    </row>
    <row r="8" spans="2:12">
      <c r="B8" s="6" t="s">
        <v>38</v>
      </c>
      <c r="C8" s="6" t="s">
        <v>39</v>
      </c>
      <c r="D8" s="6">
        <v>20</v>
      </c>
      <c r="E8" s="6" t="s">
        <v>21</v>
      </c>
      <c r="F8" s="24" t="s">
        <v>22</v>
      </c>
      <c r="G8" s="22">
        <v>1.1428571428571426</v>
      </c>
      <c r="H8" s="22" t="s">
        <v>31</v>
      </c>
      <c r="I8" s="16">
        <f>J7</f>
        <v>0.86178214926034369</v>
      </c>
      <c r="J8" s="16">
        <f>I8+G8/24</f>
        <v>0.90940119687939125</v>
      </c>
      <c r="K8" s="2"/>
      <c r="L8" s="2"/>
    </row>
    <row r="9" spans="2:12">
      <c r="B9" s="6" t="s">
        <v>40</v>
      </c>
      <c r="C9" s="6" t="s">
        <v>41</v>
      </c>
      <c r="D9" s="6">
        <v>12</v>
      </c>
      <c r="E9" s="6" t="s">
        <v>21</v>
      </c>
      <c r="F9" s="24" t="s">
        <v>22</v>
      </c>
      <c r="G9" s="22">
        <v>0.85</v>
      </c>
      <c r="H9" s="22" t="s">
        <v>31</v>
      </c>
      <c r="I9" s="16">
        <f>J8</f>
        <v>0.90940119687939125</v>
      </c>
      <c r="J9" s="16">
        <f>I9+G9/24</f>
        <v>0.9448178635460579</v>
      </c>
      <c r="K9" s="2"/>
      <c r="L9" s="2"/>
    </row>
    <row r="10" spans="2:12">
      <c r="B10" s="6" t="s">
        <v>11</v>
      </c>
      <c r="C10" s="6" t="s">
        <v>42</v>
      </c>
      <c r="D10" s="6">
        <v>48</v>
      </c>
      <c r="E10" s="6" t="s">
        <v>23</v>
      </c>
      <c r="F10" s="24">
        <v>45576.850208333337</v>
      </c>
      <c r="G10" s="22">
        <v>0.67878561904761914</v>
      </c>
      <c r="H10" s="22">
        <v>0.66262704761904767</v>
      </c>
      <c r="I10" s="16">
        <f>J9</f>
        <v>0.9448178635460579</v>
      </c>
      <c r="J10" s="16">
        <f>I10+G10/24</f>
        <v>0.97310059767304202</v>
      </c>
      <c r="K10" s="2"/>
      <c r="L10" s="2"/>
    </row>
    <row r="11" spans="2:12">
      <c r="B11" s="6" t="s">
        <v>43</v>
      </c>
      <c r="C11" s="6" t="s">
        <v>44</v>
      </c>
      <c r="D11" s="6">
        <v>48</v>
      </c>
      <c r="E11" s="6" t="s">
        <v>21</v>
      </c>
      <c r="F11" s="24">
        <v>45576.919976851852</v>
      </c>
      <c r="G11" s="22">
        <v>1.2225957049486458</v>
      </c>
      <c r="H11" s="22">
        <v>1.2913165266106443</v>
      </c>
      <c r="I11" s="16">
        <f>J10</f>
        <v>0.97310059767304202</v>
      </c>
      <c r="J11" s="16">
        <f>I11+G11/24</f>
        <v>1.0240420853792356</v>
      </c>
      <c r="K11" s="2"/>
      <c r="L11" s="2"/>
    </row>
    <row r="12" spans="2:12">
      <c r="B12" s="6" t="s">
        <v>45</v>
      </c>
      <c r="C12" s="6" t="s">
        <v>46</v>
      </c>
      <c r="D12" s="6">
        <v>100</v>
      </c>
      <c r="E12" s="6" t="s">
        <v>21</v>
      </c>
      <c r="F12" s="24">
        <v>45576.982129629629</v>
      </c>
      <c r="G12" s="22">
        <v>0.70436507936507942</v>
      </c>
      <c r="H12" s="22">
        <v>0.56547619047619047</v>
      </c>
      <c r="I12" s="16">
        <f>J11</f>
        <v>1.0240420853792356</v>
      </c>
      <c r="J12" s="16">
        <f>I12+G12/24</f>
        <v>1.0533906303527805</v>
      </c>
      <c r="K12" s="2"/>
      <c r="L12" s="2"/>
    </row>
    <row r="13" spans="2:12">
      <c r="B13" s="6" t="s">
        <v>47</v>
      </c>
      <c r="C13" s="6" t="s">
        <v>48</v>
      </c>
      <c r="D13" s="6">
        <v>96</v>
      </c>
      <c r="E13" s="6" t="s">
        <v>21</v>
      </c>
      <c r="F13" s="24">
        <v>45576.781145833331</v>
      </c>
      <c r="G13" s="22">
        <v>0.50793650793650802</v>
      </c>
      <c r="H13" s="22" t="s">
        <v>31</v>
      </c>
      <c r="I13" s="16">
        <f>J12</f>
        <v>1.0533906303527805</v>
      </c>
      <c r="J13" s="16">
        <f>I13+G13/24</f>
        <v>1.0745546515168016</v>
      </c>
      <c r="K13" s="2"/>
      <c r="L13" s="2"/>
    </row>
    <row r="14" spans="2:12">
      <c r="B14" s="6" t="s">
        <v>49</v>
      </c>
      <c r="C14" s="6" t="s">
        <v>50</v>
      </c>
      <c r="D14" s="6">
        <v>200</v>
      </c>
      <c r="E14" s="6" t="s">
        <v>21</v>
      </c>
      <c r="F14" s="24">
        <v>45576.812881944446</v>
      </c>
      <c r="G14" s="22">
        <v>0.32379790310918294</v>
      </c>
      <c r="H14" s="22" t="s">
        <v>31</v>
      </c>
      <c r="I14" s="16">
        <f>J13</f>
        <v>1.0745546515168016</v>
      </c>
      <c r="J14" s="16">
        <f>I14+G14/24</f>
        <v>1.0880462308130177</v>
      </c>
      <c r="K14" s="2"/>
      <c r="L14" s="2"/>
    </row>
    <row r="15" spans="2:12">
      <c r="B15" s="6" t="s">
        <v>51</v>
      </c>
      <c r="C15" s="6" t="s">
        <v>52</v>
      </c>
      <c r="D15" s="6">
        <v>48</v>
      </c>
      <c r="E15" s="6" t="s">
        <v>21</v>
      </c>
      <c r="F15" s="24">
        <v>45576.862442129626</v>
      </c>
      <c r="G15" s="22">
        <v>0.46638655462184869</v>
      </c>
      <c r="H15" s="22" t="s">
        <v>31</v>
      </c>
      <c r="I15" s="16">
        <f>J14</f>
        <v>1.0880462308130177</v>
      </c>
      <c r="J15" s="16">
        <f>I15+G15/24</f>
        <v>1.1074790039222613</v>
      </c>
      <c r="K15" s="2"/>
      <c r="L15" s="2"/>
    </row>
    <row r="20" spans="2:12">
      <c r="I20" s="2"/>
    </row>
    <row r="21" spans="2:12">
      <c r="B21" s="6" t="s">
        <v>25</v>
      </c>
      <c r="C21" s="6" t="s">
        <v>26</v>
      </c>
      <c r="D21" s="6" t="s">
        <v>15</v>
      </c>
      <c r="E21" s="6" t="s">
        <v>16</v>
      </c>
      <c r="F21" s="24" t="s">
        <v>27</v>
      </c>
      <c r="G21" s="22" t="s">
        <v>28</v>
      </c>
      <c r="H21" s="22" t="s">
        <v>18</v>
      </c>
      <c r="I21" s="6" t="s">
        <v>29</v>
      </c>
      <c r="J21" s="6" t="s">
        <v>30</v>
      </c>
    </row>
    <row r="22" spans="2:12">
      <c r="B22" s="6" t="s">
        <v>53</v>
      </c>
      <c r="C22" s="6" t="s">
        <v>54</v>
      </c>
      <c r="D22" s="6">
        <v>48</v>
      </c>
      <c r="E22" s="6" t="s">
        <v>24</v>
      </c>
      <c r="F22" s="24" t="s">
        <v>22</v>
      </c>
      <c r="G22" s="22">
        <v>0.37202380952380959</v>
      </c>
      <c r="H22" s="22">
        <v>0.85</v>
      </c>
      <c r="I22" s="16">
        <v>0.72916666666666663</v>
      </c>
      <c r="J22" s="16">
        <f>I22+G22/24</f>
        <v>0.74466765873015872</v>
      </c>
      <c r="K22" s="2"/>
      <c r="L22" s="2"/>
    </row>
    <row r="23" spans="2:12">
      <c r="B23" s="6" t="s">
        <v>55</v>
      </c>
      <c r="C23" s="6" t="s">
        <v>56</v>
      </c>
      <c r="D23" s="6">
        <v>24</v>
      </c>
      <c r="E23" s="6" t="s">
        <v>24</v>
      </c>
      <c r="F23" s="24" t="s">
        <v>22</v>
      </c>
      <c r="G23" s="22">
        <v>0.8183150182857144</v>
      </c>
      <c r="H23" s="22">
        <v>0.85</v>
      </c>
      <c r="I23" s="16">
        <f>J22</f>
        <v>0.74466765873015872</v>
      </c>
      <c r="J23" s="16">
        <f>I23+G23/24</f>
        <v>0.77876411782539678</v>
      </c>
      <c r="K23" s="2"/>
      <c r="L23" s="2"/>
    </row>
    <row r="24" spans="2:12">
      <c r="B24" s="6" t="s">
        <v>8</v>
      </c>
      <c r="C24" s="6" t="s">
        <v>57</v>
      </c>
      <c r="D24" s="6">
        <v>60</v>
      </c>
      <c r="E24" s="6" t="s">
        <v>24</v>
      </c>
      <c r="F24" s="24">
        <v>45576.742245370369</v>
      </c>
      <c r="G24" s="22">
        <v>1.8286112596039952</v>
      </c>
      <c r="H24" s="22">
        <v>2.2697923545381169</v>
      </c>
      <c r="I24" s="16">
        <f>J23</f>
        <v>0.77876411782539678</v>
      </c>
      <c r="J24" s="16">
        <f>I24+G24/24</f>
        <v>0.85495625364222994</v>
      </c>
      <c r="K24" s="2"/>
      <c r="L24" s="2"/>
    </row>
    <row r="25" spans="2:12">
      <c r="B25" s="6" t="s">
        <v>58</v>
      </c>
      <c r="C25" s="6" t="s">
        <v>59</v>
      </c>
      <c r="D25" s="6">
        <v>72</v>
      </c>
      <c r="E25" s="6" t="s">
        <v>24</v>
      </c>
      <c r="F25" s="24" t="s">
        <v>22</v>
      </c>
      <c r="G25" s="22">
        <v>0.49999995238095235</v>
      </c>
      <c r="H25" s="22" t="s">
        <v>31</v>
      </c>
      <c r="I25" s="16">
        <f>J24</f>
        <v>0.85495625364222994</v>
      </c>
      <c r="J25" s="16">
        <f>I25+G25/24</f>
        <v>0.87578958499143633</v>
      </c>
      <c r="K25" s="2"/>
      <c r="L25" s="2"/>
    </row>
    <row r="26" spans="2:12">
      <c r="B26" s="6" t="s">
        <v>60</v>
      </c>
      <c r="C26" s="6" t="s">
        <v>61</v>
      </c>
      <c r="D26" s="6">
        <v>20</v>
      </c>
      <c r="E26" s="6" t="s">
        <v>24</v>
      </c>
      <c r="F26" s="24" t="s">
        <v>22</v>
      </c>
      <c r="G26" s="22">
        <v>0.85</v>
      </c>
      <c r="H26" s="22" t="s">
        <v>31</v>
      </c>
      <c r="I26" s="16">
        <f>J25</f>
        <v>0.87578958499143633</v>
      </c>
      <c r="J26" s="16">
        <f>I26+G26/24</f>
        <v>0.91120625165810298</v>
      </c>
      <c r="K26" s="2"/>
      <c r="L26" s="2"/>
    </row>
    <row r="27" spans="2:12">
      <c r="B27" s="6" t="s">
        <v>34</v>
      </c>
      <c r="C27" s="6" t="s">
        <v>62</v>
      </c>
      <c r="D27" s="6">
        <v>60</v>
      </c>
      <c r="E27" s="6" t="s">
        <v>24</v>
      </c>
      <c r="F27" s="24">
        <v>45576.927199074074</v>
      </c>
      <c r="G27" s="22">
        <v>1.1771000535045477</v>
      </c>
      <c r="H27" s="22">
        <v>1.1620117710005353</v>
      </c>
      <c r="I27" s="16">
        <f>J26</f>
        <v>0.91120625165810298</v>
      </c>
      <c r="J27" s="16">
        <f>I27+G27/24</f>
        <v>0.96025208722079247</v>
      </c>
      <c r="K27" s="2"/>
      <c r="L27" s="2"/>
    </row>
    <row r="28" spans="2:12">
      <c r="B28" s="6" t="s">
        <v>32</v>
      </c>
      <c r="C28" s="6" t="s">
        <v>63</v>
      </c>
      <c r="D28" s="6">
        <v>48</v>
      </c>
      <c r="E28" s="6" t="s">
        <v>24</v>
      </c>
      <c r="F28" s="24">
        <v>45576.766041666669</v>
      </c>
      <c r="G28" s="22">
        <v>0.26879181424635967</v>
      </c>
      <c r="H28" s="22" t="s">
        <v>31</v>
      </c>
      <c r="I28" s="16">
        <f>J27</f>
        <v>0.96025208722079247</v>
      </c>
      <c r="J28" s="16">
        <f>I28+G28/24</f>
        <v>0.97145174614772412</v>
      </c>
      <c r="K28" s="2"/>
      <c r="L28" s="2"/>
    </row>
    <row r="29" spans="2:12">
      <c r="B29" s="6" t="s">
        <v>33</v>
      </c>
      <c r="C29" s="6" t="s">
        <v>64</v>
      </c>
      <c r="D29" s="6">
        <v>60</v>
      </c>
      <c r="E29" s="6" t="s">
        <v>24</v>
      </c>
      <c r="F29" s="24">
        <v>45576.795787037037</v>
      </c>
      <c r="G29" s="22">
        <v>0.27796085959579803</v>
      </c>
      <c r="H29" s="22" t="s">
        <v>31</v>
      </c>
      <c r="I29" s="16">
        <f>J28</f>
        <v>0.97145174614772412</v>
      </c>
      <c r="J29" s="16">
        <f>I29+G29/24</f>
        <v>0.98303344863088238</v>
      </c>
      <c r="K29" s="2"/>
      <c r="L29" s="2"/>
    </row>
    <row r="30" spans="2:12">
      <c r="B30" s="6" t="s">
        <v>35</v>
      </c>
      <c r="C30" s="6" t="s">
        <v>65</v>
      </c>
      <c r="D30" s="6">
        <v>60</v>
      </c>
      <c r="E30" s="6" t="s">
        <v>24</v>
      </c>
      <c r="F30" s="24">
        <v>45576.863726851851</v>
      </c>
      <c r="G30" s="22">
        <v>0.52633281573498936</v>
      </c>
      <c r="H30" s="22" t="s">
        <v>31</v>
      </c>
      <c r="I30" s="16">
        <f>J29</f>
        <v>0.98303344863088238</v>
      </c>
      <c r="J30" s="16">
        <f>I30+G30/24</f>
        <v>1.0049639826198402</v>
      </c>
      <c r="K30" s="2"/>
      <c r="L30" s="2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B1:I24"/>
  <sheetViews>
    <sheetView workbookViewId="0">
      <selection activeCell="H12" sqref="H12:I12"/>
    </sheetView>
    <sheetView workbookViewId="1"/>
  </sheetViews>
  <sheetFormatPr defaultRowHeight="18.75"/>
  <cols>
    <col min="2" max="2" width="13.125" bestFit="1" customWidth="1"/>
    <col min="3" max="3" width="13" bestFit="1" customWidth="1"/>
    <col min="4" max="4" width="5.25" bestFit="1" customWidth="1"/>
    <col min="5" max="5" width="7.125" bestFit="1" customWidth="1"/>
    <col min="6" max="6" width="16.5" style="20" bestFit="1" customWidth="1"/>
    <col min="8" max="8" width="15.125" bestFit="1" customWidth="1"/>
    <col min="9" max="9" width="13" bestFit="1" customWidth="1"/>
  </cols>
  <sheetData>
    <row r="1" spans="2:9">
      <c r="F1" s="25"/>
      <c r="G1" s="23"/>
      <c r="H1" s="23"/>
    </row>
    <row r="2" spans="2:9">
      <c r="F2" s="25"/>
    </row>
    <row r="3" spans="2:9">
      <c r="F3" s="25"/>
      <c r="G3" s="21"/>
      <c r="H3" t="s">
        <v>12</v>
      </c>
    </row>
    <row r="4" spans="2:9">
      <c r="F4" s="25"/>
    </row>
    <row r="5" spans="2:9">
      <c r="F5" s="25"/>
    </row>
    <row r="6" spans="2:9">
      <c r="B6" s="6" t="s">
        <v>13</v>
      </c>
      <c r="C6" s="6" t="s">
        <v>14</v>
      </c>
      <c r="D6" s="6" t="s">
        <v>15</v>
      </c>
      <c r="E6" s="6" t="s">
        <v>16</v>
      </c>
      <c r="F6" s="26" t="s">
        <v>17</v>
      </c>
      <c r="G6" s="22" t="s">
        <v>18</v>
      </c>
      <c r="H6" s="6" t="s">
        <v>19</v>
      </c>
      <c r="I6" s="6" t="s">
        <v>20</v>
      </c>
    </row>
    <row r="7" spans="2:9">
      <c r="B7" s="6" t="s">
        <v>53</v>
      </c>
      <c r="C7" s="6" t="s">
        <v>54</v>
      </c>
      <c r="D7" s="6">
        <v>48</v>
      </c>
      <c r="E7" s="6" t="s">
        <v>24</v>
      </c>
      <c r="F7" s="26">
        <v>0.74466765873015872</v>
      </c>
      <c r="G7" s="22">
        <v>0.85</v>
      </c>
      <c r="H7" s="16">
        <v>0.72916666666666663</v>
      </c>
      <c r="I7" s="16">
        <f>H7+G7/24</f>
        <v>0.76458333333333328</v>
      </c>
    </row>
    <row r="8" spans="2:9">
      <c r="B8" s="6" t="s">
        <v>10</v>
      </c>
      <c r="C8" s="6" t="s">
        <v>36</v>
      </c>
      <c r="D8" s="6">
        <v>48</v>
      </c>
      <c r="E8" s="6" t="s">
        <v>23</v>
      </c>
      <c r="F8" s="26">
        <v>0.76059167306986752</v>
      </c>
      <c r="G8" s="22">
        <v>0.84665545241210305</v>
      </c>
      <c r="H8" s="16">
        <f>IF(I7-F8&lt;0,F8-I7+I7,I7)</f>
        <v>0.76458333333333328</v>
      </c>
      <c r="I8" s="16">
        <f>H8+G8/24</f>
        <v>0.79986064385050426</v>
      </c>
    </row>
    <row r="9" spans="2:9">
      <c r="B9" s="6" t="s">
        <v>55</v>
      </c>
      <c r="C9" s="6" t="s">
        <v>56</v>
      </c>
      <c r="D9" s="6">
        <v>24</v>
      </c>
      <c r="E9" s="6" t="s">
        <v>24</v>
      </c>
      <c r="F9" s="26">
        <v>0.77876411782539678</v>
      </c>
      <c r="G9" s="22">
        <v>0.85</v>
      </c>
      <c r="H9" s="16">
        <f>IF(I8-F9&lt;0,F9-I8+I8,I8)</f>
        <v>0.79986064385050426</v>
      </c>
      <c r="I9" s="16">
        <f>H9+G9/24</f>
        <v>0.83527731051717091</v>
      </c>
    </row>
    <row r="10" spans="2:9">
      <c r="B10" s="6" t="s">
        <v>8</v>
      </c>
      <c r="C10" s="6" t="s">
        <v>57</v>
      </c>
      <c r="D10" s="6">
        <v>60</v>
      </c>
      <c r="E10" s="6" t="s">
        <v>24</v>
      </c>
      <c r="F10" s="26">
        <v>0.85495625364222994</v>
      </c>
      <c r="G10" s="22">
        <v>2.2697923545381169</v>
      </c>
      <c r="H10" s="16">
        <f>IF(I9-F10&lt;0,F10-I9+I9,I9)</f>
        <v>0.85495625364222994</v>
      </c>
      <c r="I10" s="16">
        <f>H10+G10/24</f>
        <v>0.94953093508131814</v>
      </c>
    </row>
    <row r="11" spans="2:9">
      <c r="B11" s="6" t="s">
        <v>9</v>
      </c>
      <c r="C11" s="6" t="s">
        <v>37</v>
      </c>
      <c r="D11" s="6">
        <v>288</v>
      </c>
      <c r="E11" s="6" t="s">
        <v>23</v>
      </c>
      <c r="F11" s="26">
        <v>0.86178214926034369</v>
      </c>
      <c r="G11" s="22">
        <v>1.9523809523809526</v>
      </c>
      <c r="H11" s="16">
        <f>IF(I10-F11&lt;0,F11-I10+I10,I10)</f>
        <v>0.94953093508131814</v>
      </c>
      <c r="I11" s="16">
        <f>H11+G11/24</f>
        <v>1.0308801414305244</v>
      </c>
    </row>
    <row r="12" spans="2:9">
      <c r="B12" s="6" t="s">
        <v>34</v>
      </c>
      <c r="C12" s="6" t="s">
        <v>62</v>
      </c>
      <c r="D12" s="6">
        <v>60</v>
      </c>
      <c r="E12" s="6" t="s">
        <v>24</v>
      </c>
      <c r="F12" s="26">
        <v>0.96025208722079247</v>
      </c>
      <c r="G12" s="22">
        <v>1.1620117710005353</v>
      </c>
      <c r="H12" s="16">
        <f>IF(I11-F12&lt;0,F12-I11+I11,I11)</f>
        <v>1.0308801414305244</v>
      </c>
      <c r="I12" s="16">
        <f>H12+G12/24</f>
        <v>1.0792972985555467</v>
      </c>
    </row>
    <row r="13" spans="2:9">
      <c r="B13" s="6" t="s">
        <v>11</v>
      </c>
      <c r="C13" s="6" t="s">
        <v>42</v>
      </c>
      <c r="D13" s="6">
        <v>48</v>
      </c>
      <c r="E13" s="6" t="s">
        <v>23</v>
      </c>
      <c r="F13" s="26">
        <v>0.97310059767304202</v>
      </c>
      <c r="G13" s="22">
        <v>0.66262704761904767</v>
      </c>
      <c r="H13" s="16">
        <f>IF(I12-F13&lt;0,F13-I12+I12,I12)</f>
        <v>1.0792972985555467</v>
      </c>
      <c r="I13" s="16">
        <f>H13+G13/24</f>
        <v>1.106906758873007</v>
      </c>
    </row>
    <row r="14" spans="2:9">
      <c r="B14" s="6" t="s">
        <v>43</v>
      </c>
      <c r="C14" s="6" t="s">
        <v>44</v>
      </c>
      <c r="D14" s="6">
        <v>48</v>
      </c>
      <c r="E14" s="6" t="s">
        <v>21</v>
      </c>
      <c r="F14" s="26">
        <v>1.0240420853792356</v>
      </c>
      <c r="G14" s="22">
        <v>1.2913165266106443</v>
      </c>
      <c r="H14" s="16">
        <f>IF(I13-F14&lt;0,F14-I13+I13,I13)</f>
        <v>1.106906758873007</v>
      </c>
      <c r="I14" s="16">
        <f>H14+G14/24</f>
        <v>1.1607116141484506</v>
      </c>
    </row>
    <row r="15" spans="2:9">
      <c r="B15" s="6" t="s">
        <v>45</v>
      </c>
      <c r="C15" s="6" t="s">
        <v>46</v>
      </c>
      <c r="D15" s="6">
        <v>100</v>
      </c>
      <c r="E15" s="6" t="s">
        <v>21</v>
      </c>
      <c r="F15" s="26">
        <v>1.0533906303527805</v>
      </c>
      <c r="G15" s="22">
        <v>0.56547619047619047</v>
      </c>
      <c r="H15" s="16">
        <f>IF(I14-F15&lt;0,F15-I14+I14,I14)</f>
        <v>1.1607116141484506</v>
      </c>
      <c r="I15" s="16">
        <f>H15+G15/24</f>
        <v>1.1842731220849585</v>
      </c>
    </row>
    <row r="16" spans="2:9">
      <c r="F16" s="25"/>
      <c r="G16" s="23"/>
      <c r="H16" s="23"/>
    </row>
    <row r="17" spans="6:8">
      <c r="F17" s="25"/>
      <c r="G17" s="23"/>
      <c r="H17" s="23"/>
    </row>
    <row r="18" spans="6:8">
      <c r="F18" s="25"/>
      <c r="G18" s="23"/>
      <c r="H18" s="23"/>
    </row>
    <row r="19" spans="6:8">
      <c r="F19" s="25"/>
      <c r="G19" s="23"/>
      <c r="H19" s="23"/>
    </row>
    <row r="20" spans="6:8">
      <c r="F20" s="25"/>
      <c r="G20" s="23"/>
      <c r="H20" s="23"/>
    </row>
    <row r="21" spans="6:8">
      <c r="F21" s="25"/>
      <c r="G21" s="23"/>
      <c r="H21" s="23"/>
    </row>
    <row r="22" spans="6:8">
      <c r="F22" s="25"/>
      <c r="G22" s="23"/>
      <c r="H22" s="23"/>
    </row>
    <row r="23" spans="6:8">
      <c r="F23" s="25"/>
      <c r="G23" s="23"/>
      <c r="H23" s="23"/>
    </row>
    <row r="24" spans="6:8">
      <c r="F24" s="25"/>
      <c r="G24" s="23"/>
      <c r="H24" s="23"/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B6089C-DC21-4487-A7DE-E222667BF51D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7e61ba0-4c47-4710-ac4c-031e401f92bd"/>
    <ds:schemaRef ds:uri="http://purl.org/dc/terms/"/>
    <ds:schemaRef ds:uri="ea180fb7-6417-4417-bcc2-1a1988547c9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FC5D9CB-BF85-4E4B-AA0D-1250218572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2024-10-14T23:49:39Z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