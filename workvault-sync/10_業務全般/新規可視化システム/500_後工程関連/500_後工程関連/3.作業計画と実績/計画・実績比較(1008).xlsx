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04" documentId="8_{C3F2F3FD-B6DB-4C44-8515-5E9258687003}" xr6:coauthVersionLast="47" xr6:coauthVersionMax="47" xr10:uidLastSave="{F81D8D0F-3185-4713-AED4-51D0D3606E97}"/>
  <bookViews>
    <workbookView xWindow="20370" yWindow="-120" windowWidth="29040" windowHeight="15840" activeTab="2" xr2:uid="{D4E99A79-39B5-4714-8CFE-6838D0007EB9}"/>
  </bookViews>
  <sheets>
    <sheet name="AOI1号機" sheetId="1" r:id="rId1"/>
    <sheet name="AOI2号機" sheetId="3" r:id="rId2"/>
    <sheet name="目視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<sst xmlns="http://schemas.openxmlformats.org/spreadsheetml/2006/main" count="145" uniqueCount="44">
  <si>
    <t>作業ガントチャート</t>
    <rPh sb="0" eb="2">
      <t>サギョウ</t>
    </rPh>
    <phoneticPr fontId="3"/>
  </si>
  <si>
    <t>10/7 AOI</t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</si>
  <si>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</si>
  <si>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</si>
  <si>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</si>
  <si>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</si>
  <si>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</si>
  <si>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</si>
  <si>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</si>
  <si>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UR-0481-01</t>
  </si>
  <si>
    <t>UR-05091-03</t>
  </si>
  <si>
    <t>UR-0493</t>
  </si>
  <si>
    <t>UR-0480</t>
  </si>
  <si>
    <t>10/7 目視</t>
  </si>
  <si>
    <t>211977779</t>
  </si>
  <si>
    <t>URS-42144-02</t>
  </si>
  <si>
    <t>211971201</t>
  </si>
  <si>
    <t>UR-42143-02</t>
  </si>
  <si>
    <t>211977789</t>
  </si>
  <si>
    <t>211973425</t>
  </si>
  <si>
    <t>UR-06101-01</t>
  </si>
  <si>
    <t>211974056</t>
  </si>
  <si>
    <t>211974057</t>
  </si>
  <si>
    <t>UR-0483</t>
  </si>
  <si>
    <t>211977780</t>
  </si>
  <si>
    <t>URS-4215</t>
  </si>
  <si>
    <t>211977800</t>
  </si>
  <si>
    <t>UR-0559-05</t>
  </si>
  <si>
    <t>211977809</t>
  </si>
  <si>
    <t>UR-0591</t>
  </si>
  <si>
    <t>211977786</t>
  </si>
  <si>
    <t>211977782</t>
  </si>
  <si>
    <t>UR-0490</t>
  </si>
  <si>
    <t>211975042</t>
  </si>
  <si>
    <t>211977826</t>
  </si>
  <si>
    <t>UR-42952</t>
  </si>
  <si>
    <t>211977790</t>
  </si>
  <si>
    <t>計画</t>
    <rPh sb="0" eb="2">
      <t>ケイカク</t>
    </rPh>
    <phoneticPr fontId="2"/>
  </si>
  <si>
    <t>UR-4487</t>
  </si>
  <si>
    <t>211977794</t>
  </si>
  <si>
    <t>UR-0486</t>
  </si>
  <si>
    <t>211977781</t>
  </si>
  <si>
    <t>実績データなし</t>
    <rPh sb="0" eb="2">
      <t>ジッセキ</t>
    </rPh>
    <phoneticPr fontId="2"/>
  </si>
  <si>
    <t>実績</t>
    <rPh sb="0" eb="2">
      <t>ジッセキ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</si>
</sst>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</cellXfs>
  <cellStyles count="1">
    <cellStyle name="標準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opLeftCell="A11" zoomScale="70" zoomScaleNormal="70" workbookViewId="0">
      <selection activeCell="D23" sqref="D2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t="s">
        <v>1</v>
      </c>
      <c r="J1" s="2"/>
      <c r="K1" t="s">
        <v>2</v>
      </c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 t="s">
        <v>14</v>
      </c>
      <c r="D4" s="6" t="s">
        <v>37</v>
      </c>
      <c r="E4" s="8">
        <v>0.72916666666666663</v>
      </c>
      <c r="F4" s="9">
        <v>0.80535880248349978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 t="s">
        <v>9</v>
      </c>
      <c r="C5" s="6">
        <v>211977779</v>
      </c>
      <c r="D5" s="6" t="s">
        <v>43</v>
      </c>
      <c r="E5" s="7">
        <v>0.81067129629629631</v>
      </c>
      <c r="F5" s="7">
        <v>0.88115740740740744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15</v>
      </c>
      <c r="C7" s="6" t="s">
        <v>16</v>
      </c>
      <c r="D7" s="6" t="s">
        <v>37</v>
      </c>
      <c r="E7" s="7">
        <v>0.80535880248349978</v>
      </c>
      <c r="F7" s="7">
        <v>0.86218140887683392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15</v>
      </c>
      <c r="C8" s="6">
        <v>211971201</v>
      </c>
      <c r="D8" s="6" t="s">
        <v>43</v>
      </c>
      <c r="E8" s="7">
        <v>0.88181712962962966</v>
      </c>
      <c r="F8" s="7">
        <v>0.93693287037037032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15</v>
      </c>
      <c r="C9" s="6">
        <v>211971201</v>
      </c>
      <c r="D9" s="6" t="s">
        <v>43</v>
      </c>
      <c r="E9" s="7">
        <v>0.93709490740740742</v>
      </c>
      <c r="F9" s="7">
        <v>0.96250000000000002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17</v>
      </c>
      <c r="C10" s="6" t="s">
        <v>18</v>
      </c>
      <c r="D10" s="6" t="s">
        <v>37</v>
      </c>
      <c r="E10" s="7">
        <v>0.86218140887683392</v>
      </c>
      <c r="F10" s="7">
        <v>0.89607806777349286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42</v>
      </c>
      <c r="C11" s="6"/>
      <c r="D11" s="6"/>
      <c r="E11" s="16"/>
      <c r="F11" s="16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10</v>
      </c>
      <c r="C13" s="6" t="s">
        <v>19</v>
      </c>
      <c r="D13" s="6" t="s">
        <v>37</v>
      </c>
      <c r="E13" s="16">
        <v>0.89607806777349286</v>
      </c>
      <c r="F13" s="16">
        <v>0.99726854396396902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10</v>
      </c>
      <c r="C14" s="6">
        <v>211973425</v>
      </c>
      <c r="D14" s="6" t="s">
        <v>43</v>
      </c>
      <c r="E14" s="7">
        <v>0.72499999999999998</v>
      </c>
      <c r="F14" s="7">
        <v>0.76672453703703702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10</v>
      </c>
      <c r="C15" s="6">
        <v>211973425</v>
      </c>
      <c r="D15" s="6" t="s">
        <v>43</v>
      </c>
      <c r="E15" s="7">
        <v>0.76693287037037039</v>
      </c>
      <c r="F15" s="7">
        <v>0.80443287037037037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20</v>
      </c>
      <c r="C16" s="6" t="s">
        <v>21</v>
      </c>
      <c r="D16" s="6" t="s">
        <v>37</v>
      </c>
      <c r="E16" s="7">
        <v>1.0879878092539621</v>
      </c>
      <c r="F16" s="7">
        <v>1.119412815657163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20</v>
      </c>
      <c r="C17" s="6">
        <v>211974056</v>
      </c>
      <c r="D17" s="6" t="s">
        <v>43</v>
      </c>
      <c r="E17" s="7">
        <v>0.96310185185185182</v>
      </c>
      <c r="F17" s="7">
        <v>0.97638888888888886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20</v>
      </c>
      <c r="C18" s="6">
        <v>211974056</v>
      </c>
      <c r="D18" s="6" t="s">
        <v>43</v>
      </c>
      <c r="E18" s="7">
        <v>0.99049768518518522</v>
      </c>
      <c r="F18" s="7">
        <v>0.99412037037037038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20</v>
      </c>
      <c r="C19" s="6" t="s">
        <v>22</v>
      </c>
      <c r="D19" s="6" t="s">
        <v>37</v>
      </c>
      <c r="E19" s="7">
        <v>1.119412815657163</v>
      </c>
      <c r="F19" s="7">
        <v>1.1508378220603639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20</v>
      </c>
      <c r="C20" s="6">
        <v>211974057</v>
      </c>
      <c r="D20" s="6" t="s">
        <v>43</v>
      </c>
      <c r="E20" s="7">
        <v>6.134259259259259E-4</v>
      </c>
      <c r="F20" s="7">
        <v>1.1770833333333333E-2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 t="s">
        <v>20</v>
      </c>
      <c r="C21" s="6">
        <v>211974057</v>
      </c>
      <c r="D21" s="6" t="s">
        <v>43</v>
      </c>
      <c r="E21" s="7">
        <v>0.97672453703703699</v>
      </c>
      <c r="F21" s="7">
        <v>0.98769675925925926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23</v>
      </c>
      <c r="C22" s="6" t="s">
        <v>24</v>
      </c>
      <c r="D22" s="6" t="s">
        <v>37</v>
      </c>
      <c r="E22" s="7">
        <v>1.1508378220603639</v>
      </c>
      <c r="F22" s="7">
        <v>1.1998836576230534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23</v>
      </c>
      <c r="C23" s="6">
        <v>211977780</v>
      </c>
      <c r="D23" s="6" t="s">
        <v>43</v>
      </c>
      <c r="E23" s="7">
        <v>1.3321759259259259E-2</v>
      </c>
      <c r="F23" s="7">
        <v>3.5381944444444445E-2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 t="s">
        <v>25</v>
      </c>
      <c r="C25" s="6" t="s">
        <v>26</v>
      </c>
      <c r="D25" s="6" t="s">
        <v>37</v>
      </c>
      <c r="E25" s="7">
        <v>1.1998836576230534</v>
      </c>
      <c r="F25" s="7">
        <v>1.2175556152950111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 t="s">
        <v>42</v>
      </c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 t="s">
        <v>27</v>
      </c>
      <c r="C28" s="6" t="s">
        <v>28</v>
      </c>
      <c r="D28" s="6" t="s">
        <v>37</v>
      </c>
      <c r="E28" s="7">
        <v>1.2175556152950111</v>
      </c>
      <c r="F28" s="7">
        <v>1.2458383494219953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 t="s">
        <v>42</v>
      </c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 t="s">
        <v>29</v>
      </c>
      <c r="C31" s="6" t="s">
        <v>30</v>
      </c>
      <c r="D31" s="6" t="s">
        <v>37</v>
      </c>
      <c r="E31" s="7">
        <v>1.2458383494219953</v>
      </c>
      <c r="F31" s="7">
        <v>1.2958383494219954</v>
      </c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 t="s">
        <v>42</v>
      </c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 t="s">
        <v>11</v>
      </c>
      <c r="C34" s="6" t="s">
        <v>31</v>
      </c>
      <c r="D34" s="6" t="s">
        <v>37</v>
      </c>
      <c r="E34" s="8">
        <v>1.2958383494219954</v>
      </c>
      <c r="F34" s="9">
        <v>1.3074200519051535</v>
      </c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 t="s">
        <v>42</v>
      </c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 t="s">
        <v>32</v>
      </c>
      <c r="C37" s="6" t="s">
        <v>33</v>
      </c>
      <c r="D37" s="6" t="s">
        <v>37</v>
      </c>
      <c r="E37" s="7">
        <v>1.3074200519051535</v>
      </c>
      <c r="F37" s="7">
        <v>1.3462909032760049</v>
      </c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 t="s">
        <v>42</v>
      </c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 t="s">
        <v>12</v>
      </c>
      <c r="C40" s="6" t="s">
        <v>34</v>
      </c>
      <c r="D40" s="6" t="s">
        <v>37</v>
      </c>
      <c r="E40" s="7">
        <v>1.3462909032760049</v>
      </c>
      <c r="F40" s="7">
        <v>1.3682214372649628</v>
      </c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 t="s">
        <v>42</v>
      </c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 t="s">
        <v>35</v>
      </c>
      <c r="C43" s="6" t="s">
        <v>36</v>
      </c>
      <c r="D43" s="6" t="s">
        <v>37</v>
      </c>
      <c r="E43" s="7">
        <v>1.3682214372649628</v>
      </c>
      <c r="F43" s="7">
        <v>1.3888067547252803</v>
      </c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 t="s">
        <v>42</v>
      </c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C4 C7 C49:C52 C10:C13 C47 C22 C16 C19 C24:C44">
    <cfRule type="duplicateValues" dxfId="7" priority="1"/>
  </conditionalFormatting>
  <conditionalFormatting sqref="G4:DH134">
    <cfRule type="expression" dxfId="6" priority="4">
      <formula>AND($D4="計画", $E4 &lt;= F$3, F$3 &lt; $F4 + IF($F4 &lt; $E4, 1, 0))</formula>
    </cfRule>
  </conditionalFormatting>
  <conditionalFormatting sqref="H4:DH134">
    <cfRule type="expression" dxfId="5" priority="5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selection activeCell="B4" sqref="B4:F9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2</v>
      </c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4" priority="1">
      <formula>AND($D4="計画", $E4 &lt;= G$3, G$3 &lt; $F4 + IF($F4 &lt; $E4, 1, 0))</formula>
    </cfRule>
    <cfRule type="expression" dxfId="3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zoomScale="85" zoomScaleNormal="85" workbookViewId="0">
      <selection activeCell="D8" sqref="D8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t="s">
        <v>13</v>
      </c>
      <c r="J1" s="2"/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 x14ac:dyDescent="0.4">
      <c r="A4" s="6"/>
      <c r="B4" s="6" t="s">
        <v>38</v>
      </c>
      <c r="C4" s="6" t="s">
        <v>39</v>
      </c>
      <c r="D4" s="6" t="s">
        <v>37</v>
      </c>
      <c r="E4" s="8">
        <v>0.72916666666666663</v>
      </c>
      <c r="F4" s="9">
        <v>0.78687226923289644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 t="s">
        <v>38</v>
      </c>
      <c r="C5" s="6">
        <v>211977794</v>
      </c>
      <c r="D5" s="6" t="s">
        <v>43</v>
      </c>
      <c r="E5" s="7">
        <v>0.80033564814814817</v>
      </c>
      <c r="F5" s="7">
        <v>0.81974537037037032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40</v>
      </c>
      <c r="C6" s="6" t="s">
        <v>41</v>
      </c>
      <c r="D6" s="6" t="s">
        <v>37</v>
      </c>
      <c r="E6" s="7">
        <v>0.78687226923289644</v>
      </c>
      <c r="F6" s="7">
        <v>0.80508971817694641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40</v>
      </c>
      <c r="C7" s="6">
        <v>211977781</v>
      </c>
      <c r="D7" s="6" t="s">
        <v>43</v>
      </c>
      <c r="E7" s="7">
        <v>0.96799768518518514</v>
      </c>
      <c r="F7" s="7">
        <v>0.97438657407407403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9</v>
      </c>
      <c r="C8" s="6" t="s">
        <v>14</v>
      </c>
      <c r="D8" s="6" t="s">
        <v>37</v>
      </c>
      <c r="E8" s="7">
        <v>0.80535880248349978</v>
      </c>
      <c r="F8" s="7">
        <v>0.89993348392258798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9</v>
      </c>
      <c r="C9" s="6">
        <v>211977779</v>
      </c>
      <c r="D9" s="6" t="s">
        <v>43</v>
      </c>
      <c r="E9" s="7">
        <v>0.97466435185185185</v>
      </c>
      <c r="F9" s="7">
        <v>0.99767361111111108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15</v>
      </c>
      <c r="C10" s="6" t="s">
        <v>16</v>
      </c>
      <c r="D10" s="6" t="s">
        <v>37</v>
      </c>
      <c r="E10" s="7">
        <v>0.89993348392258798</v>
      </c>
      <c r="F10" s="7">
        <v>0.9397539228640408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42</v>
      </c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17</v>
      </c>
      <c r="C12" s="6" t="s">
        <v>18</v>
      </c>
      <c r="D12" s="6" t="s">
        <v>37</v>
      </c>
      <c r="E12" s="7">
        <v>0.9397539228640408</v>
      </c>
      <c r="F12" s="7">
        <v>0.95433656244668041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42</v>
      </c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10</v>
      </c>
      <c r="C14" s="6" t="s">
        <v>19</v>
      </c>
      <c r="D14" s="6" t="s">
        <v>37</v>
      </c>
      <c r="E14" s="7">
        <v>0.99726854396396902</v>
      </c>
      <c r="F14" s="7">
        <v>1.0786177503131753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10</v>
      </c>
      <c r="C15" s="6">
        <v>211973425</v>
      </c>
      <c r="D15" s="6" t="s">
        <v>43</v>
      </c>
      <c r="E15" s="7">
        <v>0.82151620370370371</v>
      </c>
      <c r="F15" s="7">
        <v>0.91098379629629633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20</v>
      </c>
      <c r="C16" s="6" t="s">
        <v>21</v>
      </c>
      <c r="D16" s="6" t="s">
        <v>37</v>
      </c>
      <c r="E16" s="7">
        <v>1.1330208288372676</v>
      </c>
      <c r="F16" s="7">
        <v>1.1682981393544385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20</v>
      </c>
      <c r="C17" s="6">
        <v>211974056</v>
      </c>
      <c r="D17" s="6" t="s">
        <v>43</v>
      </c>
      <c r="E17" s="7">
        <v>0.99961805555555561</v>
      </c>
      <c r="F17" s="7">
        <v>2.0185185185185184E-2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20</v>
      </c>
      <c r="C18" s="6" t="s">
        <v>22</v>
      </c>
      <c r="D18" s="6" t="s">
        <v>37</v>
      </c>
      <c r="E18" s="7">
        <v>1.1682981393544385</v>
      </c>
      <c r="F18" s="7">
        <v>1.2035754498716094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20</v>
      </c>
      <c r="C19" s="6">
        <v>211974057</v>
      </c>
      <c r="D19" s="6" t="s">
        <v>43</v>
      </c>
      <c r="E19" s="7">
        <v>2.0416666666666666E-2</v>
      </c>
      <c r="F19" s="7">
        <v>3.4664351851851849E-2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23</v>
      </c>
      <c r="C20" s="6" t="s">
        <v>24</v>
      </c>
      <c r="D20" s="6" t="s">
        <v>37</v>
      </c>
      <c r="E20" s="7">
        <v>1.2035754498716094</v>
      </c>
      <c r="F20" s="7">
        <v>1.2519926069966316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 t="s">
        <v>42</v>
      </c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25</v>
      </c>
      <c r="C22" s="6" t="s">
        <v>26</v>
      </c>
      <c r="D22" s="6" t="s">
        <v>37</v>
      </c>
      <c r="E22" s="7">
        <v>1.2519926069966316</v>
      </c>
      <c r="F22" s="7">
        <v>1.2640957815998062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42</v>
      </c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27</v>
      </c>
      <c r="C24" s="6" t="s">
        <v>28</v>
      </c>
      <c r="D24" s="6" t="s">
        <v>37</v>
      </c>
      <c r="E24" s="7">
        <v>1.2640957815998062</v>
      </c>
      <c r="F24" s="7">
        <v>1.2917052419172665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 t="s">
        <v>42</v>
      </c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G4:DH99">
    <cfRule type="expression" dxfId="2" priority="2">
      <formula>AND($D4="計画", $E4 &lt;= F$3, F$3 &lt; $F4 + IF($F4 &lt; $E4, 1, 0))</formula>
    </cfRule>
    <cfRule type="expression" dxfId="1" priority="3">
      <formula>AND($D4="実績", $E4 &lt;= F$3, F$3 &lt; $F4 + IF($F4 &lt; $E4, 1, 0))</formula>
    </cfRule>
  </conditionalFormatting>
  <conditionalFormatting sqref="C1:C4 C20:C1048576 C6 C16 C8 C10:C14 C18">
    <cfRule type="duplicateValues" dxfId="0" priority="1"/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3B1F83-E524-4B37-A95D-82BBAB31B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AOI1号機</vt:lpstr>
      <vt:lpstr>AOI2号機</vt:lpstr>
      <vt:lpstr>目視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2024-10-08T23:32:47Z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