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123" documentId="8_{4569E31F-98D1-4CFA-98DC-6BB35DA88104}" xr6:coauthVersionLast="47" xr6:coauthVersionMax="47" xr10:uidLastSave="{797717AE-ACEA-4403-B60F-13BA9F36A1F0}"/>
  <bookViews>
    <workbookView xWindow="20370" yWindow="-4650" windowWidth="29040" windowHeight="15840" xr2:uid="{66D40786-C3EF-4208-8AC5-A8E28D46B20B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6" l="1"/>
  <c r="I24" i="6" s="1"/>
  <c r="J24" i="6" s="1"/>
  <c r="I25" i="6" s="1"/>
  <c r="J25" i="6" s="1"/>
  <c r="I26" i="6" s="1"/>
  <c r="J26" i="6" s="1"/>
  <c r="J16" i="6"/>
  <c r="J6" i="6"/>
  <c r="I7" i="6" s="1"/>
  <c r="J7" i="6" s="1"/>
  <c r="I8" i="6" s="1"/>
  <c r="J8" i="6" s="1"/>
  <c r="I9" i="6" s="1"/>
  <c r="J9" i="6" s="1"/>
  <c r="H7" i="5"/>
  <c r="I7" i="5" s="1"/>
  <c r="H8" i="5" s="1"/>
  <c r="I8" i="5" s="1"/>
  <c r="H9" i="5" s="1"/>
  <c r="I9" i="5" s="1"/>
  <c r="H10" i="5" s="1"/>
  <c r="I10" i="5" s="1"/>
  <c r="H11" i="5" s="1"/>
  <c r="I11" i="5" s="1"/>
  <c r="H12" i="5" s="1"/>
  <c r="I12" i="5" s="1"/>
  <c r="H13" i="5" s="1"/>
  <c r="I13" i="5" s="1"/>
  <c r="H14" i="5" s="1"/>
  <c r="I14" i="5" s="1"/>
  <c r="H15" i="5" s="1"/>
  <c r="I15" i="5" s="1"/>
  <c r="H16" i="5" s="1"/>
  <c r="I16" i="5" s="1"/>
  <c r="I6" i="5"/>
</calcChain>
</file>

<file path=xl/sharedStrings.xml><?xml version="1.0" encoding="utf-8"?>
<sst xmlns="http://schemas.openxmlformats.org/spreadsheetml/2006/main" count="232" uniqueCount="71">
  <si>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</si>
  <si>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</si>
  <si>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</si>
  <si>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</si>
  <si>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</si>
  <si>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</si>
  <si>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</si>
  <si>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</si>
  <si>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UR-05091-03</t>
  </si>
  <si>
    <t>UR-06101-01</t>
  </si>
  <si>
    <t>←マスタ未登録</t>
    <rPh sb="4" eb="7">
      <t>ミ</t>
    </rPh>
    <phoneticPr fontId="2"/>
  </si>
  <si>
    <t>品目名</t>
    <rPh sb="0" eb="3">
      <t>ヒンモクメイ</t>
    </rPh>
    <phoneticPr fontId="2"/>
  </si>
  <si>
    <t>指図</t>
    <rPh sb="0" eb="2">
      <t>サシズ</t>
    </rPh>
    <phoneticPr fontId="2"/>
  </si>
  <si>
    <t>台数</t>
    <rPh sb="0" eb="2">
      <t>ダイスウ</t>
    </rPh>
    <phoneticPr fontId="2"/>
  </si>
  <si>
    <t>ライン</t>
    <phoneticPr fontId="2"/>
  </si>
  <si>
    <t>SMT終了予定時刻</t>
    <rPh sb="3" eb="7">
      <t>シュウリョウヨテイ</t>
    </rPh>
    <rPh sb="7" eb="9">
      <t>ジコク</t>
    </rPh>
    <phoneticPr fontId="2"/>
  </si>
  <si>
    <t>AOI工数</t>
    <rPh sb="3" eb="5">
      <t>コウスウ</t>
    </rPh>
    <phoneticPr fontId="9"/>
  </si>
  <si>
    <t>目視工数</t>
    <rPh sb="0" eb="2">
      <t>モクシ</t>
    </rPh>
    <rPh sb="2" eb="4">
      <t>コウスウ</t>
    </rPh>
    <phoneticPr fontId="9"/>
  </si>
  <si>
    <t>AOI作業開始予定時刻</t>
    <rPh sb="3" eb="5">
      <t>サギョウ</t>
    </rPh>
    <rPh sb="5" eb="7">
      <t>カイシ</t>
    </rPh>
    <rPh sb="7" eb="9">
      <t>ヨテイ</t>
    </rPh>
    <rPh sb="9" eb="11">
      <t>ジコク</t>
    </rPh>
    <phoneticPr fontId="2"/>
  </si>
  <si>
    <t>AOI作業終了予定時刻</t>
    <rPh sb="5" eb="7">
      <t>シュウリョウ</t>
    </rPh>
    <phoneticPr fontId="2"/>
  </si>
  <si>
    <t>Line-1</t>
  </si>
  <si>
    <t>仕掛</t>
    <rPh sb="0" eb="2">
      <t>シカカリ</t>
    </rPh>
    <phoneticPr fontId="2"/>
  </si>
  <si>
    <t>Line-3</t>
  </si>
  <si>
    <t>―</t>
  </si>
  <si>
    <t>Line-2</t>
  </si>
  <si>
    <t>TypeID</t>
  </si>
  <si>
    <t>orderNumber</t>
  </si>
  <si>
    <t>目視開始予定</t>
    <rPh sb="0" eb="2">
      <t>モクシ</t>
    </rPh>
    <rPh sb="2" eb="6">
      <t>カイシヨテイ</t>
    </rPh>
    <phoneticPr fontId="2"/>
  </si>
  <si>
    <t>目視終了予定</t>
    <rPh sb="0" eb="2">
      <t>モクシ</t>
    </rPh>
    <rPh sb="2" eb="4">
      <t>シュウリョウ</t>
    </rPh>
    <rPh sb="4" eb="6">
      <t>ヨテイ</t>
    </rPh>
    <phoneticPr fontId="2"/>
  </si>
  <si>
    <t>UR-0550</t>
  </si>
  <si>
    <t>UR-4461</t>
  </si>
  <si>
    <t>211982664</t>
  </si>
  <si>
    <t>UR-0511</t>
  </si>
  <si>
    <t>AOI終了予定時刻</t>
    <rPh sb="3" eb="5">
      <t>シュウリョウ</t>
    </rPh>
    <rPh sb="5" eb="9">
      <t>ヨテイジコク</t>
    </rPh>
    <phoneticPr fontId="9"/>
  </si>
  <si>
    <t>UR-0559-06</t>
  </si>
  <si>
    <t>211981792</t>
  </si>
  <si>
    <t>URS-0543</t>
  </si>
  <si>
    <t>211983188</t>
  </si>
  <si>
    <t>211983205</t>
  </si>
  <si>
    <t>UR-0488-01</t>
  </si>
  <si>
    <t>211981790</t>
  </si>
  <si>
    <t>UT-2508</t>
  </si>
  <si>
    <t>211983194</t>
  </si>
  <si>
    <t>UR-0519</t>
  </si>
  <si>
    <t>211983171</t>
  </si>
  <si>
    <t>211980559</t>
  </si>
  <si>
    <t>UR-42143-02</t>
  </si>
  <si>
    <t>211983168</t>
  </si>
  <si>
    <t>211980561</t>
  </si>
  <si>
    <t>UR-43014</t>
  </si>
  <si>
    <t>211983178</t>
  </si>
  <si>
    <t>実績</t>
  </si>
  <si>
    <t>URS-4215</t>
  </si>
  <si>
    <t>211983774</t>
  </si>
  <si>
    <t>UR-0541</t>
  </si>
  <si>
    <t>211983767</t>
  </si>
  <si>
    <t>UR-0608</t>
  </si>
  <si>
    <t>211983769</t>
  </si>
  <si>
    <t>UTS-0918</t>
  </si>
  <si>
    <t>211983777</t>
  </si>
  <si>
    <t>211983766</t>
  </si>
  <si>
    <t>211981793</t>
  </si>
  <si>
    <t>211983768</t>
  </si>
  <si>
    <t>211980560</t>
  </si>
  <si>
    <t>10/24 目視</t>
    <rPh sb="6" eb="8">
      <t>モクシ</t>
    </rPh>
    <phoneticPr fontId="2"/>
  </si>
  <si>
    <t>計画</t>
    <rPh sb="0" eb="2">
      <t>ケイカク</t>
    </rPh>
    <phoneticPr fontId="2"/>
  </si>
  <si>
    <t>計画外</t>
    <rPh sb="0" eb="3">
      <t>ケイカクガイ</t>
    </rPh>
    <phoneticPr fontId="2"/>
  </si>
  <si>
    <t>実績データなし</t>
    <rPh sb="0" eb="2">
      <t>ジッセキ</t>
    </rPh>
    <phoneticPr fontId="2"/>
  </si>
  <si>
    <t>実績</t>
    <rPh sb="0" eb="2">
      <t>ジッセキ</t>
    </rPh>
    <phoneticPr fontId="2"/>
  </si>
  <si>
    <t>１号機で計画</t>
    <rPh sb="1" eb="3">
      <t>ゴウキ</t>
    </rPh>
    <rPh sb="4" eb="6">
      <t>ケイカク</t>
    </rPh>
    <phoneticPr fontId="2"/>
  </si>
  <si>
    <t>3号機で計画</t>
    <rPh sb="1" eb="3">
      <t>ゴウキ</t>
    </rPh>
    <rPh sb="4" eb="6">
      <t>ケイカク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</si>
</sst>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10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2" borderId="0" xfId="0" applyNumberFormat="1" applyFill="1">
      <alignment vertical="center"/>
    </xf>
    <xf numFmtId="177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176" fontId="8" fillId="0" borderId="0" xfId="0" applyNumberFormat="1" applyFont="1">
      <alignment vertical="center"/>
    </xf>
    <xf numFmtId="0" fontId="0" fillId="3" borderId="1" xfId="0" applyFill="1" applyBorder="1">
      <alignment vertical="center"/>
    </xf>
    <xf numFmtId="176" fontId="8" fillId="0" borderId="1" xfId="0" applyNumberFormat="1" applyFont="1" applyBorder="1">
      <alignment vertical="center"/>
    </xf>
    <xf numFmtId="176" fontId="7" fillId="0" borderId="1" xfId="0" applyNumberFormat="1" applyFont="1" applyBorder="1">
      <alignment vertical="center"/>
    </xf>
    <xf numFmtId="0" fontId="0" fillId="0" borderId="1" xfId="0" applyFill="1" applyBorder="1">
      <alignment vertical="center"/>
    </xf>
    <xf numFmtId="20" fontId="0" fillId="0" borderId="1" xfId="0" applyNumberFormat="1" applyFill="1" applyBorder="1" applyAlignment="1">
      <alignment horizontal="center" vertical="center"/>
    </xf>
    <xf numFmtId="20" fontId="6" fillId="0" borderId="1" xfId="0" applyNumberFormat="1" applyFont="1" applyFill="1" applyBorder="1">
      <alignment vertical="center"/>
    </xf>
    <xf numFmtId="20" fontId="6" fillId="0" borderId="2" xfId="0" applyNumberFormat="1" applyFont="1" applyFill="1" applyBorder="1">
      <alignment vertical="center"/>
    </xf>
    <xf numFmtId="0" fontId="0" fillId="0" borderId="0" xfId="0" applyFill="1">
      <alignment vertical="center"/>
    </xf>
  </cellXfs>
  <cellStyles count="1">
    <cellStyle name="標準" xfId="0" builtinId="0"/>
  </cellStyles>
  <dxfs count="13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248478</xdr:colOff>
      <xdr:row>0</xdr:row>
      <xdr:rowOff>207065</xdr:rowOff>
    </xdr:from>
    <xdr:to>
      <xdr:col>6</xdr:col>
      <xdr:colOff>0</xdr:colOff>
      <xdr:row>3</xdr:row>
      <xdr:rowOff>66261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BCBDA29-494C-4CF2-811F-85F1A5EA6E5F}"/>
            </a:ext>
          </a:extLst>
        </xdr:cNvPr>
        <xdr:cNvSpPr txBox="1"/>
      </xdr:nvSpPr>
      <xdr:spPr>
        <a:xfrm>
          <a:off x="934278" y="207065"/>
          <a:ext cx="5095047" cy="5735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</a:t>
          </a:r>
          <a:r>
            <a:rPr kumimoji="1" lang="en-US" altLang="ja-JP" sz="2000" b="1" baseline="0"/>
            <a:t> 1</a:t>
          </a:r>
          <a:r>
            <a:rPr kumimoji="1" lang="ja-JP" altLang="en-US" sz="2000" b="1" baseline="0"/>
            <a:t>号機</a:t>
          </a:r>
          <a:r>
            <a:rPr kumimoji="1" lang="ja-JP" altLang="en-US" sz="2000" b="1"/>
            <a:t>作業計画</a:t>
          </a:r>
          <a:endParaRPr kumimoji="1" lang="en-US" altLang="ja-JP" sz="2000" b="1"/>
        </a:p>
      </xdr:txBody>
    </xdr:sp>
    <xdr:clientData/>
  </xdr:twoCellAnchor>
  <xdr:twoCellAnchor>
    <xdr:from>
      <xdr:col>1</xdr:col>
      <xdr:colOff>94422</xdr:colOff>
      <xdr:row>11</xdr:row>
      <xdr:rowOff>0</xdr:rowOff>
    </xdr:from>
    <xdr:to>
      <xdr:col>6</xdr:col>
      <xdr:colOff>0</xdr:colOff>
      <xdr:row>13</xdr:row>
      <xdr:rowOff>28161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F55FF790-72F8-468B-BD1B-CC7F22F04C4A}"/>
            </a:ext>
          </a:extLst>
        </xdr:cNvPr>
        <xdr:cNvSpPr txBox="1"/>
      </xdr:nvSpPr>
      <xdr:spPr>
        <a:xfrm>
          <a:off x="780222" y="2619375"/>
          <a:ext cx="5249103" cy="5044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AOI2</a:t>
          </a:r>
          <a:r>
            <a:rPr kumimoji="1" lang="ja-JP" altLang="en-US" sz="2000" b="1"/>
            <a:t>号機作業計画</a:t>
          </a:r>
          <a:endParaRPr kumimoji="1" lang="en-US" altLang="ja-JP" sz="2000" b="1"/>
        </a:p>
      </xdr:txBody>
    </xdr:sp>
    <xdr:clientData/>
  </xdr:twoCellAnchor>
  <xdr:twoCellAnchor>
    <xdr:from>
      <xdr:col>1</xdr:col>
      <xdr:colOff>94422</xdr:colOff>
      <xdr:row>18</xdr:row>
      <xdr:rowOff>0</xdr:rowOff>
    </xdr:from>
    <xdr:to>
      <xdr:col>6</xdr:col>
      <xdr:colOff>0</xdr:colOff>
      <xdr:row>20</xdr:row>
      <xdr:rowOff>28161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C6D2445C-38B5-4E59-87DB-64504C7B194F}"/>
            </a:ext>
          </a:extLst>
        </xdr:cNvPr>
        <xdr:cNvSpPr txBox="1"/>
      </xdr:nvSpPr>
      <xdr:spPr>
        <a:xfrm>
          <a:off x="780222" y="4286250"/>
          <a:ext cx="5249103" cy="5044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AOI3</a:t>
          </a:r>
          <a:r>
            <a:rPr kumimoji="1" lang="ja-JP" altLang="en-US" sz="2000" b="1"/>
            <a:t>号機作業計画</a:t>
          </a:r>
          <a:endParaRPr kumimoji="1" lang="en-US" altLang="ja-JP" sz="20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16565</xdr:colOff>
      <xdr:row>0</xdr:row>
      <xdr:rowOff>124240</xdr:rowOff>
    </xdr:from>
    <xdr:to>
      <xdr:col>5</xdr:col>
      <xdr:colOff>0</xdr:colOff>
      <xdr:row>2</xdr:row>
      <xdr:rowOff>223632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2F1A3E7D-F051-447F-B250-CC2293876E84}"/>
            </a:ext>
          </a:extLst>
        </xdr:cNvPr>
        <xdr:cNvSpPr txBox="1"/>
      </xdr:nvSpPr>
      <xdr:spPr>
        <a:xfrm>
          <a:off x="702365" y="6553615"/>
          <a:ext cx="3517210" cy="5756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目視作業計画</a:t>
          </a:r>
          <a:endParaRPr kumimoji="1" lang="en-US" altLang="ja-JP" sz="20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tabSelected="1" workbookViewId="0">
      <pane xSplit="6" ySplit="3" topLeftCell="BF4" activePane="bottomRight" state="frozen"/>
      <selection pane="topRight" activeCell="G1" sqref="G1"/>
      <selection pane="bottomLeft" activeCell="A4" sqref="A4"/>
      <selection pane="bottomRight" activeCell="G4" sqref="G4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32</v>
      </c>
      <c r="C4" s="6">
        <v>211983766</v>
      </c>
      <c r="D4" s="6" t="s">
        <v>68</v>
      </c>
      <c r="E4" s="7">
        <v>0.74820601851851853</v>
      </c>
      <c r="F4" s="7">
        <v>0.75089120370370366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28"/>
      <c r="C5" s="25" t="s">
        <v>70</v>
      </c>
      <c r="D5" s="28" t="s">
        <v>65</v>
      </c>
      <c r="E5" s="29">
        <v>0.75</v>
      </c>
      <c r="F5" s="29">
        <v>0.76041807591339516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 t="s">
        <v>34</v>
      </c>
      <c r="C6" s="6">
        <v>211983768</v>
      </c>
      <c r="D6" s="6" t="s">
        <v>68</v>
      </c>
      <c r="E6" s="7">
        <v>0.79269675925925931</v>
      </c>
      <c r="F6" s="7">
        <v>0.81136574074074075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 t="s">
        <v>68</v>
      </c>
      <c r="E7" s="7">
        <v>0.97644675925925928</v>
      </c>
      <c r="F7" s="7">
        <v>0.98591435185185183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28"/>
      <c r="C8" s="25" t="s">
        <v>70</v>
      </c>
      <c r="D8" s="28" t="s">
        <v>65</v>
      </c>
      <c r="E8" s="29">
        <v>0.79184308231659606</v>
      </c>
      <c r="F8" s="29">
        <v>0.82012581644358018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 t="s">
        <v>9</v>
      </c>
      <c r="C9" s="6">
        <v>211981793</v>
      </c>
      <c r="D9" s="6" t="s">
        <v>68</v>
      </c>
      <c r="E9" s="7">
        <v>0.81383101851851847</v>
      </c>
      <c r="F9" s="7">
        <v>0.85259259259259257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/>
      <c r="C10" s="6"/>
      <c r="D10" s="6" t="s">
        <v>68</v>
      </c>
      <c r="E10" s="7">
        <v>0.98604166666666671</v>
      </c>
      <c r="F10" s="7">
        <v>0.9943981481481482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28"/>
      <c r="C11" s="25" t="s">
        <v>70</v>
      </c>
      <c r="D11" s="28" t="s">
        <v>65</v>
      </c>
      <c r="E11" s="29">
        <v>0.76041807591339516</v>
      </c>
      <c r="F11" s="29">
        <v>0.79184308231659606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28"/>
      <c r="C12" s="28"/>
      <c r="D12" s="28"/>
      <c r="E12" s="29"/>
      <c r="F12" s="29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28"/>
      <c r="C13" s="28"/>
      <c r="D13" s="28"/>
      <c r="E13" s="29"/>
      <c r="F13" s="29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28"/>
      <c r="C14" s="28"/>
      <c r="D14" s="28"/>
      <c r="E14" s="29"/>
      <c r="F14" s="29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28"/>
      <c r="C15" s="28"/>
      <c r="D15" s="28"/>
      <c r="E15" s="29"/>
      <c r="F15" s="29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28"/>
      <c r="C16" s="28"/>
      <c r="D16" s="28"/>
      <c r="E16" s="29"/>
      <c r="F16" s="29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28"/>
      <c r="C17" s="28"/>
      <c r="D17" s="28"/>
      <c r="E17" s="29"/>
      <c r="F17" s="29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28"/>
      <c r="C18" s="28"/>
      <c r="D18" s="28"/>
      <c r="E18" s="29"/>
      <c r="F18" s="29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28"/>
      <c r="C19" s="28"/>
      <c r="D19" s="28"/>
      <c r="E19" s="29"/>
      <c r="F19" s="29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28"/>
      <c r="C20" s="28"/>
      <c r="D20" s="28"/>
      <c r="E20" s="29"/>
      <c r="F20" s="29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28"/>
      <c r="C21" s="28"/>
      <c r="D21" s="28"/>
      <c r="E21" s="29"/>
      <c r="F21" s="29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28"/>
      <c r="C22" s="28"/>
      <c r="D22" s="28"/>
      <c r="E22" s="29"/>
      <c r="F22" s="29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28"/>
      <c r="C23" s="28"/>
      <c r="D23" s="28"/>
      <c r="E23" s="29"/>
      <c r="F23" s="29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28"/>
      <c r="C24" s="28"/>
      <c r="D24" s="28"/>
      <c r="E24" s="29"/>
      <c r="F24" s="29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28"/>
      <c r="C25" s="28"/>
      <c r="D25" s="28"/>
      <c r="E25" s="29"/>
      <c r="F25" s="29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28"/>
      <c r="C26" s="28"/>
      <c r="D26" s="28"/>
      <c r="E26" s="29"/>
      <c r="F26" s="29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28"/>
      <c r="C27" s="28"/>
      <c r="D27" s="28"/>
      <c r="E27" s="29"/>
      <c r="F27" s="29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28"/>
      <c r="C28" s="28"/>
      <c r="D28" s="28"/>
      <c r="E28" s="29"/>
      <c r="F28" s="29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28"/>
      <c r="C29" s="28"/>
      <c r="D29" s="28"/>
      <c r="E29" s="29"/>
      <c r="F29" s="29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28"/>
      <c r="C30" s="28"/>
      <c r="D30" s="28"/>
      <c r="E30" s="30"/>
      <c r="F30" s="31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28"/>
      <c r="C31" s="28"/>
      <c r="D31" s="28"/>
      <c r="E31" s="29"/>
      <c r="F31" s="29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28"/>
      <c r="C32" s="28"/>
      <c r="D32" s="28"/>
      <c r="E32" s="30"/>
      <c r="F32" s="31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28"/>
      <c r="C33" s="28"/>
      <c r="D33" s="28"/>
      <c r="E33" s="29"/>
      <c r="F33" s="29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34">
    <cfRule type="expression" dxfId="12" priority="5">
      <formula>AND($D4="計画", $E4 &lt;= F$3, F$3 &lt; $F4 + IF($F4 &lt; $E4, 1, 0))</formula>
    </cfRule>
  </conditionalFormatting>
  <conditionalFormatting sqref="H4:DH134">
    <cfRule type="expression" dxfId="11" priority="6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dimension ref="A1:DH66"/>
  <sheetViews>
    <sheetView workbookViewId="0">
      <pane xSplit="6" ySplit="3" topLeftCell="BH4" activePane="bottomRight" state="frozen"/>
      <selection pane="topRight" activeCell="G1" sqref="G1"/>
      <selection pane="bottomLeft" activeCell="A4" sqref="A4"/>
      <selection pane="bottomRight" activeCell="G4" sqref="G4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52</v>
      </c>
      <c r="C4" s="6">
        <v>211983774</v>
      </c>
      <c r="D4" s="6" t="s">
        <v>68</v>
      </c>
      <c r="E4" s="7">
        <v>0.75552083333333331</v>
      </c>
      <c r="F4" s="7">
        <v>0.78781250000000003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25" t="s">
        <v>69</v>
      </c>
      <c r="D5" s="6" t="s">
        <v>65</v>
      </c>
      <c r="E5" s="7">
        <v>0.75</v>
      </c>
      <c r="F5" s="7">
        <v>0.76767195767195773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 t="s">
        <v>54</v>
      </c>
      <c r="C6" s="6">
        <v>211983767</v>
      </c>
      <c r="D6" s="6" t="s">
        <v>68</v>
      </c>
      <c r="E6" s="7">
        <v>0.9997800925925926</v>
      </c>
      <c r="F6" s="7">
        <v>0.99998842592592596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 t="s">
        <v>68</v>
      </c>
      <c r="E7" s="7">
        <v>1.5046296296296297E-4</v>
      </c>
      <c r="F7" s="7">
        <v>6.145833333333333E-3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25" t="s">
        <v>69</v>
      </c>
      <c r="D8" s="6" t="s">
        <v>65</v>
      </c>
      <c r="E8" s="7">
        <v>0.76767195767195773</v>
      </c>
      <c r="F8" s="7">
        <v>0.78260251322751329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 t="s">
        <v>56</v>
      </c>
      <c r="C9" s="6">
        <v>211983769</v>
      </c>
      <c r="D9" s="6" t="s">
        <v>68</v>
      </c>
      <c r="E9" s="7">
        <v>7.6967592592592591E-3</v>
      </c>
      <c r="F9" s="7">
        <v>7.8703703703703696E-3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/>
      <c r="C10" s="6"/>
      <c r="D10" s="6" t="s">
        <v>68</v>
      </c>
      <c r="E10" s="7">
        <v>8.0092592592592594E-3</v>
      </c>
      <c r="F10" s="7">
        <v>1.1747685185185186E-2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25" t="s">
        <v>69</v>
      </c>
      <c r="D11" s="6" t="s">
        <v>65</v>
      </c>
      <c r="E11" s="7">
        <v>0.78260251322751329</v>
      </c>
      <c r="F11" s="7">
        <v>0.79261615410052921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 t="s">
        <v>58</v>
      </c>
      <c r="C12" s="6">
        <v>211983777</v>
      </c>
      <c r="D12" s="6" t="s">
        <v>68</v>
      </c>
      <c r="E12" s="7">
        <v>1.1909722222222223E-2</v>
      </c>
      <c r="F12" s="7">
        <v>1.9652777777777779E-2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25" t="s">
        <v>69</v>
      </c>
      <c r="D13" s="6" t="s">
        <v>65</v>
      </c>
      <c r="E13" s="7">
        <v>0.79261615410052921</v>
      </c>
      <c r="F13" s="7">
        <v>0.80967964616402133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16"/>
      <c r="F18" s="16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C17">
    <cfRule type="duplicateValues" dxfId="10" priority="2"/>
  </conditionalFormatting>
  <conditionalFormatting sqref="C18">
    <cfRule type="duplicateValues" dxfId="9" priority="1"/>
  </conditionalFormatting>
  <conditionalFormatting sqref="H4:DH69">
    <cfRule type="expression" dxfId="8" priority="3">
      <formula>AND($D4="計画", $E4 &lt;= G$3, G$3 &lt; $F4 + IF($F4 &lt; $E4, 1, 0))</formula>
    </cfRule>
    <cfRule type="expression" dxfId="7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dimension ref="A1:DH66"/>
  <sheetViews>
    <sheetView workbookViewId="0">
      <pane xSplit="6" ySplit="3" topLeftCell="BH4" activePane="bottomRight" state="frozen"/>
      <selection pane="topRight" activeCell="G1" sqref="G1"/>
      <selection pane="bottomLeft" activeCell="A4" sqref="A4"/>
      <selection pane="bottomRight" activeCell="G4" sqref="G4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8</v>
      </c>
      <c r="C4" s="6">
        <v>211980561</v>
      </c>
      <c r="D4" s="6" t="s">
        <v>68</v>
      </c>
      <c r="E4" s="7">
        <v>0.73060185185185189</v>
      </c>
      <c r="F4" s="7">
        <v>0.74807870370370366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25" t="s">
        <v>66</v>
      </c>
      <c r="D5" s="6" t="s">
        <v>65</v>
      </c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 t="s">
        <v>8</v>
      </c>
      <c r="C6" s="6">
        <v>211980560</v>
      </c>
      <c r="D6" s="6" t="s">
        <v>68</v>
      </c>
      <c r="E6" s="7">
        <v>0.78571759259259255</v>
      </c>
      <c r="F6" s="7">
        <v>0.95289351851851856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 t="s">
        <v>68</v>
      </c>
      <c r="E7" s="7">
        <v>0.95336805555555559</v>
      </c>
      <c r="F7" s="7">
        <v>0.9743518518518518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 t="s">
        <v>65</v>
      </c>
      <c r="E8" s="7">
        <v>0.82012581644358018</v>
      </c>
      <c r="F8" s="7">
        <v>0.92131629263405634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/>
      <c r="E11" s="8"/>
      <c r="F11" s="9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6" priority="1">
      <formula>AND($D4="計画", $E4 &lt;= G$3, G$3 &lt; $F4 + IF($F4 &lt; $E4, 1, 0))</formula>
    </cfRule>
    <cfRule type="expression" dxfId="5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workbookViewId="0">
      <pane xSplit="6" ySplit="3" topLeftCell="BL4" activePane="bottomRight" state="frozen"/>
      <selection pane="topRight" activeCell="G1" sqref="G1"/>
      <selection pane="bottomLeft" activeCell="A4" sqref="A4"/>
      <selection pane="bottomRight" activeCell="D25" sqref="D25:D28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D1" t="s">
        <v>64</v>
      </c>
      <c r="J1" s="2"/>
    </row>
    <row r="2" spans="1:112">
      <c r="F2" s="2"/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>
      <c r="A4" s="6"/>
      <c r="B4" s="6" t="s">
        <v>29</v>
      </c>
      <c r="C4" s="6">
        <v>211982134</v>
      </c>
      <c r="D4" s="6" t="s">
        <v>51</v>
      </c>
      <c r="E4" s="7">
        <v>0.79866898148148147</v>
      </c>
      <c r="F4" s="7">
        <v>0.86422453703703705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25" t="s">
        <v>66</v>
      </c>
      <c r="D5" s="6" t="s">
        <v>65</v>
      </c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 t="s">
        <v>9</v>
      </c>
      <c r="C6" s="6">
        <v>211981792</v>
      </c>
      <c r="D6" s="6" t="s">
        <v>51</v>
      </c>
      <c r="E6" s="7">
        <v>0.8669675925925926</v>
      </c>
      <c r="F6" s="7">
        <v>0.88075231481481486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 t="s">
        <v>65</v>
      </c>
      <c r="E7" s="7">
        <v>0.75</v>
      </c>
      <c r="F7" s="7">
        <v>0.78527731051717098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 t="s">
        <v>34</v>
      </c>
      <c r="C8" s="6">
        <v>211983205</v>
      </c>
      <c r="D8" s="6" t="s">
        <v>51</v>
      </c>
      <c r="E8" s="7">
        <v>0.88206018518518514</v>
      </c>
      <c r="F8" s="7">
        <v>0.89819444444444441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 t="s">
        <v>65</v>
      </c>
      <c r="E9" s="7">
        <v>0.78527731051717098</v>
      </c>
      <c r="F9" s="7">
        <v>0.81288677083463134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36</v>
      </c>
      <c r="C10" s="6">
        <v>211983188</v>
      </c>
      <c r="D10" s="6" t="s">
        <v>51</v>
      </c>
      <c r="E10" s="7">
        <v>0.90148148148148144</v>
      </c>
      <c r="F10" s="7">
        <v>0.92584490740740744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65</v>
      </c>
      <c r="E11" s="7">
        <v>0.81288677083463134</v>
      </c>
      <c r="F11" s="7">
        <v>0.85852169146955193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 t="s">
        <v>39</v>
      </c>
      <c r="C12" s="6">
        <v>211981790</v>
      </c>
      <c r="D12" s="6" t="s">
        <v>51</v>
      </c>
      <c r="E12" s="7">
        <v>0.93730324074074078</v>
      </c>
      <c r="F12" s="7">
        <v>0.93746527777777777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 t="s">
        <v>65</v>
      </c>
      <c r="E13" s="7">
        <v>0.85852169146955193</v>
      </c>
      <c r="F13" s="7">
        <v>0.87975676952281179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 t="s">
        <v>43</v>
      </c>
      <c r="C14" s="6">
        <v>211983171</v>
      </c>
      <c r="D14" s="6" t="s">
        <v>51</v>
      </c>
      <c r="E14" s="7">
        <v>0.94699074074074074</v>
      </c>
      <c r="F14" s="7">
        <v>0.97302083333333333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 t="s">
        <v>65</v>
      </c>
      <c r="E15" s="7">
        <v>0.92737581714185946</v>
      </c>
      <c r="F15" s="7">
        <v>0.98483282772387004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 t="s">
        <v>8</v>
      </c>
      <c r="C16" s="6">
        <v>211980559</v>
      </c>
      <c r="D16" s="6" t="s">
        <v>51</v>
      </c>
      <c r="E16" s="7">
        <v>0.97633101851851856</v>
      </c>
      <c r="F16" s="7">
        <v>3.6319444444444446E-2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 t="s">
        <v>65</v>
      </c>
      <c r="E17" s="7">
        <v>0.98483282772387004</v>
      </c>
      <c r="F17" s="7">
        <v>1.0661820340730763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 t="s">
        <v>54</v>
      </c>
      <c r="C18" s="6">
        <v>211983767</v>
      </c>
      <c r="D18" s="6" t="s">
        <v>51</v>
      </c>
      <c r="E18" s="7">
        <v>2.8229166666666666E-2</v>
      </c>
      <c r="F18" s="7">
        <v>3.1041666666666665E-2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25" t="s">
        <v>66</v>
      </c>
      <c r="D19" s="6" t="s">
        <v>65</v>
      </c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 t="s">
        <v>56</v>
      </c>
      <c r="C20" s="6">
        <v>211983769</v>
      </c>
      <c r="D20" s="6" t="s">
        <v>51</v>
      </c>
      <c r="E20" s="7">
        <v>3.142361111111111E-2</v>
      </c>
      <c r="F20" s="7">
        <v>3.4432870370370371E-2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25" t="s">
        <v>66</v>
      </c>
      <c r="D21" s="6" t="s">
        <v>65</v>
      </c>
      <c r="E21" s="16"/>
      <c r="F21" s="16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 t="s">
        <v>67</v>
      </c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 t="s">
        <v>41</v>
      </c>
      <c r="C24" s="6" t="s">
        <v>42</v>
      </c>
      <c r="D24" s="6" t="s">
        <v>65</v>
      </c>
      <c r="E24" s="7">
        <v>0.87975676952281179</v>
      </c>
      <c r="F24" s="7">
        <v>0.92737581714185946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 t="s">
        <v>46</v>
      </c>
      <c r="C25" s="6" t="s">
        <v>47</v>
      </c>
      <c r="D25" s="6" t="s">
        <v>65</v>
      </c>
      <c r="E25" s="8">
        <v>1.0661820340730763</v>
      </c>
      <c r="F25" s="9">
        <v>1.0807646736557159</v>
      </c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 t="s">
        <v>8</v>
      </c>
      <c r="C26" s="6" t="s">
        <v>48</v>
      </c>
      <c r="D26" s="6" t="s">
        <v>65</v>
      </c>
      <c r="E26" s="8">
        <v>1.0807646736557159</v>
      </c>
      <c r="F26" s="9">
        <v>1.1621138800049222</v>
      </c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 t="s">
        <v>49</v>
      </c>
      <c r="C27" s="6" t="s">
        <v>50</v>
      </c>
      <c r="D27" s="6" t="s">
        <v>65</v>
      </c>
      <c r="E27" s="8">
        <v>1.1621138800049222</v>
      </c>
      <c r="F27" s="9">
        <v>1.1828920986998075</v>
      </c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 t="s">
        <v>30</v>
      </c>
      <c r="C28" s="6" t="s">
        <v>31</v>
      </c>
      <c r="D28" s="6" t="s">
        <v>65</v>
      </c>
      <c r="E28" s="7">
        <v>1.1828920986998075</v>
      </c>
      <c r="F28" s="7">
        <v>1.3809079717156805</v>
      </c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17"/>
      <c r="F29" s="18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7"/>
      <c r="F30" s="18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21 C7 C9 C11 C13 C23 C26:C1048576 C1:C3">
    <cfRule type="duplicateValues" dxfId="4" priority="3"/>
  </conditionalFormatting>
  <conditionalFormatting sqref="C24">
    <cfRule type="duplicateValues" dxfId="3" priority="2"/>
  </conditionalFormatting>
  <conditionalFormatting sqref="C25">
    <cfRule type="duplicateValues" dxfId="2" priority="1"/>
  </conditionalFormatting>
  <conditionalFormatting sqref="G4:DH99">
    <cfRule type="expression" dxfId="1" priority="4">
      <formula>AND($D4="計画", $E4 &lt;= F$3, F$3 &lt; $F4 + IF($F4 &lt; $E4, 1, 0))</formula>
    </cfRule>
    <cfRule type="expression" dxfId="0" priority="5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dimension ref="A2:J26"/>
  <sheetViews>
    <sheetView workbookViewId="0">
      <selection activeCell="I16" sqref="I16"/>
    </sheetView>
  </sheetViews>
  <sheetFormatPr defaultColWidth="9.25" defaultRowHeight="18.75"/>
  <cols>
    <col min="2" max="2" width="13.125" bestFit="1" customWidth="1"/>
    <col min="3" max="3" width="10.5" bestFit="1" customWidth="1"/>
    <col min="4" max="4" width="5.25" bestFit="1" customWidth="1"/>
    <col min="5" max="5" width="7.125" bestFit="1" customWidth="1"/>
    <col min="6" max="6" width="17.5" style="24" bestFit="1" customWidth="1"/>
    <col min="7" max="7" width="8.375" style="23" bestFit="1" customWidth="1"/>
    <col min="8" max="8" width="9" style="23" bestFit="1" customWidth="1"/>
    <col min="9" max="10" width="20.625" bestFit="1" customWidth="1"/>
  </cols>
  <sheetData>
    <row r="2" spans="1:10">
      <c r="H2" s="21"/>
      <c r="I2" t="s">
        <v>10</v>
      </c>
    </row>
    <row r="4" spans="1:10">
      <c r="I4" s="2"/>
      <c r="J4" s="2"/>
    </row>
    <row r="5" spans="1:10">
      <c r="B5" s="6" t="s">
        <v>11</v>
      </c>
      <c r="C5" s="6" t="s">
        <v>12</v>
      </c>
      <c r="D5" s="6" t="s">
        <v>13</v>
      </c>
      <c r="E5" s="6" t="s">
        <v>14</v>
      </c>
      <c r="F5" s="27" t="s">
        <v>15</v>
      </c>
      <c r="G5" s="22" t="s">
        <v>16</v>
      </c>
      <c r="H5" s="22" t="s">
        <v>17</v>
      </c>
      <c r="I5" s="6" t="s">
        <v>18</v>
      </c>
      <c r="J5" s="6" t="s">
        <v>19</v>
      </c>
    </row>
    <row r="6" spans="1:10">
      <c r="A6" s="32"/>
      <c r="B6" s="6" t="s">
        <v>52</v>
      </c>
      <c r="C6" s="6" t="s">
        <v>53</v>
      </c>
      <c r="D6" s="6">
        <v>240</v>
      </c>
      <c r="E6" s="6" t="s">
        <v>20</v>
      </c>
      <c r="F6" s="27" t="s">
        <v>21</v>
      </c>
      <c r="G6" s="22">
        <v>0.42412698412698413</v>
      </c>
      <c r="H6" s="22">
        <v>0.2904761904761905</v>
      </c>
      <c r="I6" s="16">
        <v>0.75</v>
      </c>
      <c r="J6" s="16">
        <f t="shared" ref="J6:J9" si="0">I6+G6/24</f>
        <v>0.76767195767195773</v>
      </c>
    </row>
    <row r="7" spans="1:10">
      <c r="A7" s="32"/>
      <c r="B7" s="6" t="s">
        <v>54</v>
      </c>
      <c r="C7" s="6" t="s">
        <v>55</v>
      </c>
      <c r="D7" s="6">
        <v>24</v>
      </c>
      <c r="E7" s="6" t="s">
        <v>20</v>
      </c>
      <c r="F7" s="27" t="s">
        <v>21</v>
      </c>
      <c r="G7" s="22">
        <v>0.35833333333333339</v>
      </c>
      <c r="H7" s="22">
        <v>0.43571428571428572</v>
      </c>
      <c r="I7" s="16">
        <f t="shared" ref="I7:I9" si="1">J6</f>
        <v>0.76767195767195773</v>
      </c>
      <c r="J7" s="16">
        <f t="shared" si="0"/>
        <v>0.78260251322751329</v>
      </c>
    </row>
    <row r="8" spans="1:10">
      <c r="A8" s="32"/>
      <c r="B8" s="6" t="s">
        <v>56</v>
      </c>
      <c r="C8" s="6" t="s">
        <v>57</v>
      </c>
      <c r="D8" s="6">
        <v>48</v>
      </c>
      <c r="E8" s="6" t="s">
        <v>20</v>
      </c>
      <c r="F8" s="27" t="s">
        <v>21</v>
      </c>
      <c r="G8" s="22">
        <v>0.24032738095238099</v>
      </c>
      <c r="H8" s="22" t="s">
        <v>23</v>
      </c>
      <c r="I8" s="16">
        <f t="shared" si="1"/>
        <v>0.78260251322751329</v>
      </c>
      <c r="J8" s="16">
        <f t="shared" si="0"/>
        <v>0.79261615410052921</v>
      </c>
    </row>
    <row r="9" spans="1:10">
      <c r="A9" s="32"/>
      <c r="B9" s="6" t="s">
        <v>58</v>
      </c>
      <c r="C9" s="6" t="s">
        <v>59</v>
      </c>
      <c r="D9" s="6">
        <v>12</v>
      </c>
      <c r="E9" s="6" t="s">
        <v>20</v>
      </c>
      <c r="F9" s="27" t="s">
        <v>21</v>
      </c>
      <c r="G9" s="22">
        <v>0.40952380952380957</v>
      </c>
      <c r="H9" s="22" t="s">
        <v>23</v>
      </c>
      <c r="I9" s="16">
        <f t="shared" si="1"/>
        <v>0.79261615410052921</v>
      </c>
      <c r="J9" s="16">
        <f t="shared" si="0"/>
        <v>0.80967964616402133</v>
      </c>
    </row>
    <row r="14" spans="1:10">
      <c r="I14" s="2"/>
    </row>
    <row r="15" spans="1:10">
      <c r="B15" s="6" t="s">
        <v>11</v>
      </c>
      <c r="C15" s="6" t="s">
        <v>12</v>
      </c>
      <c r="D15" s="6" t="s">
        <v>13</v>
      </c>
      <c r="E15" s="6" t="s">
        <v>14</v>
      </c>
      <c r="F15" s="27" t="s">
        <v>15</v>
      </c>
      <c r="G15" s="22" t="s">
        <v>16</v>
      </c>
      <c r="H15" s="22" t="s">
        <v>17</v>
      </c>
      <c r="I15" s="6" t="s">
        <v>18</v>
      </c>
      <c r="J15" s="6" t="s">
        <v>19</v>
      </c>
    </row>
    <row r="16" spans="1:10">
      <c r="B16" s="6"/>
      <c r="C16" s="6"/>
      <c r="D16" s="6"/>
      <c r="E16" s="6"/>
      <c r="F16" s="27"/>
      <c r="G16" s="22"/>
      <c r="H16" s="22"/>
      <c r="I16" s="16">
        <v>0.75</v>
      </c>
      <c r="J16" s="16">
        <f>I16+G16/24</f>
        <v>0.75</v>
      </c>
    </row>
    <row r="21" spans="1:10">
      <c r="I21" s="2"/>
    </row>
    <row r="22" spans="1:10">
      <c r="B22" s="6" t="s">
        <v>11</v>
      </c>
      <c r="C22" s="6" t="s">
        <v>12</v>
      </c>
      <c r="D22" s="6" t="s">
        <v>13</v>
      </c>
      <c r="E22" s="6" t="s">
        <v>14</v>
      </c>
      <c r="F22" s="27" t="s">
        <v>15</v>
      </c>
      <c r="G22" s="22" t="s">
        <v>16</v>
      </c>
      <c r="H22" s="22" t="s">
        <v>17</v>
      </c>
      <c r="I22" s="6" t="s">
        <v>18</v>
      </c>
      <c r="J22" s="6" t="s">
        <v>19</v>
      </c>
    </row>
    <row r="23" spans="1:10">
      <c r="A23" s="32"/>
      <c r="B23" s="6" t="s">
        <v>32</v>
      </c>
      <c r="C23" s="6" t="s">
        <v>60</v>
      </c>
      <c r="D23" s="6">
        <v>448</v>
      </c>
      <c r="E23" s="6" t="s">
        <v>22</v>
      </c>
      <c r="F23" s="27" t="s">
        <v>21</v>
      </c>
      <c r="G23" s="22">
        <v>0.25003382192148432</v>
      </c>
      <c r="H23" s="22">
        <v>0.27538584713378622</v>
      </c>
      <c r="I23" s="16">
        <v>0.75</v>
      </c>
      <c r="J23" s="16">
        <f>I23+G23/24</f>
        <v>0.76041807591339516</v>
      </c>
    </row>
    <row r="24" spans="1:10">
      <c r="A24" s="32"/>
      <c r="B24" s="6" t="s">
        <v>9</v>
      </c>
      <c r="C24" s="6" t="s">
        <v>61</v>
      </c>
      <c r="D24" s="6">
        <v>48</v>
      </c>
      <c r="E24" s="6" t="s">
        <v>22</v>
      </c>
      <c r="F24" s="27" t="s">
        <v>21</v>
      </c>
      <c r="G24" s="22">
        <v>0.75420015367682192</v>
      </c>
      <c r="H24" s="22">
        <v>0.84665545241210305</v>
      </c>
      <c r="I24" s="16">
        <f t="shared" ref="I24:I26" si="2">J23</f>
        <v>0.76041807591339516</v>
      </c>
      <c r="J24" s="16">
        <f t="shared" ref="J24:J26" si="3">I24+G24/24</f>
        <v>0.79184308231659606</v>
      </c>
    </row>
    <row r="25" spans="1:10">
      <c r="A25" s="32"/>
      <c r="B25" s="6" t="s">
        <v>34</v>
      </c>
      <c r="C25" s="6" t="s">
        <v>62</v>
      </c>
      <c r="D25" s="6">
        <v>48</v>
      </c>
      <c r="E25" s="6" t="s">
        <v>22</v>
      </c>
      <c r="F25" s="27" t="s">
        <v>21</v>
      </c>
      <c r="G25" s="22">
        <v>0.67878561904761914</v>
      </c>
      <c r="H25" s="22">
        <v>0.66262704761904767</v>
      </c>
      <c r="I25" s="16">
        <f t="shared" si="2"/>
        <v>0.79184308231659606</v>
      </c>
      <c r="J25" s="16">
        <f t="shared" si="3"/>
        <v>0.82012581644358018</v>
      </c>
    </row>
    <row r="26" spans="1:10">
      <c r="A26" s="32"/>
      <c r="B26" s="6" t="s">
        <v>8</v>
      </c>
      <c r="C26" s="6" t="s">
        <v>63</v>
      </c>
      <c r="D26" s="6">
        <v>288</v>
      </c>
      <c r="E26" s="6" t="s">
        <v>22</v>
      </c>
      <c r="F26" s="27">
        <v>45589.757754629631</v>
      </c>
      <c r="G26" s="22">
        <v>2.428571428571427</v>
      </c>
      <c r="H26" s="22">
        <v>1.9523809523809526</v>
      </c>
      <c r="I26" s="16">
        <f t="shared" si="2"/>
        <v>0.82012581644358018</v>
      </c>
      <c r="J26" s="16">
        <f t="shared" si="3"/>
        <v>0.92131629263405634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dimension ref="A1:I17"/>
  <sheetViews>
    <sheetView workbookViewId="0">
      <selection sqref="A1:XFD1048576"/>
    </sheetView>
  </sheetViews>
  <sheetFormatPr defaultColWidth="9.375" defaultRowHeight="18.75"/>
  <cols>
    <col min="2" max="2" width="13.125" bestFit="1" customWidth="1"/>
    <col min="3" max="3" width="13" bestFit="1" customWidth="1"/>
    <col min="4" max="4" width="5.25" bestFit="1" customWidth="1"/>
    <col min="5" max="5" width="7.125" bestFit="1" customWidth="1"/>
    <col min="6" max="6" width="16.5" style="20" bestFit="1" customWidth="1"/>
    <col min="7" max="7" width="9" bestFit="1" customWidth="1"/>
    <col min="8" max="8" width="15.125" bestFit="1" customWidth="1"/>
    <col min="9" max="9" width="13" bestFit="1" customWidth="1"/>
  </cols>
  <sheetData>
    <row r="1" spans="1:9">
      <c r="F1" s="24"/>
    </row>
    <row r="2" spans="1:9">
      <c r="F2" s="24"/>
      <c r="G2" s="21"/>
      <c r="H2" t="s">
        <v>10</v>
      </c>
    </row>
    <row r="3" spans="1:9">
      <c r="F3" s="24"/>
    </row>
    <row r="4" spans="1:9">
      <c r="F4" s="24"/>
    </row>
    <row r="5" spans="1:9">
      <c r="B5" s="6" t="s">
        <v>25</v>
      </c>
      <c r="C5" s="6" t="s">
        <v>26</v>
      </c>
      <c r="D5" s="6" t="s">
        <v>13</v>
      </c>
      <c r="E5" s="6" t="s">
        <v>14</v>
      </c>
      <c r="F5" s="26" t="s">
        <v>33</v>
      </c>
      <c r="G5" s="22" t="s">
        <v>17</v>
      </c>
      <c r="H5" s="6" t="s">
        <v>27</v>
      </c>
      <c r="I5" s="6" t="s">
        <v>28</v>
      </c>
    </row>
    <row r="6" spans="1:9">
      <c r="A6" s="32"/>
      <c r="B6" s="6" t="s">
        <v>9</v>
      </c>
      <c r="C6" s="6" t="s">
        <v>35</v>
      </c>
      <c r="D6" s="6">
        <v>48</v>
      </c>
      <c r="E6" s="6" t="s">
        <v>22</v>
      </c>
      <c r="F6" s="27" t="s">
        <v>21</v>
      </c>
      <c r="G6" s="22">
        <v>0.84665545241210305</v>
      </c>
      <c r="H6" s="16">
        <v>0.75</v>
      </c>
      <c r="I6" s="16">
        <f>H6+G6/24</f>
        <v>0.78527731051717098</v>
      </c>
    </row>
    <row r="7" spans="1:9">
      <c r="A7" s="32"/>
      <c r="B7" s="6" t="s">
        <v>34</v>
      </c>
      <c r="C7" s="6" t="s">
        <v>38</v>
      </c>
      <c r="D7" s="6">
        <v>48</v>
      </c>
      <c r="E7" s="6" t="s">
        <v>22</v>
      </c>
      <c r="F7" s="27" t="s">
        <v>21</v>
      </c>
      <c r="G7" s="22">
        <v>0.66262704761904767</v>
      </c>
      <c r="H7" s="16">
        <f>I6</f>
        <v>0.78527731051717098</v>
      </c>
      <c r="I7" s="16">
        <f>H7+G7/24</f>
        <v>0.81288677083463134</v>
      </c>
    </row>
    <row r="8" spans="1:9">
      <c r="A8" s="32"/>
      <c r="B8" s="6" t="s">
        <v>36</v>
      </c>
      <c r="C8" s="6" t="s">
        <v>37</v>
      </c>
      <c r="D8" s="6">
        <v>24</v>
      </c>
      <c r="E8" s="6" t="s">
        <v>20</v>
      </c>
      <c r="F8" s="27" t="s">
        <v>21</v>
      </c>
      <c r="G8" s="22">
        <v>1.0952380952380953</v>
      </c>
      <c r="H8" s="16">
        <f>I7</f>
        <v>0.81288677083463134</v>
      </c>
      <c r="I8" s="16">
        <f t="shared" ref="I8:I16" si="0">H8+G8/24</f>
        <v>0.85852169146955193</v>
      </c>
    </row>
    <row r="9" spans="1:9">
      <c r="A9" s="32"/>
      <c r="B9" s="6" t="s">
        <v>39</v>
      </c>
      <c r="C9" s="6" t="s">
        <v>40</v>
      </c>
      <c r="D9" s="6">
        <v>60</v>
      </c>
      <c r="E9" s="6" t="s">
        <v>24</v>
      </c>
      <c r="F9" s="27" t="s">
        <v>21</v>
      </c>
      <c r="G9" s="22">
        <v>0.50964187327823696</v>
      </c>
      <c r="H9" s="16">
        <f>I8</f>
        <v>0.85852169146955193</v>
      </c>
      <c r="I9" s="16">
        <f t="shared" si="0"/>
        <v>0.87975676952281179</v>
      </c>
    </row>
    <row r="10" spans="1:9">
      <c r="A10" s="32"/>
      <c r="B10" s="6" t="s">
        <v>41</v>
      </c>
      <c r="C10" s="6" t="s">
        <v>42</v>
      </c>
      <c r="D10" s="6">
        <v>48</v>
      </c>
      <c r="E10" s="6" t="s">
        <v>20</v>
      </c>
      <c r="F10" s="27" t="s">
        <v>21</v>
      </c>
      <c r="G10" s="22">
        <v>1.142857142857143</v>
      </c>
      <c r="H10" s="16">
        <f>I9</f>
        <v>0.87975676952281179</v>
      </c>
      <c r="I10" s="16">
        <f t="shared" si="0"/>
        <v>0.92737581714185946</v>
      </c>
    </row>
    <row r="11" spans="1:9">
      <c r="A11" s="32"/>
      <c r="B11" s="6" t="s">
        <v>43</v>
      </c>
      <c r="C11" s="6" t="s">
        <v>44</v>
      </c>
      <c r="D11" s="6">
        <v>48</v>
      </c>
      <c r="E11" s="6" t="s">
        <v>20</v>
      </c>
      <c r="F11" s="27" t="s">
        <v>21</v>
      </c>
      <c r="G11" s="22">
        <v>1.3789682539682542</v>
      </c>
      <c r="H11" s="16">
        <f t="shared" ref="H11:H16" si="1">I10</f>
        <v>0.92737581714185946</v>
      </c>
      <c r="I11" s="16">
        <f t="shared" si="0"/>
        <v>0.98483282772387004</v>
      </c>
    </row>
    <row r="12" spans="1:9">
      <c r="A12" s="32"/>
      <c r="B12" s="6" t="s">
        <v>8</v>
      </c>
      <c r="C12" s="6" t="s">
        <v>45</v>
      </c>
      <c r="D12" s="6">
        <v>288</v>
      </c>
      <c r="E12" s="6" t="s">
        <v>22</v>
      </c>
      <c r="F12" s="27" t="s">
        <v>21</v>
      </c>
      <c r="G12" s="22">
        <v>1.9523809523809526</v>
      </c>
      <c r="H12" s="16">
        <f t="shared" si="1"/>
        <v>0.98483282772387004</v>
      </c>
      <c r="I12" s="16">
        <f t="shared" si="0"/>
        <v>1.0661820340730763</v>
      </c>
    </row>
    <row r="13" spans="1:9">
      <c r="B13" s="6" t="s">
        <v>46</v>
      </c>
      <c r="C13" s="6" t="s">
        <v>47</v>
      </c>
      <c r="D13" s="6">
        <v>48</v>
      </c>
      <c r="E13" s="6" t="s">
        <v>20</v>
      </c>
      <c r="F13" s="27" t="s">
        <v>21</v>
      </c>
      <c r="G13" s="22">
        <v>0.34998334998335007</v>
      </c>
      <c r="H13" s="16">
        <f t="shared" si="1"/>
        <v>1.0661820340730763</v>
      </c>
      <c r="I13" s="16">
        <f t="shared" si="0"/>
        <v>1.0807646736557159</v>
      </c>
    </row>
    <row r="14" spans="1:9">
      <c r="B14" s="6" t="s">
        <v>8</v>
      </c>
      <c r="C14" s="6" t="s">
        <v>48</v>
      </c>
      <c r="D14" s="6">
        <v>288</v>
      </c>
      <c r="E14" s="6" t="s">
        <v>22</v>
      </c>
      <c r="F14" s="27" t="s">
        <v>21</v>
      </c>
      <c r="G14" s="22">
        <v>1.9523809523809526</v>
      </c>
      <c r="H14" s="16">
        <f t="shared" si="1"/>
        <v>1.0807646736557159</v>
      </c>
      <c r="I14" s="16">
        <f t="shared" si="0"/>
        <v>1.1621138800049222</v>
      </c>
    </row>
    <row r="15" spans="1:9">
      <c r="B15" s="6" t="s">
        <v>49</v>
      </c>
      <c r="C15" s="6" t="s">
        <v>50</v>
      </c>
      <c r="D15" s="6">
        <v>96</v>
      </c>
      <c r="E15" s="6" t="s">
        <v>20</v>
      </c>
      <c r="F15" s="27" t="s">
        <v>21</v>
      </c>
      <c r="G15" s="22">
        <v>0.49867724867724872</v>
      </c>
      <c r="H15" s="16">
        <f t="shared" si="1"/>
        <v>1.1621138800049222</v>
      </c>
      <c r="I15" s="16">
        <f t="shared" si="0"/>
        <v>1.1828920986998075</v>
      </c>
    </row>
    <row r="16" spans="1:9">
      <c r="B16" s="6" t="s">
        <v>30</v>
      </c>
      <c r="C16" s="6" t="s">
        <v>31</v>
      </c>
      <c r="D16" s="6">
        <v>192</v>
      </c>
      <c r="E16" s="16" t="s">
        <v>20</v>
      </c>
      <c r="F16" s="27" t="s">
        <v>21</v>
      </c>
      <c r="G16" s="22">
        <v>4.7523809523809533</v>
      </c>
      <c r="H16" s="16">
        <f t="shared" si="1"/>
        <v>1.1828920986998075</v>
      </c>
      <c r="I16" s="16">
        <f t="shared" si="0"/>
        <v>1.3809079717156805</v>
      </c>
    </row>
    <row r="17" spans="6:8">
      <c r="F17" s="24"/>
      <c r="G17" s="23"/>
      <c r="H17" s="23"/>
    </row>
  </sheetData>
  <phoneticPr fontId="2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B6089C-DC21-4487-A7DE-E222667BF51D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a7e61ba0-4c47-4710-ac4c-031e401f92bd"/>
    <ds:schemaRef ds:uri="ea180fb7-6417-4417-bcc2-1a1988547c9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16378BE-A16D-4BA1-8FC0-97C63990362A}"/>
</file>

<file path=customXml/itemProps3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2024-10-24T23:34:09Z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