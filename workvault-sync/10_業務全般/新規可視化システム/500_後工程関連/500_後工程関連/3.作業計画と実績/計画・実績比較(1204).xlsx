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30" documentId="8_{9C4FE3E1-FA08-4091-8ED8-91CC65C24215}" xr6:coauthVersionLast="47" xr6:coauthVersionMax="47" xr10:uidLastSave="{CA9A9FF5-76DA-4028-BA17-8BF2E25C35CC}"/>
  <bookViews>
    <workbookView xWindow="20370" yWindow="-4650" windowWidth="29040" windowHeight="15840" firstSheet="2" activeTab="2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<sst xmlns="http://schemas.openxmlformats.org/spreadsheetml/2006/main" count="90" uniqueCount="31">
  <si>
    <t>作業ガントチャート</t>
    <rPh sb="0" eb="2">
      <t>サギョウ</t>
    </rPh>
    <phoneticPr fontId="3"/>
  </si>
  <si>
    <t xml:space="preserve"> </t>
    <phoneticPr fontId="2"/>
  </si>
  <si>
    <t>＊計画データ作成改修中（実績データのみ）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</si>
  <si>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</si>
  <si>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</si>
  <si>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</si>
  <si>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</si>
  <si>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</si>
  <si>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</si>
  <si>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UR-0541</t>
  </si>
  <si>
    <t>実績</t>
  </si>
  <si>
    <t>URS-4343</t>
  </si>
  <si>
    <t>UR-44831</t>
  </si>
  <si>
    <t>UTS-2471</t>
  </si>
  <si>
    <t>UT-2507-01</t>
  </si>
  <si>
    <t>UR-4329-03</t>
  </si>
  <si>
    <t>UR-06101-01</t>
  </si>
  <si>
    <t>UR-0559-06</t>
  </si>
  <si>
    <t>UR-0493</t>
  </si>
  <si>
    <t>UR-0488-01</t>
  </si>
  <si>
    <t>UR-0489</t>
  </si>
  <si>
    <t>UR-0486</t>
  </si>
  <si>
    <t>UR-0475</t>
  </si>
  <si>
    <t>UR-0505</t>
  </si>
  <si>
    <t>UR-0476</t>
  </si>
  <si>
    <t>UR-0483</t>
  </si>
  <si>
    <t>UR-0480</t>
  </si>
  <si>
    <t>UR-05091-03</t>
  </si>
  <si>
    <t>実績</t>
    <rPh sb="0" eb="2">
      <t>ジッセキ</t>
    </rPh>
    <phoneticPr fontId="2"/>
  </si>
  <si>
    <t>UR-0598</t>
  </si>
  <si>
    <t>UR-0481-01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</si>
</sst>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workbookViewId="0">
      <pane xSplit="6" ySplit="3" topLeftCell="BI4" activePane="bottomRight" state="frozen"/>
      <selection pane="bottomRight" activeCell="CF18" sqref="CF18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D1" s="23"/>
      <c r="J1" s="2"/>
      <c r="K1" t="s">
        <v>1</v>
      </c>
    </row>
    <row r="2" spans="1:112">
      <c r="B2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9</v>
      </c>
      <c r="C4" s="6">
        <v>211998383</v>
      </c>
      <c r="D4" s="6" t="s">
        <v>10</v>
      </c>
      <c r="E4" s="7">
        <v>0.91716435185185186</v>
      </c>
      <c r="F4" s="7">
        <v>0.91729166666666662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10</v>
      </c>
      <c r="E5" s="7">
        <v>0.9174768518518519</v>
      </c>
      <c r="F5" s="7">
        <v>0.92130787037037032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11</v>
      </c>
      <c r="C7" s="6">
        <v>211998401</v>
      </c>
      <c r="D7" s="6" t="s">
        <v>10</v>
      </c>
      <c r="E7" s="7">
        <v>0.97760416666666672</v>
      </c>
      <c r="F7" s="7">
        <v>0.97846064814814815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12</v>
      </c>
      <c r="C9" s="6">
        <v>211993782</v>
      </c>
      <c r="D9" s="6" t="s">
        <v>10</v>
      </c>
      <c r="E9" s="7">
        <v>0.98012731481481485</v>
      </c>
      <c r="F9" s="7">
        <v>0.98024305555555558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 t="s">
        <v>10</v>
      </c>
      <c r="E10" s="7">
        <v>0.98038194444444449</v>
      </c>
      <c r="F10" s="7">
        <v>0.98442129629629627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13</v>
      </c>
      <c r="C12" s="6">
        <v>211998417</v>
      </c>
      <c r="D12" s="6" t="s">
        <v>10</v>
      </c>
      <c r="E12" s="7">
        <v>0.98456018518518518</v>
      </c>
      <c r="F12" s="7">
        <v>0.98464120370370367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 t="s">
        <v>10</v>
      </c>
      <c r="E13" s="7">
        <v>0.98475694444444439</v>
      </c>
      <c r="F13" s="7">
        <v>0.98971064814814813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14</v>
      </c>
      <c r="C15" s="6">
        <v>211998411</v>
      </c>
      <c r="D15" s="6" t="s">
        <v>10</v>
      </c>
      <c r="E15" s="7">
        <v>7.037037037037037E-3</v>
      </c>
      <c r="F15" s="7">
        <v>7.1180555555555554E-3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 t="s">
        <v>10</v>
      </c>
      <c r="E16" s="7">
        <v>7.2337962962962963E-3</v>
      </c>
      <c r="F16" s="7">
        <v>1.0405092592592593E-2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15</v>
      </c>
      <c r="C18" s="6">
        <v>211998387</v>
      </c>
      <c r="D18" s="6" t="s">
        <v>10</v>
      </c>
      <c r="E18" s="7">
        <v>1.0613425925925925E-2</v>
      </c>
      <c r="F18" s="7">
        <v>1.4884259259259259E-2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16</v>
      </c>
      <c r="C20" s="6">
        <v>211994322</v>
      </c>
      <c r="D20" s="6" t="s">
        <v>10</v>
      </c>
      <c r="E20" s="7">
        <v>1.4988425925925926E-2</v>
      </c>
      <c r="F20" s="7">
        <v>1.5057870370370371E-2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 t="s">
        <v>10</v>
      </c>
      <c r="E21" s="7">
        <v>1.5162037037037036E-2</v>
      </c>
      <c r="F21" s="7">
        <v>2.4849537037037038E-2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 t="s">
        <v>17</v>
      </c>
      <c r="C23" s="6">
        <v>211994330</v>
      </c>
      <c r="D23" s="6" t="s">
        <v>10</v>
      </c>
      <c r="E23" s="7">
        <v>2.494212962962963E-2</v>
      </c>
      <c r="F23" s="7">
        <v>3.5810185185185188E-2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2 G14:DH14 G16:DH134">
    <cfRule type="expression" dxfId="13" priority="5">
      <formula>AND($D4="計画", $E4 &lt;= F$3, F$3 &lt; $F4 + IF($F4 &lt; $E4, 1, 0))</formula>
    </cfRule>
  </conditionalFormatting>
  <conditionalFormatting sqref="G13:DH13">
    <cfRule type="expression" dxfId="12" priority="8">
      <formula>AND($D15="計画", $E15 &lt;= F$3, F$3 &lt; $F15 + IF($F15 &lt; $E15, 1, 0))</formula>
    </cfRule>
  </conditionalFormatting>
  <conditionalFormatting sqref="G15:DH15">
    <cfRule type="expression" dxfId="11" priority="9">
      <formula>AND(#REF!="計画", #REF! &lt;= F$3, F$3 &lt; #REF! + IF(#REF! &lt; #REF!, 1, 0))</formula>
    </cfRule>
  </conditionalFormatting>
  <conditionalFormatting sqref="H4:DH12 H14:DH14 H16:DH134">
    <cfRule type="expression" dxfId="10" priority="6">
      <formula>AND($D4="実績", $E4 &lt;= G$3, G$3 &lt; $F4 + IF($F4 &lt; $E4, 1, 0))</formula>
    </cfRule>
  </conditionalFormatting>
  <conditionalFormatting sqref="H13:DH13">
    <cfRule type="expression" dxfId="9" priority="11">
      <formula>AND($D15="実績", $E15 &lt;= G$3, G$3 &lt; $F15 + IF($F15 &lt; $E15, 1, 0))</formula>
    </cfRule>
  </conditionalFormatting>
  <conditionalFormatting sqref="H15:DH15">
    <cfRule type="expression" dxfId="8" priority="12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C6" activePane="bottomRight" state="frozen"/>
      <selection pane="bottomRight" activeCell="D4" sqref="D4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2" spans="1:112">
      <c r="B2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18</v>
      </c>
      <c r="C4" s="6">
        <v>211998379</v>
      </c>
      <c r="D4" s="6" t="s">
        <v>10</v>
      </c>
      <c r="E4" s="7">
        <v>0.76579861111111114</v>
      </c>
      <c r="F4" s="7">
        <v>0.76884259259259258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10</v>
      </c>
      <c r="E5" s="7">
        <v>0.93063657407407407</v>
      </c>
      <c r="F5" s="7">
        <v>0.93166666666666664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19</v>
      </c>
      <c r="C7" s="6">
        <v>211998377</v>
      </c>
      <c r="D7" s="6" t="s">
        <v>10</v>
      </c>
      <c r="E7" s="7">
        <v>0.76951388888888894</v>
      </c>
      <c r="F7" s="7">
        <v>0.76960648148148147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10</v>
      </c>
      <c r="E8" s="7">
        <v>0.76974537037037039</v>
      </c>
      <c r="F8" s="7">
        <v>0.78125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20</v>
      </c>
      <c r="C10" s="6">
        <v>211998378</v>
      </c>
      <c r="D10" s="6" t="s">
        <v>10</v>
      </c>
      <c r="E10" s="7">
        <v>0.90440972222222227</v>
      </c>
      <c r="F10" s="7">
        <v>0.92473379629629626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10</v>
      </c>
      <c r="E11" s="7">
        <v>0.92486111111111113</v>
      </c>
      <c r="F11" s="7">
        <v>0.93049768518518516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21</v>
      </c>
      <c r="C13" s="6">
        <v>211998376</v>
      </c>
      <c r="D13" s="6" t="s">
        <v>10</v>
      </c>
      <c r="E13" s="7">
        <v>0.93184027777777778</v>
      </c>
      <c r="F13" s="7">
        <v>0.9318981481481482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 t="s">
        <v>10</v>
      </c>
      <c r="E14" s="7">
        <v>0.93207175925925922</v>
      </c>
      <c r="F14" s="7">
        <v>0.93634259259259256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22</v>
      </c>
      <c r="C16" s="6">
        <v>211998364</v>
      </c>
      <c r="D16" s="6" t="s">
        <v>10</v>
      </c>
      <c r="E16" s="7">
        <v>0.93672453703703706</v>
      </c>
      <c r="F16" s="7">
        <v>0.93679398148148152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 t="s">
        <v>10</v>
      </c>
      <c r="E17" s="7">
        <v>0.9368981481481482</v>
      </c>
      <c r="F17" s="7">
        <v>0.95068287037037036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23</v>
      </c>
      <c r="C19" s="6">
        <v>211998380</v>
      </c>
      <c r="D19" s="6" t="s">
        <v>10</v>
      </c>
      <c r="E19" s="7">
        <v>0.95096064814814818</v>
      </c>
      <c r="F19" s="7">
        <v>0.95409722222222226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 t="s">
        <v>24</v>
      </c>
      <c r="C21" s="6">
        <v>211998372</v>
      </c>
      <c r="D21" s="6" t="s">
        <v>10</v>
      </c>
      <c r="E21" s="7">
        <v>0.95420138888888884</v>
      </c>
      <c r="F21" s="7">
        <v>0.95636574074074077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 t="s">
        <v>25</v>
      </c>
      <c r="C23" s="6">
        <v>211998375</v>
      </c>
      <c r="D23" s="6" t="s">
        <v>10</v>
      </c>
      <c r="E23" s="7">
        <v>0.95646990740740745</v>
      </c>
      <c r="F23" s="7">
        <v>0.96832175925925923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 t="s">
        <v>10</v>
      </c>
      <c r="E24" s="7">
        <v>0.97528935185185184</v>
      </c>
      <c r="F24" s="7">
        <v>1.3888888888888889E-4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 t="s">
        <v>26</v>
      </c>
      <c r="C26" s="6">
        <v>211998373</v>
      </c>
      <c r="D26" s="6" t="s">
        <v>10</v>
      </c>
      <c r="E26" s="7">
        <v>0.96843749999999995</v>
      </c>
      <c r="F26" s="7">
        <v>0.97506944444444443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 t="s">
        <v>10</v>
      </c>
      <c r="E27" s="7">
        <v>2.6620370370370372E-4</v>
      </c>
      <c r="F27" s="7">
        <v>5.4050925925925924E-3</v>
      </c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tabSelected="1" workbookViewId="0">
      <pane xSplit="6" ySplit="3" topLeftCell="BI4" activePane="bottomRight" state="frozen"/>
      <selection pane="bottomRight" activeCell="D5" sqref="D5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2" spans="1:112">
      <c r="B2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27</v>
      </c>
      <c r="C4" s="6">
        <v>211998381</v>
      </c>
      <c r="D4" s="6" t="s">
        <v>28</v>
      </c>
      <c r="E4" s="7">
        <v>0.76181712962962966</v>
      </c>
      <c r="F4" s="7">
        <v>0.88834490740740746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28</v>
      </c>
      <c r="E5" s="7">
        <v>0.88859953703703709</v>
      </c>
      <c r="F5" s="7">
        <v>0.89341435185185181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AV4" activePane="bottomRight" state="frozen"/>
      <selection pane="bottomRight" activeCell="D8" sqref="D8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</row>
    <row r="2" spans="1:112">
      <c r="B2" t="s">
        <v>2</v>
      </c>
      <c r="F2" s="2"/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>
      <c r="A4" s="6"/>
      <c r="B4" s="6" t="s">
        <v>27</v>
      </c>
      <c r="C4" s="6">
        <v>211998381</v>
      </c>
      <c r="D4" s="6" t="s">
        <v>28</v>
      </c>
      <c r="E4" s="7">
        <v>0.9082175925925926</v>
      </c>
      <c r="F4" s="7">
        <v>0.97503472222222221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29</v>
      </c>
      <c r="C6" s="6">
        <v>211991504</v>
      </c>
      <c r="D6" s="6" t="s">
        <v>28</v>
      </c>
      <c r="E6" s="7">
        <v>0.9752777777777778</v>
      </c>
      <c r="F6" s="7">
        <v>0.98237268518518517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30</v>
      </c>
      <c r="C8" s="6">
        <v>211998374</v>
      </c>
      <c r="D8" s="6" t="s">
        <v>28</v>
      </c>
      <c r="E8" s="7">
        <v>0.98641203703703706</v>
      </c>
      <c r="F8" s="7">
        <v>2.2499999999999999E-2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:C1048576 C1:C3">
    <cfRule type="duplicateValues" dxfId="2" priority="4"/>
  </conditionalFormatting>
  <conditionalFormatting sqref="G4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9C3116-BB26-4046-9CEE-30119B9D2759}"/>
</file>

<file path=customXml/itemProps2.xml><?xml version="1.0" encoding="utf-8"?>
<ds:datastoreItem xmlns:ds="http://schemas.openxmlformats.org/officeDocument/2006/customXml" ds:itemID="{D9B6089C-DC21-4487-A7DE-E222667BF51D}"/>
</file>

<file path=customXml/itemProps3.xml><?xml version="1.0" encoding="utf-8"?>
<ds:datastoreItem xmlns:ds="http://schemas.openxmlformats.org/officeDocument/2006/customXml" ds:itemID="{FA661CAE-9FAC-41BF-B750-BB33BCC8DB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TAKEBUCHI Masaki (竹渕 正樹)</cp:lastModifiedBy>
  <cp:revision/>
  <dcterms:created xsi:type="dcterms:W3CDTF">2024-09-18T03:10:58Z</dcterms:created>
  <dcterms:modified xsi:type="dcterms:W3CDTF">2024-12-05T00:59:52Z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