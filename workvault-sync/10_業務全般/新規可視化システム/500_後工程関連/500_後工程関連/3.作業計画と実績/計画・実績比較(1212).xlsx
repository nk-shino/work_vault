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33" documentId="8_{F41F2BA2-FA54-4BC5-827A-DCE7E13F2E92}" xr6:coauthVersionLast="47" xr6:coauthVersionMax="47" xr10:uidLastSave="{09CAAF5F-E315-4FA3-A97B-030D995C4976}"/>
  <bookViews>
    <workbookView xWindow="20370" yWindow="-4650" windowWidth="29040" windowHeight="15840" activeTab="2" xr2:uid="{1B7DEC30-3F67-4B1D-9BD6-07FAD4D9A0E9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<sst xmlns="http://schemas.openxmlformats.org/spreadsheetml/2006/main" count="102" uniqueCount="31">
  <si>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</si>
  <si>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</si>
  <si>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</si>
  <si>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</si>
  <si>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</si>
  <si>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</si>
  <si>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</si>
  <si>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</si>
  <si>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＊計画データ作成改修中（実績データのみ）</t>
    <phoneticPr fontId="2"/>
  </si>
  <si>
    <t>UR-05091-03</t>
  </si>
  <si>
    <t>UR-0486</t>
  </si>
  <si>
    <t>実績</t>
  </si>
  <si>
    <t>UR-0489</t>
  </si>
  <si>
    <t>UR-0488-01</t>
  </si>
  <si>
    <t>UR-0475</t>
  </si>
  <si>
    <t>UR-0493</t>
  </si>
  <si>
    <t>UR-0505</t>
  </si>
  <si>
    <t>UR-4329-03</t>
  </si>
  <si>
    <t>UR-0511</t>
  </si>
  <si>
    <t>UR-06101-01</t>
  </si>
  <si>
    <t>URS-0543</t>
  </si>
  <si>
    <t>UR-0520</t>
  </si>
  <si>
    <t>UR-0509-02</t>
  </si>
  <si>
    <t>UR-4435</t>
  </si>
  <si>
    <t>UR-4421-01</t>
  </si>
  <si>
    <t>UR-0480</t>
  </si>
  <si>
    <t>URS-0588</t>
  </si>
  <si>
    <t>URS-4533</t>
  </si>
  <si>
    <t>UTS-1017</t>
  </si>
  <si>
    <t>UTS-0817-01</t>
  </si>
  <si>
    <t>UR-4368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</si>
</sst>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8" x14ac:knownFonts="1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7" fillId="0" borderId="0" xfId="0" applyNumberFormat="1" applyFont="1">
      <alignment vertical="center"/>
    </xf>
    <xf numFmtId="0" fontId="0" fillId="0" borderId="0" xfId="0" applyAlignment="1">
      <alignment horizontal="left"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H4" activePane="bottomRight" state="frozen"/>
      <selection pane="topRight" activeCell="G1" sqref="G1"/>
      <selection pane="bottomLeft" activeCell="A4" sqref="A4"/>
      <selection pane="bottomRight" activeCell="E4" sqref="E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D1" s="23"/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23</v>
      </c>
      <c r="C4" s="6">
        <v>212001476</v>
      </c>
      <c r="D4" s="6" t="s">
        <v>11</v>
      </c>
      <c r="E4" s="7">
        <v>0.73268518518518522</v>
      </c>
      <c r="F4" s="7">
        <v>0.74187499999999995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0.87969907407407411</v>
      </c>
      <c r="F5" s="7">
        <v>0.88509259259259254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24</v>
      </c>
      <c r="C7" s="6">
        <v>212001475</v>
      </c>
      <c r="D7" s="6" t="s">
        <v>11</v>
      </c>
      <c r="E7" s="7">
        <v>0.77857638888888892</v>
      </c>
      <c r="F7" s="7">
        <v>0.79658564814814814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 t="s">
        <v>20</v>
      </c>
      <c r="C9" s="6">
        <v>212001480</v>
      </c>
      <c r="D9" s="6" t="s">
        <v>11</v>
      </c>
      <c r="E9" s="7">
        <v>0.79667824074074078</v>
      </c>
      <c r="F9" s="7">
        <v>0.80182870370370374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 t="s">
        <v>11</v>
      </c>
      <c r="E10" s="7">
        <v>0.88523148148148145</v>
      </c>
      <c r="F10" s="7">
        <v>0.89619212962962957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21</v>
      </c>
      <c r="C12" s="6">
        <v>212001971</v>
      </c>
      <c r="D12" s="6" t="s">
        <v>11</v>
      </c>
      <c r="E12" s="7">
        <v>0.80209490740740741</v>
      </c>
      <c r="F12" s="7">
        <v>0.82098379629629625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 t="s">
        <v>11</v>
      </c>
      <c r="E13" s="7">
        <v>0.89664351851851853</v>
      </c>
      <c r="F13" s="7">
        <v>0.90233796296296298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18</v>
      </c>
      <c r="C15" s="6">
        <v>212001970</v>
      </c>
      <c r="D15" s="6" t="s">
        <v>11</v>
      </c>
      <c r="E15" s="7">
        <v>0.8210763888888889</v>
      </c>
      <c r="F15" s="7">
        <v>0.86636574074074069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 t="s">
        <v>25</v>
      </c>
      <c r="C17" s="6">
        <v>212001461</v>
      </c>
      <c r="D17" s="6" t="s">
        <v>11</v>
      </c>
      <c r="E17" s="7">
        <v>0.86673611111111115</v>
      </c>
      <c r="F17" s="7">
        <v>0.86989583333333331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 t="s">
        <v>26</v>
      </c>
      <c r="C19" s="6">
        <v>212001982</v>
      </c>
      <c r="D19" s="6" t="s">
        <v>11</v>
      </c>
      <c r="E19" s="7">
        <v>0.92693287037037042</v>
      </c>
      <c r="F19" s="7">
        <v>0.95377314814814818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 t="s">
        <v>11</v>
      </c>
      <c r="E20" s="7">
        <v>0.98797453703703708</v>
      </c>
      <c r="F20" s="7">
        <v>0.99349537037037039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 t="s">
        <v>27</v>
      </c>
      <c r="C22" s="6">
        <v>212001992</v>
      </c>
      <c r="D22" s="6" t="s">
        <v>11</v>
      </c>
      <c r="E22" s="7">
        <v>0.95391203703703709</v>
      </c>
      <c r="F22" s="7">
        <v>0.95398148148148143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 t="s">
        <v>11</v>
      </c>
      <c r="E23" s="7">
        <v>0.95416666666666672</v>
      </c>
      <c r="F23" s="7">
        <v>0.97415509259259259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 t="s">
        <v>28</v>
      </c>
      <c r="C25" s="6">
        <v>212001999</v>
      </c>
      <c r="D25" s="6" t="s">
        <v>11</v>
      </c>
      <c r="E25" s="7">
        <v>0.97427083333333331</v>
      </c>
      <c r="F25" s="7">
        <v>0.9743518518518518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 t="s">
        <v>11</v>
      </c>
      <c r="E26" s="7">
        <v>0.97447916666666667</v>
      </c>
      <c r="F26" s="7">
        <v>0.98285879629629624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 t="s">
        <v>17</v>
      </c>
      <c r="C28" s="6">
        <v>212002010</v>
      </c>
      <c r="D28" s="6" t="s">
        <v>11</v>
      </c>
      <c r="E28" s="7">
        <v>0.98297453703703708</v>
      </c>
      <c r="F28" s="7">
        <v>0.98785879629629625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 t="s">
        <v>29</v>
      </c>
      <c r="C30" s="6">
        <v>212001996</v>
      </c>
      <c r="D30" s="6" t="s">
        <v>11</v>
      </c>
      <c r="E30" s="7">
        <v>0.99362268518518515</v>
      </c>
      <c r="F30" s="7">
        <v>0.99525462962962963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 t="s">
        <v>30</v>
      </c>
      <c r="C32" s="6">
        <v>212001975</v>
      </c>
      <c r="D32" s="6" t="s">
        <v>11</v>
      </c>
      <c r="E32" s="7">
        <v>4.5949074074074078E-3</v>
      </c>
      <c r="F32" s="7">
        <v>4.7106481481481478E-3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 t="s">
        <v>11</v>
      </c>
      <c r="E33" s="7">
        <v>4.8726851851851848E-3</v>
      </c>
      <c r="F33" s="7">
        <v>1.8703703703703705E-2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 x14ac:dyDescent="0.4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 x14ac:dyDescent="0.4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 x14ac:dyDescent="0.4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 x14ac:dyDescent="0.4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 x14ac:dyDescent="0.4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 x14ac:dyDescent="0.4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 x14ac:dyDescent="0.4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 x14ac:dyDescent="0.4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 x14ac:dyDescent="0.4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 x14ac:dyDescent="0.4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 x14ac:dyDescent="0.4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 x14ac:dyDescent="0.4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 x14ac:dyDescent="0.4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 x14ac:dyDescent="0.4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 x14ac:dyDescent="0.4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 x14ac:dyDescent="0.4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 x14ac:dyDescent="0.4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 x14ac:dyDescent="0.4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 x14ac:dyDescent="0.4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 x14ac:dyDescent="0.4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 x14ac:dyDescent="0.4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 x14ac:dyDescent="0.4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 x14ac:dyDescent="0.4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 x14ac:dyDescent="0.4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 x14ac:dyDescent="0.4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 x14ac:dyDescent="0.4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 x14ac:dyDescent="0.4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 x14ac:dyDescent="0.4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 x14ac:dyDescent="0.4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 x14ac:dyDescent="0.4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 x14ac:dyDescent="0.4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 x14ac:dyDescent="0.4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 x14ac:dyDescent="0.4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 x14ac:dyDescent="0.4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 x14ac:dyDescent="0.4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 x14ac:dyDescent="0.4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 x14ac:dyDescent="0.4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 x14ac:dyDescent="0.4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 x14ac:dyDescent="0.4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 x14ac:dyDescent="0.4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 x14ac:dyDescent="0.4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 x14ac:dyDescent="0.4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 x14ac:dyDescent="0.4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2 G14:DH14 G16:DH134">
    <cfRule type="expression" dxfId="13" priority="5">
      <formula>AND($D4="計画", $E4 &lt;= F$3, F$3 &lt; $F4 + IF($F4 &lt; $E4, 1, 0))</formula>
    </cfRule>
  </conditionalFormatting>
  <conditionalFormatting sqref="G13:DH13">
    <cfRule type="expression" dxfId="12" priority="8">
      <formula>AND($D15="計画", $E15 &lt;= F$3, F$3 &lt; $F15 + IF($F15 &lt; $E15, 1, 0))</formula>
    </cfRule>
  </conditionalFormatting>
  <conditionalFormatting sqref="G15:DH15">
    <cfRule type="expression" dxfId="11" priority="9">
      <formula>AND(#REF!="計画", #REF! &lt;= F$3, F$3 &lt; #REF! + IF(#REF! &lt; #REF!, 1, 0))</formula>
    </cfRule>
  </conditionalFormatting>
  <conditionalFormatting sqref="H4:DH12 H14:DH14 H16:DH134">
    <cfRule type="expression" dxfId="10" priority="6">
      <formula>AND($D4="実績", $E4 &lt;= G$3, G$3 &lt; $F4 + IF($F4 &lt; $E4, 1, 0))</formula>
    </cfRule>
  </conditionalFormatting>
  <conditionalFormatting sqref="H13:DH13">
    <cfRule type="expression" dxfId="9" priority="11">
      <formula>AND($D15="実績", $E15 &lt;= G$3, G$3 &lt; $F15 + IF($F15 &lt; $E15, 1, 0))</formula>
    </cfRule>
  </conditionalFormatting>
  <conditionalFormatting sqref="H15:DH15">
    <cfRule type="expression" dxfId="8" priority="12">
      <formula>AND(#REF!="実績", #REF! &lt;= G$3, G$3 &lt; #REF! + IF(#REF! &lt; #REF!,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sheetPr codeName="Sheet3"/>
  <dimension ref="A1:DH66"/>
  <sheetViews>
    <sheetView workbookViewId="0">
      <pane xSplit="6" ySplit="3" topLeftCell="BE4" activePane="bottomRight" state="frozen"/>
      <selection pane="topRight" activeCell="G1" sqref="G1"/>
      <selection pane="bottomLeft" activeCell="A4" sqref="A4"/>
      <selection pane="bottomRight" activeCell="BH13" sqref="BH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13</v>
      </c>
      <c r="C4" s="6">
        <v>212001964</v>
      </c>
      <c r="D4" s="6" t="s">
        <v>11</v>
      </c>
      <c r="E4" s="7">
        <v>0.74422453703703706</v>
      </c>
      <c r="F4" s="7">
        <v>0.7731365740740741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 t="s">
        <v>11</v>
      </c>
      <c r="E5" s="7">
        <v>0.7908101851851852</v>
      </c>
      <c r="F5" s="7">
        <v>0.79358796296296297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/>
      <c r="C6" s="6"/>
      <c r="D6" s="6"/>
      <c r="E6" s="7"/>
      <c r="F6" s="7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 t="s">
        <v>12</v>
      </c>
      <c r="C7" s="6">
        <v>212001965</v>
      </c>
      <c r="D7" s="6" t="s">
        <v>11</v>
      </c>
      <c r="E7" s="7">
        <v>0.85569444444444442</v>
      </c>
      <c r="F7" s="7">
        <v>0.8737152777777778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/>
      <c r="C8" s="6"/>
      <c r="D8" s="6" t="s">
        <v>11</v>
      </c>
      <c r="E8" s="7">
        <v>0.87387731481481479</v>
      </c>
      <c r="F8" s="7">
        <v>0.87900462962962966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14</v>
      </c>
      <c r="C10" s="6">
        <v>212001963</v>
      </c>
      <c r="D10" s="6" t="s">
        <v>11</v>
      </c>
      <c r="E10" s="7">
        <v>0.90552083333333333</v>
      </c>
      <c r="F10" s="7">
        <v>0.90557870370370375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 t="s">
        <v>11</v>
      </c>
      <c r="E11" s="7">
        <v>0.90571759259259255</v>
      </c>
      <c r="F11" s="7">
        <v>0.90976851851851848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 t="s">
        <v>16</v>
      </c>
      <c r="C13" s="6">
        <v>212001967</v>
      </c>
      <c r="D13" s="6" t="s">
        <v>11</v>
      </c>
      <c r="E13" s="7">
        <v>0.90995370370370365</v>
      </c>
      <c r="F13" s="7">
        <v>0.91496527777777781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 t="s">
        <v>15</v>
      </c>
      <c r="C15" s="6">
        <v>212001966</v>
      </c>
      <c r="D15" s="6" t="s">
        <v>11</v>
      </c>
      <c r="E15" s="7">
        <v>0.9181597222222222</v>
      </c>
      <c r="F15" s="7">
        <v>0.91825231481481484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 t="s">
        <v>11</v>
      </c>
      <c r="E16" s="7">
        <v>0.9183796296296296</v>
      </c>
      <c r="F16" s="7">
        <v>0.91971064814814818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7" priority="3">
      <formula>AND($D4="計画", $E4 &lt;= G$3, G$3 &lt; $F4 + IF($F4 &lt; $E4, 1, 0))</formula>
    </cfRule>
    <cfRule type="expression" dxfId="6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sheetPr codeName="Sheet4"/>
  <dimension ref="A1:DH66"/>
  <sheetViews>
    <sheetView tabSelected="1"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BJ13" sqref="BJ13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  <c r="K1" t="s">
        <v>1</v>
      </c>
    </row>
    <row r="2" spans="1:112" x14ac:dyDescent="0.4">
      <c r="B2" t="s">
        <v>8</v>
      </c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 x14ac:dyDescent="0.4">
      <c r="A4" s="6"/>
      <c r="B4" s="6" t="s">
        <v>10</v>
      </c>
      <c r="C4" s="6">
        <v>212000320</v>
      </c>
      <c r="D4" s="6" t="s">
        <v>11</v>
      </c>
      <c r="E4" s="7">
        <v>0.76854166666666668</v>
      </c>
      <c r="F4" s="7">
        <v>0.78730324074074076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9</v>
      </c>
      <c r="C6" s="6">
        <v>212001969</v>
      </c>
      <c r="D6" s="6" t="s">
        <v>11</v>
      </c>
      <c r="E6" s="7">
        <v>0.79994212962962963</v>
      </c>
      <c r="F6" s="7">
        <v>0.88880787037037035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22</v>
      </c>
      <c r="C8" s="6">
        <v>212001968</v>
      </c>
      <c r="D8" s="6" t="s">
        <v>11</v>
      </c>
      <c r="E8" s="7">
        <v>0.89254629629629634</v>
      </c>
      <c r="F8" s="7">
        <v>0.91942129629629632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 t="s">
        <v>11</v>
      </c>
      <c r="E9" s="7">
        <v>0.91968749999999999</v>
      </c>
      <c r="F9" s="7">
        <v>0.9198263888888889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 t="s">
        <v>19</v>
      </c>
      <c r="C11" s="6">
        <v>211996189</v>
      </c>
      <c r="D11" s="6" t="s">
        <v>11</v>
      </c>
      <c r="E11" s="7">
        <v>0.92025462962962967</v>
      </c>
      <c r="F11" s="7">
        <v>0.96113425925925922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/>
      <c r="C12" s="6"/>
      <c r="D12" s="6" t="s">
        <v>11</v>
      </c>
      <c r="E12" s="7">
        <v>0.961400462962963</v>
      </c>
      <c r="F12" s="7">
        <v>0.96931712962962968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 x14ac:dyDescent="0.4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5" priority="1">
      <formula>AND($D4="計画", $E4 &lt;= G$3, G$3 &lt; $F4 + IF($F4 &lt; $E4, 1, 0))</formula>
    </cfRule>
    <cfRule type="expression" dxfId="4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D4" activePane="bottomRight" state="frozen"/>
      <selection pane="topRight" activeCell="G1" sqref="G1"/>
      <selection pane="bottomLeft" activeCell="A4" sqref="A4"/>
      <selection pane="bottomRight" activeCell="D4" sqref="D4"/>
    </sheetView>
  </sheetViews>
  <sheetFormatPr defaultRowHeight="18.75" x14ac:dyDescent="0.4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 x14ac:dyDescent="0.4">
      <c r="A1" s="1" t="s">
        <v>0</v>
      </c>
      <c r="J1" s="2"/>
    </row>
    <row r="2" spans="1:112" x14ac:dyDescent="0.4">
      <c r="B2" t="s">
        <v>8</v>
      </c>
      <c r="F2" s="2"/>
    </row>
    <row r="3" spans="1:112" x14ac:dyDescent="0.4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 x14ac:dyDescent="0.4">
      <c r="A4" s="6"/>
      <c r="B4" s="6" t="s">
        <v>10</v>
      </c>
      <c r="C4" s="6">
        <v>212000320</v>
      </c>
      <c r="D4" s="6" t="s">
        <v>11</v>
      </c>
      <c r="E4" s="7">
        <v>0.81730324074074079</v>
      </c>
      <c r="F4" s="7">
        <v>0.85270833333333329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 x14ac:dyDescent="0.4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 x14ac:dyDescent="0.4">
      <c r="A6" s="6"/>
      <c r="B6" s="6" t="s">
        <v>18</v>
      </c>
      <c r="C6" s="6">
        <v>212001970</v>
      </c>
      <c r="D6" s="6" t="s">
        <v>11</v>
      </c>
      <c r="E6" s="7">
        <v>0.85289351851851847</v>
      </c>
      <c r="F6" s="7">
        <v>0.88693287037037039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 x14ac:dyDescent="0.4">
      <c r="A7" s="6"/>
      <c r="B7" s="6"/>
      <c r="C7" s="6"/>
      <c r="D7" s="6"/>
      <c r="E7" s="7"/>
      <c r="F7" s="7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 x14ac:dyDescent="0.4">
      <c r="A8" s="6"/>
      <c r="B8" s="6" t="s">
        <v>9</v>
      </c>
      <c r="C8" s="6">
        <v>212001969</v>
      </c>
      <c r="D8" s="6" t="s">
        <v>11</v>
      </c>
      <c r="E8" s="7">
        <v>0.90891203703703705</v>
      </c>
      <c r="F8" s="7">
        <v>0.97395833333333337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 x14ac:dyDescent="0.4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 x14ac:dyDescent="0.4">
      <c r="A10" s="6"/>
      <c r="B10" s="6" t="s">
        <v>19</v>
      </c>
      <c r="C10" s="6">
        <v>211996189</v>
      </c>
      <c r="D10" s="6" t="s">
        <v>11</v>
      </c>
      <c r="E10" s="7">
        <v>0.96971064814814811</v>
      </c>
      <c r="F10" s="7">
        <v>0.99482638888888886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 x14ac:dyDescent="0.4">
      <c r="A11" s="6"/>
      <c r="B11" s="6"/>
      <c r="C11" s="6"/>
      <c r="D11" s="6"/>
      <c r="E11" s="7"/>
      <c r="F11" s="7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 x14ac:dyDescent="0.4">
      <c r="A12" s="6"/>
      <c r="B12" s="6" t="s">
        <v>20</v>
      </c>
      <c r="C12" s="6">
        <v>212001480</v>
      </c>
      <c r="D12" s="6" t="s">
        <v>11</v>
      </c>
      <c r="E12" s="7">
        <v>0.97420138888888885</v>
      </c>
      <c r="F12" s="7">
        <v>0.98841435185185189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 x14ac:dyDescent="0.4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 x14ac:dyDescent="0.4">
      <c r="A14" s="6"/>
      <c r="B14" s="6" t="s">
        <v>21</v>
      </c>
      <c r="C14" s="6">
        <v>212001971</v>
      </c>
      <c r="D14" s="6" t="s">
        <v>11</v>
      </c>
      <c r="E14" s="7">
        <v>0.99107638888888894</v>
      </c>
      <c r="F14" s="7">
        <v>1.726851851851852E-2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 x14ac:dyDescent="0.4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 x14ac:dyDescent="0.4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 x14ac:dyDescent="0.4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 x14ac:dyDescent="0.4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 x14ac:dyDescent="0.4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 x14ac:dyDescent="0.4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 x14ac:dyDescent="0.4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 x14ac:dyDescent="0.4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 x14ac:dyDescent="0.4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 x14ac:dyDescent="0.4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 x14ac:dyDescent="0.4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 x14ac:dyDescent="0.4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 x14ac:dyDescent="0.4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 x14ac:dyDescent="0.4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 x14ac:dyDescent="0.4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 x14ac:dyDescent="0.4">
      <c r="A30" s="6"/>
      <c r="B30" s="6"/>
      <c r="C30" s="6"/>
      <c r="D30" s="6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 x14ac:dyDescent="0.4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 x14ac:dyDescent="0.4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 x14ac:dyDescent="0.4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 x14ac:dyDescent="0.4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 x14ac:dyDescent="0.4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 x14ac:dyDescent="0.4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 x14ac:dyDescent="0.4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 x14ac:dyDescent="0.4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 x14ac:dyDescent="0.4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 x14ac:dyDescent="0.4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 x14ac:dyDescent="0.4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 x14ac:dyDescent="0.4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 x14ac:dyDescent="0.4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 x14ac:dyDescent="0.4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 x14ac:dyDescent="0.4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 x14ac:dyDescent="0.4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 x14ac:dyDescent="0.4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 x14ac:dyDescent="0.4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 x14ac:dyDescent="0.4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 x14ac:dyDescent="0.4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 x14ac:dyDescent="0.4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 x14ac:dyDescent="0.4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 x14ac:dyDescent="0.4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 x14ac:dyDescent="0.4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 x14ac:dyDescent="0.4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 x14ac:dyDescent="0.4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 x14ac:dyDescent="0.4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 x14ac:dyDescent="0.4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 x14ac:dyDescent="0.4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 x14ac:dyDescent="0.4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 x14ac:dyDescent="0.4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 x14ac:dyDescent="0.4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 x14ac:dyDescent="0.4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 x14ac:dyDescent="0.4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 x14ac:dyDescent="0.4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 x14ac:dyDescent="0.4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 x14ac:dyDescent="0.4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 x14ac:dyDescent="0.4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 x14ac:dyDescent="0.4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 x14ac:dyDescent="0.4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 x14ac:dyDescent="0.4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 x14ac:dyDescent="0.4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 x14ac:dyDescent="0.4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 x14ac:dyDescent="0.4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 x14ac:dyDescent="0.4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 x14ac:dyDescent="0.4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 x14ac:dyDescent="0.4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 x14ac:dyDescent="0.4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 x14ac:dyDescent="0.4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 x14ac:dyDescent="0.4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 x14ac:dyDescent="0.4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 x14ac:dyDescent="0.4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 x14ac:dyDescent="0.4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 x14ac:dyDescent="0.4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 x14ac:dyDescent="0.4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 x14ac:dyDescent="0.4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 x14ac:dyDescent="0.4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 x14ac:dyDescent="0.4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 x14ac:dyDescent="0.4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 x14ac:dyDescent="0.4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 x14ac:dyDescent="0.4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 x14ac:dyDescent="0.4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21">
    <cfRule type="duplicateValues" dxfId="3" priority="1"/>
  </conditionalFormatting>
  <conditionalFormatting sqref="C31:C1048576 C1:C3">
    <cfRule type="duplicateValues" dxfId="2" priority="4"/>
  </conditionalFormatting>
  <conditionalFormatting sqref="G4:DH5 H6:DH6 G7:DH99">
    <cfRule type="expression" dxfId="1" priority="5">
      <formula>AND($D4="計画", $E4 &lt;= F$3, F$3 &lt; $F4 + IF($F4 &lt; $E4, 1, 0))</formula>
    </cfRule>
    <cfRule type="expression" dxfId="0" priority="6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sheetPr codeName="Sheet5"/>
  <dimension ref="F1:H1"/>
  <sheetViews>
    <sheetView workbookViewId="0">
      <selection sqref="A1:XFD1048576"/>
    </sheetView>
  </sheetViews>
  <sheetFormatPr defaultColWidth="9.25" defaultRowHeight="18.75" x14ac:dyDescent="0.4"/>
  <cols>
    <col min="6" max="6" width="9.25" style="22"/>
    <col min="7" max="8" width="9.25" style="21"/>
  </cols>
  <sheetData/>
  <phoneticPr fontId="2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sheetPr codeName="Sheet6"/>
  <dimension ref="F1"/>
  <sheetViews>
    <sheetView workbookViewId="0">
      <selection sqref="A1:XFD1048576"/>
    </sheetView>
  </sheetViews>
  <sheetFormatPr defaultColWidth="9.25" defaultRowHeight="18.75" x14ac:dyDescent="0.4"/>
  <cols>
    <col min="6" max="6" width="9.25" style="20"/>
  </cols>
  <sheetData/>
  <phoneticPr fontId="2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a7e61ba0-4c47-4710-ac4c-031e401f92bd"/>
    <ds:schemaRef ds:uri="ea180fb7-6417-4417-bcc2-1a1988547c9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3852C09-C496-4A60-AF4C-EDA13FC9E13D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2024-12-12T23:49:48Z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