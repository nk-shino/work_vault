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01" documentId="8_{8A18370A-F5DE-4667-AB47-237FD586A1FF}" xr6:coauthVersionLast="47" xr6:coauthVersionMax="47" xr10:uidLastSave="{F60325AD-573D-4F7D-BE4A-83D4A0B86232}"/>
  <bookViews>
    <workbookView xWindow="-120" yWindow="-120" windowWidth="20730" windowHeight="11160" activeTab="5" xr2:uid="{D4E99A79-39B5-4714-8CFE-6838D0007EB9}"/>
    <workbookView xWindow="20370" yWindow="-4650" windowWidth="29040" windowHeight="15840" activeTab="3" xr2:uid="{B61BCE88-51A3-4EE8-9C88-9F600AD2451C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I6" i="5"/>
  <c r="J19" i="6"/>
  <c r="I20" i="6" s="1"/>
  <c r="J20" i="6" s="1"/>
  <c r="I21" i="6" s="1"/>
  <c r="J21" i="6" s="1"/>
  <c r="I22" i="6" s="1"/>
  <c r="J22" i="6" s="1"/>
  <c r="I23" i="6" s="1"/>
  <c r="J23" i="6" s="1"/>
  <c r="I24" i="6" s="1"/>
  <c r="J24" i="6" s="1"/>
  <c r="I25" i="6" s="1"/>
  <c r="J25" i="6" s="1"/>
  <c r="I26" i="6" s="1"/>
  <c r="J26" i="6" s="1"/>
  <c r="I27" i="6" s="1"/>
  <c r="J27" i="6" s="1"/>
  <c r="I28" i="6" s="1"/>
  <c r="J28" i="6" s="1"/>
  <c r="I29" i="6" s="1"/>
  <c r="J29" i="6" s="1"/>
  <c r="J6" i="6"/>
  <c r="I7" i="6" s="1"/>
  <c r="J7" i="6" s="1"/>
  <c r="I8" i="6" s="1"/>
  <c r="J8" i="6" s="1"/>
  <c r="I9" i="6" s="1"/>
  <c r="J9" i="6" s="1"/>
  <c r="I10" i="6" s="1"/>
  <c r="J10" i="6" s="1"/>
  <c r="I11" i="6" s="1"/>
  <c r="J11" i="6" s="1"/>
  <c r="I12" i="6" s="1"/>
  <c r="J12" i="6" s="1"/>
  <c r="F2" i="2"/>
</calcChain>
</file>

<file path=xl/sharedStrings.xml><?xml version="1.0" encoding="utf-8"?>
<sst xmlns="http://schemas.openxmlformats.org/spreadsheetml/2006/main" count="242" uniqueCount="77">
  <si>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</si>
  <si>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</si>
  <si>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</si>
  <si>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</si>
  <si>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</si>
  <si>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</si>
  <si>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</si>
  <si>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</si>
  <si>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UR-0481-01</t>
  </si>
  <si>
    <t>UR-05091-03</t>
  </si>
  <si>
    <t>UR-06101-01</t>
  </si>
  <si>
    <t>UR-0559-05</t>
  </si>
  <si>
    <t>←マスタ未登録</t>
    <rPh sb="4" eb="7">
      <t>ミ</t>
    </rPh>
    <phoneticPr fontId="2"/>
  </si>
  <si>
    <t>TypeID</t>
  </si>
  <si>
    <t>orderNumber</t>
  </si>
  <si>
    <t>台数</t>
    <rPh sb="0" eb="2">
      <t>ダイスウ</t>
    </rPh>
    <phoneticPr fontId="2"/>
  </si>
  <si>
    <t>ライン</t>
    <phoneticPr fontId="2"/>
  </si>
  <si>
    <t>AOI終了予定時刻</t>
    <rPh sb="3" eb="5">
      <t>シュウリョウ</t>
    </rPh>
    <rPh sb="5" eb="9">
      <t>ヨテイジコク</t>
    </rPh>
    <phoneticPr fontId="7"/>
  </si>
  <si>
    <t>目視工数</t>
    <rPh sb="0" eb="2">
      <t>モクシ</t>
    </rPh>
    <rPh sb="2" eb="4">
      <t>コウスウ</t>
    </rPh>
    <phoneticPr fontId="7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</si>
  <si>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</si>
  <si>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</si>
  <si>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Line-1</t>
  </si>
  <si>
    <t>仕掛</t>
    <rPh sb="0" eb="2">
      <t>シカカリ</t>
    </rPh>
    <phoneticPr fontId="2"/>
  </si>
  <si>
    <t>Line-3</t>
  </si>
  <si>
    <t>Line-2</t>
  </si>
  <si>
    <t>211975579</t>
  </si>
  <si>
    <t>UT-1007</t>
  </si>
  <si>
    <t>211978330</t>
  </si>
  <si>
    <t>UT-2507-01</t>
  </si>
  <si>
    <t>211978332</t>
  </si>
  <si>
    <t>UT-2508</t>
  </si>
  <si>
    <t>211978333</t>
  </si>
  <si>
    <t>品目名</t>
    <rPh sb="0" eb="3">
      <t>ヒンモクメイ</t>
    </rPh>
    <phoneticPr fontId="2"/>
  </si>
  <si>
    <t>指図</t>
    <rPh sb="0" eb="2">
      <t>サシズ</t>
    </rPh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</si>
  <si>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</si>
  <si>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7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</si>
  <si>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</si>
  <si>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</si>
  <si>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―</t>
  </si>
  <si>
    <t>211975580</t>
  </si>
  <si>
    <t>URS-0543</t>
  </si>
  <si>
    <t>211978787</t>
  </si>
  <si>
    <t>URS-0576</t>
  </si>
  <si>
    <t>211978788</t>
  </si>
  <si>
    <t>UTS-0818-01</t>
  </si>
  <si>
    <t>211978800</t>
  </si>
  <si>
    <t>UT-1008</t>
  </si>
  <si>
    <t>211978795</t>
  </si>
  <si>
    <t>UR-4425</t>
  </si>
  <si>
    <t>211978783</t>
  </si>
  <si>
    <t>UR-4523</t>
  </si>
  <si>
    <t>211978785</t>
  </si>
  <si>
    <t>211978773</t>
  </si>
  <si>
    <t>UR-0486</t>
  </si>
  <si>
    <t>211978775</t>
  </si>
  <si>
    <t>UR-0476</t>
  </si>
  <si>
    <t>211978821</t>
  </si>
  <si>
    <t>UR-0505</t>
  </si>
  <si>
    <t>211978777</t>
  </si>
  <si>
    <t>UR-0475</t>
  </si>
  <si>
    <t>211978772</t>
  </si>
  <si>
    <t>UR-0493</t>
  </si>
  <si>
    <t>211978776</t>
  </si>
  <si>
    <t>UR-0483</t>
  </si>
  <si>
    <t>211978774</t>
  </si>
  <si>
    <t>UR-0480</t>
  </si>
  <si>
    <t>211978820</t>
  </si>
  <si>
    <t>UR-0611</t>
  </si>
  <si>
    <t>211978779</t>
  </si>
  <si>
    <t>UT-0909</t>
  </si>
  <si>
    <t>211978794</t>
  </si>
  <si>
    <t>URS-42982</t>
  </si>
  <si>
    <t>211972932</t>
  </si>
  <si>
    <t>211978778</t>
  </si>
  <si>
    <t>211977906</t>
  </si>
  <si>
    <t>実績</t>
    <rPh sb="0" eb="2">
      <t>ジッセキ</t>
    </rPh>
    <phoneticPr fontId="2"/>
  </si>
  <si>
    <t>計画</t>
    <rPh sb="0" eb="2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</si>
</sst>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7" fontId="0" fillId="0" borderId="0" xfId="0" applyNumberFormat="1">
      <alignment vertical="center"/>
    </xf>
    <xf numFmtId="176" fontId="8" fillId="0" borderId="1" xfId="0" applyNumberFormat="1" applyFont="1" applyBorder="1">
      <alignment vertical="center"/>
    </xf>
    <xf numFmtId="177" fontId="0" fillId="2" borderId="1" xfId="0" applyNumberFormat="1" applyFill="1" applyBorder="1">
      <alignment vertical="center"/>
    </xf>
    <xf numFmtId="176" fontId="9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21EDDF-3AF5-495F-8D19-A64301719088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14</xdr:row>
      <xdr:rowOff>0</xdr:rowOff>
    </xdr:from>
    <xdr:to>
      <xdr:col>6</xdr:col>
      <xdr:colOff>0</xdr:colOff>
      <xdr:row>16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CA1AE3D-69EB-493C-AF17-C14808A65DE2}"/>
            </a:ext>
          </a:extLst>
        </xdr:cNvPr>
        <xdr:cNvSpPr txBox="1"/>
      </xdr:nvSpPr>
      <xdr:spPr>
        <a:xfrm>
          <a:off x="780222" y="33337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試作･</a:t>
          </a:r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B5FB581-845E-44DA-8EA0-1CEF12C2400E}"/>
            </a:ext>
          </a:extLst>
        </xdr:cNvPr>
        <xdr:cNvSpPr txBox="1"/>
      </xdr:nvSpPr>
      <xdr:spPr>
        <a:xfrm>
          <a:off x="702365" y="774424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10" sqref="D10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211975580</v>
      </c>
      <c r="D4" s="6" t="s">
        <v>75</v>
      </c>
      <c r="E4" s="8">
        <v>0.78793981481481479</v>
      </c>
      <c r="F4" s="9">
        <v>0.80825231481481485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75</v>
      </c>
      <c r="E5" s="7">
        <v>0.80854166666666671</v>
      </c>
      <c r="F5" s="7">
        <v>0.86465277777777783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76</v>
      </c>
      <c r="E6" s="7">
        <v>0.72916666666666663</v>
      </c>
      <c r="F6" s="7">
        <v>0.83035714285714279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40</v>
      </c>
      <c r="C7" s="6">
        <v>211978787</v>
      </c>
      <c r="D7" s="6" t="s">
        <v>75</v>
      </c>
      <c r="E7" s="7">
        <v>0.87017361111111113</v>
      </c>
      <c r="F7" s="7">
        <v>0.87219907407407404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75</v>
      </c>
      <c r="E8" s="7">
        <v>0.87254629629629632</v>
      </c>
      <c r="F8" s="7">
        <v>0.88447916666666671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76</v>
      </c>
      <c r="E9" s="7">
        <v>0.83035714285714279</v>
      </c>
      <c r="F9" s="7">
        <v>0.86607142857142849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42</v>
      </c>
      <c r="C10" s="6">
        <v>211978788</v>
      </c>
      <c r="D10" s="6" t="s">
        <v>75</v>
      </c>
      <c r="E10" s="7">
        <v>0.88482638888888887</v>
      </c>
      <c r="F10" s="7">
        <v>0.88912037037037039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75</v>
      </c>
      <c r="E11" s="7">
        <v>0.89427083333333335</v>
      </c>
      <c r="F11" s="7">
        <v>0.93479166666666669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76</v>
      </c>
      <c r="E12" s="7">
        <v>0.86607142857142849</v>
      </c>
      <c r="F12" s="7">
        <v>0.88690476190476186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44</v>
      </c>
      <c r="C13" s="6">
        <v>211978800</v>
      </c>
      <c r="D13" s="6" t="s">
        <v>75</v>
      </c>
      <c r="E13" s="7">
        <v>0.98145833333333332</v>
      </c>
      <c r="F13" s="7">
        <v>0.9816435185185185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75</v>
      </c>
      <c r="E14" s="7">
        <v>0.98197916666666663</v>
      </c>
      <c r="F14" s="7">
        <v>0.98215277777777776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76</v>
      </c>
      <c r="E15" s="7">
        <v>0.88690476190476186</v>
      </c>
      <c r="F15" s="7">
        <v>0.89814814814814814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46</v>
      </c>
      <c r="C16" s="6">
        <v>211978795</v>
      </c>
      <c r="D16" s="6" t="s">
        <v>75</v>
      </c>
      <c r="E16" s="7">
        <v>0.98842592592592593</v>
      </c>
      <c r="F16" s="7">
        <v>0.98891203703703701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75</v>
      </c>
      <c r="E17" s="7">
        <v>0.98930555555555555</v>
      </c>
      <c r="F17" s="7">
        <v>5.0231481481481481E-3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 t="s">
        <v>76</v>
      </c>
      <c r="E18" s="7">
        <v>0.89814814814814814</v>
      </c>
      <c r="F18" s="7">
        <v>1.0145979926907762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48</v>
      </c>
      <c r="C19" s="6">
        <v>211978783</v>
      </c>
      <c r="D19" s="6" t="s">
        <v>75</v>
      </c>
      <c r="E19" s="7">
        <v>2.1736111111111112E-2</v>
      </c>
      <c r="F19" s="7">
        <v>2.1909722222222223E-2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 t="s">
        <v>75</v>
      </c>
      <c r="E20" s="7">
        <v>2.2268518518518517E-2</v>
      </c>
      <c r="F20" s="7">
        <v>2.7025462962962963E-2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76</v>
      </c>
      <c r="E21" s="7">
        <v>1.0145979926907762</v>
      </c>
      <c r="F21" s="7">
        <v>1.0280478054620921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14" sqref="B14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211978773</v>
      </c>
      <c r="D4" s="6" t="s">
        <v>75</v>
      </c>
      <c r="E4" s="8">
        <v>0.79980324074074072</v>
      </c>
      <c r="F4" s="9">
        <v>0.86262731481481481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76</v>
      </c>
      <c r="E5" s="7">
        <v>0.72916666666666663</v>
      </c>
      <c r="F5" s="7">
        <v>0.80535880248349978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53</v>
      </c>
      <c r="C6" s="6">
        <v>211978775</v>
      </c>
      <c r="D6" s="6" t="s">
        <v>75</v>
      </c>
      <c r="E6" s="7">
        <v>0.8629282407407407</v>
      </c>
      <c r="F6" s="7">
        <v>0.87854166666666667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76</v>
      </c>
      <c r="E7" s="7">
        <v>0.80535880248349978</v>
      </c>
      <c r="F7" s="7">
        <v>0.82211681185234664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59</v>
      </c>
      <c r="C8" s="6">
        <v>211978772</v>
      </c>
      <c r="D8" s="6" t="s">
        <v>75</v>
      </c>
      <c r="E8" s="7">
        <v>0.87930555555555556</v>
      </c>
      <c r="F8" s="7">
        <v>0.89171296296296299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76</v>
      </c>
      <c r="E9" s="7">
        <v>0.84317355035491171</v>
      </c>
      <c r="F9" s="7">
        <v>0.85437320928184335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57</v>
      </c>
      <c r="C10" s="6">
        <v>211978777</v>
      </c>
      <c r="D10" s="6" t="s">
        <v>75</v>
      </c>
      <c r="E10" s="7">
        <v>0.89621527777777776</v>
      </c>
      <c r="F10" s="7">
        <v>0.89997685185185183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76</v>
      </c>
      <c r="E11" s="7">
        <v>0.83247124742999645</v>
      </c>
      <c r="F11" s="7">
        <v>0.84317355035491171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63</v>
      </c>
      <c r="C12" s="6">
        <v>211978774</v>
      </c>
      <c r="D12" s="6" t="s">
        <v>75</v>
      </c>
      <c r="E12" s="7">
        <v>0.90619212962962958</v>
      </c>
      <c r="F12" s="7">
        <v>0.92701388888888892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76</v>
      </c>
      <c r="E13" s="7">
        <v>0.86595491176500161</v>
      </c>
      <c r="F13" s="7">
        <v>0.9150007473276911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16"/>
      <c r="F14" s="16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opLeftCell="B1" zoomScale="85" zoomScaleNormal="85" workbookViewId="0">
      <selection activeCell="D19" sqref="D19"/>
    </sheetView>
    <sheetView tabSelected="1" workbookViewId="1">
      <selection activeCell="E17" sqref="E17:F17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 t="e">
        <f>+#REF!-#REF!</f>
        <v>#REF!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9</v>
      </c>
      <c r="C4" s="6">
        <v>211975579</v>
      </c>
      <c r="D4" s="6" t="s">
        <v>75</v>
      </c>
      <c r="E4" s="7">
        <v>0.71902777777777782</v>
      </c>
      <c r="F4" s="7">
        <v>0.78304398148148147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76</v>
      </c>
      <c r="E5" s="7">
        <v>0.72916666666666663</v>
      </c>
      <c r="F5" s="7">
        <v>0.81051587301587302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26</v>
      </c>
      <c r="C6" s="6">
        <v>211978330</v>
      </c>
      <c r="D6" s="6" t="s">
        <v>75</v>
      </c>
      <c r="E6" s="7">
        <v>0.78795138888888894</v>
      </c>
      <c r="F6" s="7">
        <v>0.79729166666666662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76</v>
      </c>
      <c r="E7" s="7">
        <v>0.81051587301587302</v>
      </c>
      <c r="F7" s="7">
        <v>0.86855476190476189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28</v>
      </c>
      <c r="C8" s="6">
        <v>211978332</v>
      </c>
      <c r="D8" s="6" t="s">
        <v>75</v>
      </c>
      <c r="E8" s="7">
        <v>0.79945601851851855</v>
      </c>
      <c r="F8" s="7">
        <v>0.80939814814814814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76</v>
      </c>
      <c r="E9" s="7">
        <v>0.86855476190476189</v>
      </c>
      <c r="F9" s="7">
        <v>0.88873883902601181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30</v>
      </c>
      <c r="C10" s="6">
        <v>211978333</v>
      </c>
      <c r="D10" s="6" t="s">
        <v>75</v>
      </c>
      <c r="E10" s="7">
        <v>0.81090277777777775</v>
      </c>
      <c r="F10" s="7">
        <v>0.85908564814814814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76</v>
      </c>
      <c r="E11" s="7">
        <v>0.88873883902601181</v>
      </c>
      <c r="F11" s="7">
        <v>0.93635788664505948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11</v>
      </c>
      <c r="C12" s="6">
        <v>211978778</v>
      </c>
      <c r="D12" s="6" t="s">
        <v>75</v>
      </c>
      <c r="E12" s="7">
        <v>0.87682870370370369</v>
      </c>
      <c r="F12" s="7">
        <v>0.90202546296296293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76</v>
      </c>
      <c r="E13" s="7">
        <v>0.93635788664505948</v>
      </c>
      <c r="F13" s="7">
        <v>0.96396734696251984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10</v>
      </c>
      <c r="C14" s="6">
        <v>211977906</v>
      </c>
      <c r="D14" s="6" t="s">
        <v>75</v>
      </c>
      <c r="E14" s="7">
        <v>0.94768518518518519</v>
      </c>
      <c r="F14" s="7">
        <v>0.96032407407407405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76</v>
      </c>
      <c r="E15" s="7">
        <v>0.96396734696251984</v>
      </c>
      <c r="F15" s="7">
        <v>0.99924465747969082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9</v>
      </c>
      <c r="C16" s="6">
        <v>211975580</v>
      </c>
      <c r="D16" s="6" t="s">
        <v>75</v>
      </c>
      <c r="E16" s="7">
        <v>0.95354166666666662</v>
      </c>
      <c r="F16" s="7">
        <v>1.2037037037037038E-3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76</v>
      </c>
      <c r="E17" s="7">
        <v>0.99924465747969082</v>
      </c>
      <c r="F17" s="7">
        <v>1.0805938638288972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40</v>
      </c>
      <c r="C18" s="6">
        <v>211978787</v>
      </c>
      <c r="D18" s="6" t="s">
        <v>75</v>
      </c>
      <c r="E18" s="7">
        <v>0.96228009259259262</v>
      </c>
      <c r="F18" s="7">
        <v>0.97335648148148146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 t="s">
        <v>76</v>
      </c>
      <c r="E19" s="7">
        <v>1.0805938638288972</v>
      </c>
      <c r="F19" s="7">
        <v>1.1262287844638179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8</v>
      </c>
      <c r="C20" s="6">
        <v>211978773</v>
      </c>
      <c r="D20" s="6" t="s">
        <v>75</v>
      </c>
      <c r="E20" s="7">
        <v>0.97594907407407405</v>
      </c>
      <c r="F20" s="7">
        <v>1.0104166666666666E-2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76</v>
      </c>
      <c r="E21" s="7">
        <v>1.1262287844638179</v>
      </c>
      <c r="F21" s="7">
        <v>1.2208034659029061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0:C1048576 C7 C9 C11 C13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M29"/>
  <sheetViews>
    <sheetView topLeftCell="A7" workbookViewId="0">
      <selection activeCell="I25" sqref="I25:J25"/>
    </sheetView>
    <sheetView workbookViewId="1"/>
  </sheetViews>
  <sheetFormatPr defaultRowHeight="18.75"/>
  <cols>
    <col min="2" max="2" width="14.375" bestFit="1" customWidth="1"/>
    <col min="3" max="3" width="13" bestFit="1" customWidth="1"/>
    <col min="4" max="4" width="10" bestFit="1" customWidth="1"/>
    <col min="6" max="6" width="23.75" style="20" customWidth="1"/>
    <col min="7" max="7" width="9" style="25"/>
    <col min="8" max="8" width="13" style="25" bestFit="1" customWidth="1"/>
    <col min="9" max="9" width="20.625" bestFit="1" customWidth="1"/>
    <col min="10" max="10" width="20.625" customWidth="1"/>
  </cols>
  <sheetData>
    <row r="2" spans="2:13">
      <c r="H2" s="21"/>
      <c r="I2" t="s">
        <v>12</v>
      </c>
      <c r="L2" s="2">
        <v>0.50694444444444442</v>
      </c>
      <c r="M2" s="2">
        <v>0.54166666666666663</v>
      </c>
    </row>
    <row r="3" spans="2:13">
      <c r="L3" s="2">
        <v>0.63194444444444442</v>
      </c>
      <c r="M3" s="2">
        <v>0.63888888888888895</v>
      </c>
    </row>
    <row r="4" spans="2:13">
      <c r="I4" s="2"/>
      <c r="J4" s="2"/>
      <c r="L4" s="2">
        <v>0.82291666666666663</v>
      </c>
      <c r="M4" s="2">
        <v>0.84722222222222221</v>
      </c>
    </row>
    <row r="5" spans="2:13">
      <c r="B5" s="6" t="s">
        <v>32</v>
      </c>
      <c r="C5" s="6" t="s">
        <v>33</v>
      </c>
      <c r="D5" s="6" t="s">
        <v>15</v>
      </c>
      <c r="E5" s="6" t="s">
        <v>16</v>
      </c>
      <c r="F5" s="26" t="s">
        <v>34</v>
      </c>
      <c r="G5" s="23" t="s">
        <v>35</v>
      </c>
      <c r="H5" s="23" t="s">
        <v>18</v>
      </c>
      <c r="I5" s="6" t="s">
        <v>36</v>
      </c>
      <c r="J5" s="6" t="s">
        <v>37</v>
      </c>
      <c r="L5" s="2">
        <v>0.9375</v>
      </c>
      <c r="M5" s="2">
        <v>0.94444444444444453</v>
      </c>
    </row>
    <row r="6" spans="2:13">
      <c r="B6" s="6" t="s">
        <v>9</v>
      </c>
      <c r="C6" s="6" t="s">
        <v>39</v>
      </c>
      <c r="D6" s="6">
        <v>288</v>
      </c>
      <c r="E6" s="6" t="s">
        <v>23</v>
      </c>
      <c r="F6" s="28" t="s">
        <v>22</v>
      </c>
      <c r="G6" s="23">
        <v>2.428571428571427</v>
      </c>
      <c r="H6" s="23">
        <v>1.9523809523809526</v>
      </c>
      <c r="I6" s="16">
        <v>0.72916666666666663</v>
      </c>
      <c r="J6" s="16">
        <f>I6+G6/24</f>
        <v>0.83035714285714279</v>
      </c>
    </row>
    <row r="7" spans="2:13">
      <c r="B7" s="6" t="s">
        <v>40</v>
      </c>
      <c r="C7" s="6" t="s">
        <v>41</v>
      </c>
      <c r="D7" s="6">
        <v>24</v>
      </c>
      <c r="E7" s="6" t="s">
        <v>21</v>
      </c>
      <c r="F7" s="28" t="s">
        <v>22</v>
      </c>
      <c r="G7" s="23">
        <v>0.85714285714285721</v>
      </c>
      <c r="H7" s="23">
        <v>1.0952380952380953</v>
      </c>
      <c r="I7" s="16">
        <f>J6</f>
        <v>0.83035714285714279</v>
      </c>
      <c r="J7" s="16">
        <f>I7+G7/24</f>
        <v>0.86607142857142849</v>
      </c>
    </row>
    <row r="8" spans="2:13">
      <c r="B8" s="6" t="s">
        <v>42</v>
      </c>
      <c r="C8" s="6" t="s">
        <v>43</v>
      </c>
      <c r="D8" s="6">
        <v>12</v>
      </c>
      <c r="E8" s="6" t="s">
        <v>21</v>
      </c>
      <c r="F8" s="28" t="s">
        <v>22</v>
      </c>
      <c r="G8" s="27">
        <v>0.5</v>
      </c>
      <c r="H8" s="23" t="s">
        <v>38</v>
      </c>
      <c r="I8" s="16">
        <f>J7</f>
        <v>0.86607142857142849</v>
      </c>
      <c r="J8" s="16">
        <f>I8+G8/24</f>
        <v>0.88690476190476186</v>
      </c>
    </row>
    <row r="9" spans="2:13">
      <c r="B9" s="6" t="s">
        <v>44</v>
      </c>
      <c r="C9" s="6" t="s">
        <v>45</v>
      </c>
      <c r="D9" s="6">
        <v>1</v>
      </c>
      <c r="E9" s="6" t="s">
        <v>21</v>
      </c>
      <c r="F9" s="28" t="s">
        <v>22</v>
      </c>
      <c r="G9" s="23">
        <v>0.26984126984126983</v>
      </c>
      <c r="H9" s="23" t="s">
        <v>38</v>
      </c>
      <c r="I9" s="16">
        <f>J8</f>
        <v>0.88690476190476186</v>
      </c>
      <c r="J9" s="16">
        <f>I9+G9/24</f>
        <v>0.89814814814814814</v>
      </c>
    </row>
    <row r="10" spans="2:13">
      <c r="B10" s="6" t="s">
        <v>46</v>
      </c>
      <c r="C10" s="6" t="s">
        <v>47</v>
      </c>
      <c r="D10" s="6">
        <v>24</v>
      </c>
      <c r="E10" s="6" t="s">
        <v>21</v>
      </c>
      <c r="F10" s="28" t="s">
        <v>22</v>
      </c>
      <c r="G10" s="23">
        <v>2.7947962690230734</v>
      </c>
      <c r="H10" s="23" t="s">
        <v>38</v>
      </c>
      <c r="I10" s="16">
        <f>J9</f>
        <v>0.89814814814814814</v>
      </c>
      <c r="J10" s="16">
        <f>I10+G10/24</f>
        <v>1.0145979926907762</v>
      </c>
    </row>
    <row r="11" spans="2:13">
      <c r="B11" s="6" t="s">
        <v>48</v>
      </c>
      <c r="C11" s="6" t="s">
        <v>49</v>
      </c>
      <c r="D11" s="6">
        <v>96</v>
      </c>
      <c r="E11" s="6" t="s">
        <v>21</v>
      </c>
      <c r="F11" s="28" t="s">
        <v>22</v>
      </c>
      <c r="G11" s="23">
        <v>0.32279550651158173</v>
      </c>
      <c r="H11" s="23" t="s">
        <v>38</v>
      </c>
      <c r="I11" s="16">
        <f>J10</f>
        <v>1.0145979926907762</v>
      </c>
      <c r="J11" s="16">
        <f>I11+G11/24</f>
        <v>1.0280478054620921</v>
      </c>
    </row>
    <row r="12" spans="2:13">
      <c r="B12" s="6" t="s">
        <v>50</v>
      </c>
      <c r="C12" s="6" t="s">
        <v>51</v>
      </c>
      <c r="D12" s="6">
        <v>168</v>
      </c>
      <c r="E12" s="6" t="s">
        <v>21</v>
      </c>
      <c r="F12" s="29">
        <v>45575.769837962966</v>
      </c>
      <c r="G12" s="23">
        <v>0.43750000000000006</v>
      </c>
      <c r="H12" s="23" t="s">
        <v>38</v>
      </c>
      <c r="I12" s="16">
        <f>J11</f>
        <v>1.0280478054620921</v>
      </c>
      <c r="J12" s="16">
        <f>I12+G12/24</f>
        <v>1.0462769721287588</v>
      </c>
    </row>
    <row r="17" spans="2:10">
      <c r="I17" s="2"/>
    </row>
    <row r="18" spans="2:10">
      <c r="B18" s="6" t="s">
        <v>32</v>
      </c>
      <c r="C18" s="6" t="s">
        <v>33</v>
      </c>
      <c r="D18" s="6" t="s">
        <v>15</v>
      </c>
      <c r="E18" s="6" t="s">
        <v>16</v>
      </c>
      <c r="F18" s="26" t="s">
        <v>34</v>
      </c>
      <c r="G18" s="23" t="s">
        <v>35</v>
      </c>
      <c r="H18" s="23" t="s">
        <v>18</v>
      </c>
      <c r="I18" s="6" t="s">
        <v>36</v>
      </c>
      <c r="J18" s="6" t="s">
        <v>37</v>
      </c>
    </row>
    <row r="19" spans="2:10">
      <c r="B19" s="6" t="s">
        <v>8</v>
      </c>
      <c r="C19" s="6" t="s">
        <v>52</v>
      </c>
      <c r="D19" s="6">
        <v>60</v>
      </c>
      <c r="E19" s="6" t="s">
        <v>24</v>
      </c>
      <c r="F19" s="26" t="s">
        <v>22</v>
      </c>
      <c r="G19" s="23">
        <v>1.8286112596039952</v>
      </c>
      <c r="H19" s="23">
        <v>2.2697923545381169</v>
      </c>
      <c r="I19" s="16">
        <v>0.72916666666666663</v>
      </c>
      <c r="J19" s="16">
        <f>I19+G19/24</f>
        <v>0.80535880248349978</v>
      </c>
    </row>
    <row r="20" spans="2:10">
      <c r="B20" s="6" t="s">
        <v>53</v>
      </c>
      <c r="C20" s="6" t="s">
        <v>54</v>
      </c>
      <c r="D20" s="6">
        <v>60</v>
      </c>
      <c r="E20" s="6" t="s">
        <v>24</v>
      </c>
      <c r="F20" s="26" t="s">
        <v>22</v>
      </c>
      <c r="G20" s="23">
        <v>0.40219222485232387</v>
      </c>
      <c r="H20" s="23">
        <v>0.43721877465719833</v>
      </c>
      <c r="I20" s="16">
        <f>J19</f>
        <v>0.80535880248349978</v>
      </c>
      <c r="J20" s="16">
        <f>I20+G20/24</f>
        <v>0.82211681185234664</v>
      </c>
    </row>
    <row r="21" spans="2:10">
      <c r="B21" s="6" t="s">
        <v>55</v>
      </c>
      <c r="C21" s="6" t="s">
        <v>56</v>
      </c>
      <c r="D21" s="6">
        <v>60</v>
      </c>
      <c r="E21" s="6" t="s">
        <v>24</v>
      </c>
      <c r="F21" s="26" t="s">
        <v>22</v>
      </c>
      <c r="G21" s="23">
        <v>0.24850645386359674</v>
      </c>
      <c r="H21" s="23" t="s">
        <v>38</v>
      </c>
      <c r="I21" s="16">
        <f>J20</f>
        <v>0.82211681185234664</v>
      </c>
      <c r="J21" s="16">
        <f>I21+G21/24</f>
        <v>0.83247124742999645</v>
      </c>
    </row>
    <row r="22" spans="2:10">
      <c r="B22" s="6" t="s">
        <v>57</v>
      </c>
      <c r="C22" s="6" t="s">
        <v>58</v>
      </c>
      <c r="D22" s="6">
        <v>48</v>
      </c>
      <c r="E22" s="6" t="s">
        <v>24</v>
      </c>
      <c r="F22" s="26" t="s">
        <v>22</v>
      </c>
      <c r="G22" s="23">
        <v>0.25685527019796683</v>
      </c>
      <c r="H22" s="23" t="s">
        <v>38</v>
      </c>
      <c r="I22" s="16">
        <f>J21</f>
        <v>0.83247124742999645</v>
      </c>
      <c r="J22" s="16">
        <f>I22+G22/24</f>
        <v>0.84317355035491171</v>
      </c>
    </row>
    <row r="23" spans="2:10">
      <c r="B23" s="6" t="s">
        <v>59</v>
      </c>
      <c r="C23" s="6" t="s">
        <v>60</v>
      </c>
      <c r="D23" s="6">
        <v>48</v>
      </c>
      <c r="E23" s="6" t="s">
        <v>24</v>
      </c>
      <c r="F23" s="26" t="s">
        <v>22</v>
      </c>
      <c r="G23" s="23">
        <v>0.26879181424635967</v>
      </c>
      <c r="H23" s="23" t="s">
        <v>38</v>
      </c>
      <c r="I23" s="16">
        <f>J22</f>
        <v>0.84317355035491171</v>
      </c>
      <c r="J23" s="16">
        <f>I23+G23/24</f>
        <v>0.85437320928184335</v>
      </c>
    </row>
    <row r="24" spans="2:10">
      <c r="B24" s="6" t="s">
        <v>61</v>
      </c>
      <c r="C24" s="6" t="s">
        <v>62</v>
      </c>
      <c r="D24" s="6">
        <v>60</v>
      </c>
      <c r="E24" s="6" t="s">
        <v>24</v>
      </c>
      <c r="F24" s="26">
        <v>45575.742442129631</v>
      </c>
      <c r="G24" s="23">
        <v>0.27796085959579803</v>
      </c>
      <c r="H24" s="23" t="s">
        <v>38</v>
      </c>
      <c r="I24" s="16">
        <f>J23</f>
        <v>0.85437320928184335</v>
      </c>
      <c r="J24" s="16">
        <f>I24+G24/24</f>
        <v>0.86595491176500161</v>
      </c>
    </row>
    <row r="25" spans="2:10">
      <c r="B25" s="6" t="s">
        <v>63</v>
      </c>
      <c r="C25" s="6" t="s">
        <v>64</v>
      </c>
      <c r="D25" s="6">
        <v>60</v>
      </c>
      <c r="E25" s="6" t="s">
        <v>24</v>
      </c>
      <c r="F25" s="26">
        <v>45575.873854166668</v>
      </c>
      <c r="G25" s="23">
        <v>1.1771000535045477</v>
      </c>
      <c r="H25" s="23">
        <v>1.1620117710005353</v>
      </c>
      <c r="I25" s="16">
        <f>J24</f>
        <v>0.86595491176500161</v>
      </c>
      <c r="J25" s="16">
        <f>I25+G25/24</f>
        <v>0.9150007473276911</v>
      </c>
    </row>
    <row r="26" spans="2:10">
      <c r="B26" s="6" t="s">
        <v>65</v>
      </c>
      <c r="C26" s="6" t="s">
        <v>66</v>
      </c>
      <c r="D26" s="6">
        <v>60</v>
      </c>
      <c r="E26" s="6" t="s">
        <v>24</v>
      </c>
      <c r="F26" s="26">
        <v>45575.786076388889</v>
      </c>
      <c r="G26" s="23">
        <v>0.52633281573498936</v>
      </c>
      <c r="H26" s="23" t="s">
        <v>38</v>
      </c>
      <c r="I26" s="16">
        <f>J25</f>
        <v>0.9150007473276911</v>
      </c>
      <c r="J26" s="16">
        <f>I26+G26/24</f>
        <v>0.93693128131664905</v>
      </c>
    </row>
    <row r="27" spans="2:10">
      <c r="B27" s="6" t="s">
        <v>67</v>
      </c>
      <c r="C27" s="6" t="s">
        <v>68</v>
      </c>
      <c r="D27" s="6">
        <v>96</v>
      </c>
      <c r="E27" s="6" t="s">
        <v>24</v>
      </c>
      <c r="F27" s="26">
        <v>45576.70103009259</v>
      </c>
      <c r="G27" s="23">
        <v>0.25652841904761908</v>
      </c>
      <c r="H27" s="23" t="s">
        <v>38</v>
      </c>
      <c r="I27" s="16">
        <f>J26</f>
        <v>0.93693128131664905</v>
      </c>
      <c r="J27" s="16">
        <f>I27+G27/24</f>
        <v>0.94761996544363314</v>
      </c>
    </row>
    <row r="28" spans="2:10">
      <c r="B28" s="6" t="s">
        <v>69</v>
      </c>
      <c r="C28" s="6" t="s">
        <v>70</v>
      </c>
      <c r="D28" s="6">
        <v>48</v>
      </c>
      <c r="E28" s="6" t="s">
        <v>21</v>
      </c>
      <c r="F28" s="29">
        <v>45575.796620370369</v>
      </c>
      <c r="G28" s="23">
        <v>0.5357142857142857</v>
      </c>
      <c r="H28" s="23" t="s">
        <v>38</v>
      </c>
      <c r="I28" s="16">
        <f>J27</f>
        <v>0.94761996544363314</v>
      </c>
      <c r="J28" s="16">
        <f>I28+G28/24</f>
        <v>0.96994139401506174</v>
      </c>
    </row>
    <row r="29" spans="2:10">
      <c r="B29" s="6" t="s">
        <v>71</v>
      </c>
      <c r="C29" s="6" t="s">
        <v>72</v>
      </c>
      <c r="D29" s="6">
        <v>96</v>
      </c>
      <c r="E29" s="6" t="s">
        <v>21</v>
      </c>
      <c r="F29" s="29">
        <v>45575.902962962966</v>
      </c>
      <c r="G29" s="23">
        <v>0.85634920634920642</v>
      </c>
      <c r="H29" s="23" t="s">
        <v>38</v>
      </c>
      <c r="I29" s="16">
        <f>J28</f>
        <v>0.96994139401506174</v>
      </c>
      <c r="J29" s="16">
        <f>I29+G29/24</f>
        <v>1.0056226109462787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2:K18"/>
  <sheetViews>
    <sheetView tabSelected="1" workbookViewId="0">
      <selection activeCell="H14" sqref="H14:I14"/>
    </sheetView>
    <sheetView workbookViewId="1">
      <selection activeCell="H12" sqref="H12:I12"/>
    </sheetView>
  </sheetViews>
  <sheetFormatPr defaultRowHeight="18.75"/>
  <cols>
    <col min="2" max="2" width="13.125" bestFit="1" customWidth="1"/>
    <col min="3" max="3" width="14.375" bestFit="1" customWidth="1"/>
    <col min="4" max="4" width="8.75" bestFit="1" customWidth="1"/>
    <col min="5" max="5" width="11.125" bestFit="1" customWidth="1"/>
    <col min="6" max="6" width="16.5" style="20" bestFit="1" customWidth="1"/>
    <col min="8" max="9" width="13" bestFit="1" customWidth="1"/>
    <col min="10" max="10" width="17.25" bestFit="1" customWidth="1"/>
  </cols>
  <sheetData>
    <row r="2" spans="2:11">
      <c r="G2" s="21"/>
      <c r="H2" t="s">
        <v>12</v>
      </c>
    </row>
    <row r="5" spans="2:11">
      <c r="B5" s="6" t="s">
        <v>13</v>
      </c>
      <c r="C5" s="6" t="s">
        <v>14</v>
      </c>
      <c r="D5" s="6" t="s">
        <v>15</v>
      </c>
      <c r="E5" s="6" t="s">
        <v>16</v>
      </c>
      <c r="F5" s="22" t="s">
        <v>17</v>
      </c>
      <c r="G5" s="23" t="s">
        <v>18</v>
      </c>
      <c r="H5" s="6" t="s">
        <v>19</v>
      </c>
      <c r="I5" s="6" t="s">
        <v>20</v>
      </c>
    </row>
    <row r="6" spans="2:11">
      <c r="B6" s="6" t="s">
        <v>9</v>
      </c>
      <c r="C6" s="6" t="s">
        <v>25</v>
      </c>
      <c r="D6" s="6">
        <v>288</v>
      </c>
      <c r="E6" s="6" t="s">
        <v>23</v>
      </c>
      <c r="F6" s="24" t="s">
        <v>22</v>
      </c>
      <c r="G6" s="23">
        <v>1.9523809523809526</v>
      </c>
      <c r="H6" s="16">
        <v>0.72916666666666663</v>
      </c>
      <c r="I6" s="16">
        <f>H6+G6/24</f>
        <v>0.81051587301587302</v>
      </c>
    </row>
    <row r="7" spans="2:11">
      <c r="B7" s="6" t="s">
        <v>26</v>
      </c>
      <c r="C7" s="6" t="s">
        <v>27</v>
      </c>
      <c r="D7" s="6">
        <v>24</v>
      </c>
      <c r="E7" s="6" t="s">
        <v>21</v>
      </c>
      <c r="F7" s="24" t="s">
        <v>22</v>
      </c>
      <c r="G7" s="23">
        <v>1.3929333333333334</v>
      </c>
      <c r="H7" s="16">
        <f>I6</f>
        <v>0.81051587301587302</v>
      </c>
      <c r="I7" s="16">
        <f>H7+G7/24</f>
        <v>0.86855476190476189</v>
      </c>
    </row>
    <row r="8" spans="2:11">
      <c r="B8" s="6" t="s">
        <v>28</v>
      </c>
      <c r="C8" s="6" t="s">
        <v>29</v>
      </c>
      <c r="D8" s="6">
        <v>48</v>
      </c>
      <c r="E8" s="6" t="s">
        <v>21</v>
      </c>
      <c r="F8" s="24" t="s">
        <v>22</v>
      </c>
      <c r="G8" s="23">
        <v>0.4844178509099975</v>
      </c>
      <c r="H8" s="16">
        <f>I7</f>
        <v>0.86855476190476189</v>
      </c>
      <c r="I8" s="16">
        <f>H8+G8/24</f>
        <v>0.88873883902601181</v>
      </c>
    </row>
    <row r="9" spans="2:11">
      <c r="B9" s="6" t="s">
        <v>30</v>
      </c>
      <c r="C9" s="6" t="s">
        <v>31</v>
      </c>
      <c r="D9" s="6">
        <v>48</v>
      </c>
      <c r="E9" s="6" t="s">
        <v>21</v>
      </c>
      <c r="F9" s="24" t="s">
        <v>22</v>
      </c>
      <c r="G9" s="23">
        <v>1.142857142857143</v>
      </c>
      <c r="H9" s="16">
        <f>I8</f>
        <v>0.88873883902601181</v>
      </c>
      <c r="I9" s="16">
        <f>H9+G9/24</f>
        <v>0.93635788664505948</v>
      </c>
    </row>
    <row r="10" spans="2:11">
      <c r="B10" s="6" t="s">
        <v>11</v>
      </c>
      <c r="C10" s="6" t="s">
        <v>73</v>
      </c>
      <c r="D10" s="6">
        <v>48</v>
      </c>
      <c r="E10" s="6" t="s">
        <v>23</v>
      </c>
      <c r="F10" s="24" t="s">
        <v>22</v>
      </c>
      <c r="G10" s="23">
        <v>0.66262704761904767</v>
      </c>
      <c r="H10" s="16">
        <f>I9</f>
        <v>0.93635788664505948</v>
      </c>
      <c r="I10" s="16">
        <f>H10+G10/24</f>
        <v>0.96396734696251984</v>
      </c>
    </row>
    <row r="11" spans="2:11">
      <c r="B11" s="6" t="s">
        <v>10</v>
      </c>
      <c r="C11" s="6" t="s">
        <v>74</v>
      </c>
      <c r="D11" s="6">
        <v>48</v>
      </c>
      <c r="E11" s="6" t="s">
        <v>23</v>
      </c>
      <c r="F11" s="24" t="s">
        <v>22</v>
      </c>
      <c r="G11" s="23">
        <v>0.84665545241210305</v>
      </c>
      <c r="H11" s="16">
        <f>I10</f>
        <v>0.96396734696251984</v>
      </c>
      <c r="I11" s="16">
        <f>H11+G11/24</f>
        <v>0.99924465747969082</v>
      </c>
      <c r="K11" s="2"/>
    </row>
    <row r="12" spans="2:11">
      <c r="B12" s="6" t="s">
        <v>9</v>
      </c>
      <c r="C12" s="6" t="s">
        <v>39</v>
      </c>
      <c r="D12" s="6">
        <v>288</v>
      </c>
      <c r="E12" s="6" t="s">
        <v>23</v>
      </c>
      <c r="F12" s="22">
        <v>0.83035714285714279</v>
      </c>
      <c r="G12" s="23">
        <v>1.9523809523809526</v>
      </c>
      <c r="H12" s="16">
        <f>I11</f>
        <v>0.99924465747969082</v>
      </c>
      <c r="I12" s="16">
        <f>H12+G12/24</f>
        <v>1.0805938638288972</v>
      </c>
      <c r="K12" s="2"/>
    </row>
    <row r="13" spans="2:11">
      <c r="B13" s="6" t="s">
        <v>40</v>
      </c>
      <c r="C13" s="6" t="s">
        <v>41</v>
      </c>
      <c r="D13" s="6">
        <v>24</v>
      </c>
      <c r="E13" s="6" t="s">
        <v>21</v>
      </c>
      <c r="F13" s="22">
        <v>0.86607142857142849</v>
      </c>
      <c r="G13" s="23">
        <v>1.0952380952380953</v>
      </c>
      <c r="H13" s="16">
        <f>I12</f>
        <v>1.0805938638288972</v>
      </c>
      <c r="I13" s="16">
        <f>H13+G13/24</f>
        <v>1.1262287844638179</v>
      </c>
      <c r="K13" s="2"/>
    </row>
    <row r="14" spans="2:11">
      <c r="B14" s="6" t="s">
        <v>8</v>
      </c>
      <c r="C14" s="6" t="s">
        <v>52</v>
      </c>
      <c r="D14" s="6">
        <v>60</v>
      </c>
      <c r="E14" s="6" t="s">
        <v>24</v>
      </c>
      <c r="F14" s="22">
        <v>0.80535880248349978</v>
      </c>
      <c r="G14" s="23">
        <v>2.2697923545381169</v>
      </c>
      <c r="H14" s="16">
        <f>I13</f>
        <v>1.1262287844638179</v>
      </c>
      <c r="I14" s="16">
        <f>H14+G14/24</f>
        <v>1.2208034659029061</v>
      </c>
      <c r="K14" s="2"/>
    </row>
    <row r="15" spans="2:11">
      <c r="B15" s="6" t="s">
        <v>53</v>
      </c>
      <c r="C15" s="6" t="s">
        <v>54</v>
      </c>
      <c r="D15" s="6">
        <v>60</v>
      </c>
      <c r="E15" s="6" t="s">
        <v>24</v>
      </c>
      <c r="F15" s="22">
        <v>0.82211681185234664</v>
      </c>
      <c r="G15" s="23">
        <v>0.43721877465719833</v>
      </c>
      <c r="H15" s="16">
        <f>I14</f>
        <v>1.2208034659029061</v>
      </c>
      <c r="I15" s="16">
        <f>H15+G15/24</f>
        <v>1.239020914846956</v>
      </c>
      <c r="K15" s="2"/>
    </row>
    <row r="16" spans="2:11">
      <c r="B16" s="6" t="s">
        <v>63</v>
      </c>
      <c r="C16" s="6" t="s">
        <v>64</v>
      </c>
      <c r="D16" s="6">
        <v>60</v>
      </c>
      <c r="E16" s="16" t="s">
        <v>24</v>
      </c>
      <c r="F16" s="22">
        <v>0.9150007473276911</v>
      </c>
      <c r="G16" s="23">
        <v>1.1620117710005353</v>
      </c>
      <c r="H16" s="16">
        <f>I15</f>
        <v>1.239020914846956</v>
      </c>
      <c r="I16" s="16">
        <f>H16+G16/24</f>
        <v>1.2874380719719782</v>
      </c>
      <c r="K16" s="2"/>
    </row>
    <row r="17" spans="11:11">
      <c r="K17" s="2"/>
    </row>
    <row r="18" spans="11:11">
      <c r="K18" s="2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FC9C10-8267-4252-9ED9-248C86B473F8}"/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ea180fb7-6417-4417-bcc2-1a1988547c9d"/>
    <ds:schemaRef ds:uri="http://purl.org/dc/terms/"/>
    <ds:schemaRef ds:uri="http://schemas.openxmlformats.org/package/2006/metadata/core-properties"/>
    <ds:schemaRef ds:uri="a7e61ba0-4c47-4710-ac4c-031e401f92b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2024-10-10T23:51:58Z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