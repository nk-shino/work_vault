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harts/style2.xml" ContentType="application/vnd.ms-office.chartsty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colors2.xml" ContentType="application/vnd.ms-office.chartcolorstyle+xml"/>
  <Override PartName="/xl/externalLinks/externalLink1.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24226"/>
  <mc:AlternateContent xmlns:mc="http://schemas.openxmlformats.org/markup-compatibility/2006">
    <mc:Choice Requires="x15">
      <x15ac:absPath xmlns:x15ac="http://schemas.microsoft.com/office/spreadsheetml/2010/11/ac" url="G:\AOI生産データ\"/>
    </mc:Choice>
  </mc:AlternateContent>
  <xr:revisionPtr revIDLastSave="0" documentId="8_{BA047A89-A912-4DDB-87B3-042B9F6930F8}" xr6:coauthVersionLast="47" xr6:coauthVersionMax="47" xr10:uidLastSave="{00000000-0000-0000-0000-000000000000}"/>
  <bookViews>
    <workbookView xWindow="-19320" yWindow="-1455" windowWidth="19440" windowHeight="15000" xr2:uid="{00000000-000D-0000-FFFF-FFFF00000000}"/>
  </bookViews>
  <sheets>
    <sheet name="８月報告シ-ト " sheetId="4" r:id="rId1"/>
    <sheet name="7月報告シ-ト " sheetId="1" r:id="rId2"/>
    <sheet name="生産１課配置" sheetId="2" r:id="rId3"/>
    <sheet name="生産1課_SMT負荷計算(8-21BOSS)" sheetId="5" r:id="rId4"/>
  </sheets>
  <externalReferences>
    <externalReference r:id="rId5"/>
  </externalReferences>
  <definedNames>
    <definedName name="_xlnm.Print_Area" localSheetId="1">'7月報告シ-ト '!$B$1:$T$32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5" l="1"/>
  <c r="M66" i="5" l="1"/>
  <c r="M40" i="5"/>
  <c r="F20" i="4" l="1"/>
  <c r="N10" i="4"/>
  <c r="K10" i="4"/>
  <c r="H10" i="4"/>
  <c r="I9" i="4"/>
  <c r="F9" i="4"/>
  <c r="H9" i="4" s="1"/>
  <c r="I24" i="4"/>
  <c r="F24" i="4"/>
  <c r="L23" i="4"/>
  <c r="I23" i="4"/>
  <c r="F23" i="4"/>
  <c r="G24" i="4"/>
  <c r="H24" i="4" s="1"/>
  <c r="F23" i="1"/>
  <c r="K9" i="4"/>
  <c r="K13" i="4" s="1"/>
  <c r="H31" i="4"/>
  <c r="G31" i="4"/>
  <c r="F31" i="4"/>
  <c r="E31" i="4"/>
  <c r="L30" i="4"/>
  <c r="M30" i="4" s="1"/>
  <c r="I30" i="4"/>
  <c r="J30" i="4" s="1"/>
  <c r="L29" i="4"/>
  <c r="L31" i="4" s="1"/>
  <c r="I29" i="4"/>
  <c r="M28" i="4"/>
  <c r="J28" i="4"/>
  <c r="G28" i="4"/>
  <c r="E28" i="4"/>
  <c r="N27" i="4"/>
  <c r="L27" i="4"/>
  <c r="K27" i="4"/>
  <c r="I27" i="4"/>
  <c r="F27" i="4"/>
  <c r="H27" i="4" s="1"/>
  <c r="L26" i="4"/>
  <c r="L28" i="4" s="1"/>
  <c r="I26" i="4"/>
  <c r="K26" i="4" s="1"/>
  <c r="F26" i="4"/>
  <c r="H26" i="4" s="1"/>
  <c r="E25" i="4"/>
  <c r="L24" i="4"/>
  <c r="L25" i="4" s="1"/>
  <c r="N23" i="4"/>
  <c r="M23" i="4"/>
  <c r="E22" i="4"/>
  <c r="L21" i="4"/>
  <c r="L22" i="4" s="1"/>
  <c r="I21" i="4"/>
  <c r="F21" i="4"/>
  <c r="L20" i="4"/>
  <c r="I20" i="4"/>
  <c r="I22" i="4" s="1"/>
  <c r="F22" i="4"/>
  <c r="L11" i="4"/>
  <c r="I11" i="4"/>
  <c r="K11" i="4" s="1"/>
  <c r="F11" i="4"/>
  <c r="H11" i="4" s="1"/>
  <c r="L10" i="4"/>
  <c r="I10" i="4"/>
  <c r="F10" i="4"/>
  <c r="L9" i="4"/>
  <c r="N9" i="4" s="1"/>
  <c r="N13" i="4" s="1"/>
  <c r="L10" i="1"/>
  <c r="I10" i="1"/>
  <c r="F10" i="1"/>
  <c r="F25" i="4" l="1"/>
  <c r="F28" i="4"/>
  <c r="E32" i="4"/>
  <c r="F32" i="4"/>
  <c r="K28" i="4"/>
  <c r="H28" i="4"/>
  <c r="L32" i="4"/>
  <c r="J24" i="4"/>
  <c r="K24" i="4" s="1"/>
  <c r="N29" i="4"/>
  <c r="I25" i="4"/>
  <c r="I32" i="4" s="1"/>
  <c r="M24" i="4"/>
  <c r="N24" i="4" s="1"/>
  <c r="N25" i="4" s="1"/>
  <c r="M25" i="4"/>
  <c r="I28" i="4"/>
  <c r="I31" i="4"/>
  <c r="K29" i="4"/>
  <c r="K30" i="4"/>
  <c r="J31" i="4"/>
  <c r="N30" i="4"/>
  <c r="M31" i="4"/>
  <c r="H21" i="4"/>
  <c r="K20" i="4"/>
  <c r="J21" i="4"/>
  <c r="J22" i="4" s="1"/>
  <c r="G23" i="4"/>
  <c r="G25" i="4" s="1"/>
  <c r="N26" i="4"/>
  <c r="N28" i="4" s="1"/>
  <c r="N20" i="4"/>
  <c r="M21" i="4"/>
  <c r="M22" i="4" s="1"/>
  <c r="J23" i="4"/>
  <c r="K23" i="4" s="1"/>
  <c r="N21" i="4"/>
  <c r="H20" i="4"/>
  <c r="G22" i="4"/>
  <c r="N13" i="1"/>
  <c r="K13" i="1"/>
  <c r="N32" i="1"/>
  <c r="M32" i="1"/>
  <c r="L32" i="1"/>
  <c r="K32" i="1"/>
  <c r="J32" i="1"/>
  <c r="I32" i="1"/>
  <c r="H32" i="1"/>
  <c r="G32" i="1"/>
  <c r="F32" i="1"/>
  <c r="E32" i="1"/>
  <c r="M32" i="4" l="1"/>
  <c r="H23" i="4"/>
  <c r="H25" i="4" s="1"/>
  <c r="N31" i="4"/>
  <c r="K31" i="4"/>
  <c r="K25" i="4"/>
  <c r="G32" i="4"/>
  <c r="J25" i="4"/>
  <c r="J32" i="4" s="1"/>
  <c r="H22" i="4"/>
  <c r="K21" i="4"/>
  <c r="K22" i="4" s="1"/>
  <c r="N22" i="4"/>
  <c r="L9" i="1"/>
  <c r="N9" i="1" s="1"/>
  <c r="I9" i="1"/>
  <c r="F9" i="1"/>
  <c r="L24" i="1"/>
  <c r="M24" i="1" s="1"/>
  <c r="L23" i="1"/>
  <c r="M23" i="1" s="1"/>
  <c r="N23" i="1" s="1"/>
  <c r="I24" i="1"/>
  <c r="J24" i="1" s="1"/>
  <c r="I23" i="1"/>
  <c r="F24" i="1"/>
  <c r="F25" i="1"/>
  <c r="E25" i="1"/>
  <c r="L11" i="1"/>
  <c r="I11" i="1"/>
  <c r="K11" i="1" s="1"/>
  <c r="F11" i="1"/>
  <c r="K32" i="4" l="1"/>
  <c r="H32" i="4"/>
  <c r="N32" i="4"/>
  <c r="I25" i="1"/>
  <c r="G23" i="1"/>
  <c r="H23" i="1" s="1"/>
  <c r="G24" i="1"/>
  <c r="H24" i="1" s="1"/>
  <c r="M25" i="1"/>
  <c r="L25" i="1"/>
  <c r="N24" i="1"/>
  <c r="N25" i="1" s="1"/>
  <c r="K24" i="1"/>
  <c r="J23" i="1"/>
  <c r="J25" i="1" s="1"/>
  <c r="H11" i="1"/>
  <c r="G25" i="1" l="1"/>
  <c r="H25" i="1"/>
  <c r="K23" i="1"/>
  <c r="K25" i="1" s="1"/>
  <c r="K9" i="1" l="1"/>
  <c r="H9" i="1"/>
  <c r="L30" i="1"/>
  <c r="L29" i="1"/>
  <c r="I30" i="1"/>
  <c r="I29" i="1"/>
  <c r="F27" i="1"/>
  <c r="F26" i="1"/>
  <c r="L27" i="1"/>
  <c r="L26" i="1"/>
  <c r="I27" i="1"/>
  <c r="I26" i="1"/>
  <c r="L21" i="1"/>
  <c r="L20" i="1"/>
  <c r="I21" i="1"/>
  <c r="I20" i="1"/>
  <c r="F21" i="1"/>
  <c r="F20" i="1"/>
  <c r="H31" i="1" l="1"/>
  <c r="G31" i="1"/>
  <c r="F31" i="1"/>
  <c r="M30" i="1"/>
  <c r="M31" i="1" s="1"/>
  <c r="J30" i="1"/>
  <c r="K30" i="1" s="1"/>
  <c r="K29" i="1"/>
  <c r="L31" i="1" l="1"/>
  <c r="I31" i="1"/>
  <c r="N29" i="1"/>
  <c r="N30" i="1"/>
  <c r="J31" i="1"/>
  <c r="K31" i="1"/>
  <c r="N31" i="1" l="1"/>
  <c r="N26" i="1" l="1"/>
  <c r="K26" i="1"/>
  <c r="K27" i="1"/>
  <c r="H27" i="1"/>
  <c r="H26" i="1"/>
  <c r="M20" i="1"/>
  <c r="J20" i="1"/>
  <c r="M21" i="1"/>
  <c r="G20" i="1"/>
  <c r="G21" i="1"/>
  <c r="E31" i="1"/>
  <c r="M28" i="1"/>
  <c r="J28" i="1"/>
  <c r="G28" i="1"/>
  <c r="E28" i="1"/>
  <c r="E22" i="1"/>
  <c r="F28" i="1" l="1"/>
  <c r="K28" i="1"/>
  <c r="H28" i="1"/>
  <c r="L28" i="1"/>
  <c r="N27" i="1"/>
  <c r="N28" i="1" s="1"/>
  <c r="I28" i="1"/>
  <c r="N20" i="1"/>
  <c r="L22" i="1"/>
  <c r="N21" i="1"/>
  <c r="H20" i="1"/>
  <c r="J21" i="1"/>
  <c r="J22" i="1" s="1"/>
  <c r="M22" i="1"/>
  <c r="H21" i="1"/>
  <c r="G22" i="1"/>
  <c r="I22" i="1"/>
  <c r="K20" i="1"/>
  <c r="F22" i="1"/>
  <c r="N22" i="1" l="1"/>
  <c r="H22" i="1"/>
  <c r="K21" i="1"/>
  <c r="K2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竹渕 正樹</author>
  </authors>
  <commentList>
    <comment ref="E23" authorId="0" shapeId="0" xr:uid="{30917901-0FD3-440C-8D82-9B267956B42D}">
      <text>
        <r>
          <rPr>
            <b/>
            <sz val="9"/>
            <color indexed="81"/>
            <rFont val="MS P ゴシック"/>
            <family val="3"/>
            <charset val="128"/>
          </rPr>
          <t>前工程：丸山さん長期休暇(6/22～9/21)。8・9月は1人減で計算</t>
        </r>
      </text>
    </comment>
    <comment ref="E24" authorId="0" shapeId="0" xr:uid="{500C4C2F-F796-42FD-A65B-F8BB2E332533}">
      <text>
        <r>
          <rPr>
            <b/>
            <sz val="9"/>
            <color indexed="81"/>
            <rFont val="MS P ゴシック"/>
            <family val="3"/>
            <charset val="128"/>
          </rPr>
          <t>後工程：小林さん妊娠により0.5人減で計算</t>
        </r>
      </text>
    </comment>
  </commentList>
</comments>
</file>

<file path=xl/sharedStrings.xml><?xml version="1.0" encoding="utf-8"?>
<sst xmlns="http://schemas.openxmlformats.org/spreadsheetml/2006/main" count="329" uniqueCount="183">
  <si>
    <t>当月</t>
    <rPh sb="0" eb="2">
      <t>トウゲツ</t>
    </rPh>
    <phoneticPr fontId="5"/>
  </si>
  <si>
    <t>翌月</t>
    <phoneticPr fontId="5"/>
  </si>
  <si>
    <t>翌々月</t>
    <phoneticPr fontId="5"/>
  </si>
  <si>
    <t>稼働日）</t>
    <phoneticPr fontId="5"/>
  </si>
  <si>
    <t>保　有</t>
    <rPh sb="0" eb="1">
      <t>タモツ</t>
    </rPh>
    <rPh sb="2" eb="3">
      <t>ユウ</t>
    </rPh>
    <phoneticPr fontId="5"/>
  </si>
  <si>
    <t>負　荷</t>
    <rPh sb="0" eb="1">
      <t>フ</t>
    </rPh>
    <rPh sb="2" eb="3">
      <t>ニ</t>
    </rPh>
    <phoneticPr fontId="5"/>
  </si>
  <si>
    <t>差分</t>
    <rPh sb="0" eb="2">
      <t>サブン</t>
    </rPh>
    <phoneticPr fontId="5"/>
  </si>
  <si>
    <t>小計</t>
    <rPh sb="0" eb="1">
      <t>ショウ</t>
    </rPh>
    <rPh sb="1" eb="2">
      <t>ケイ</t>
    </rPh>
    <phoneticPr fontId="5"/>
  </si>
  <si>
    <t>生産1課</t>
    <rPh sb="0" eb="2">
      <t>セイサン</t>
    </rPh>
    <rPh sb="3" eb="4">
      <t>カ</t>
    </rPh>
    <phoneticPr fontId="5"/>
  </si>
  <si>
    <t>生産2課</t>
    <rPh sb="0" eb="2">
      <t>セイサン</t>
    </rPh>
    <rPh sb="3" eb="4">
      <t>カ</t>
    </rPh>
    <phoneticPr fontId="5"/>
  </si>
  <si>
    <t>配膳</t>
    <rPh sb="0" eb="2">
      <t>ハイゼン</t>
    </rPh>
    <phoneticPr fontId="5"/>
  </si>
  <si>
    <t>生産2課</t>
    <rPh sb="0" eb="2">
      <t>セイサン</t>
    </rPh>
    <rPh sb="3" eb="4">
      <t>カ</t>
    </rPh>
    <phoneticPr fontId="5"/>
  </si>
  <si>
    <t>半製品
検査課</t>
    <rPh sb="0" eb="3">
      <t>ハンセイヒン</t>
    </rPh>
    <rPh sb="4" eb="6">
      <t>ケンサ</t>
    </rPh>
    <rPh sb="6" eb="7">
      <t>カ</t>
    </rPh>
    <phoneticPr fontId="5"/>
  </si>
  <si>
    <t>検査係</t>
    <rPh sb="0" eb="3">
      <t>ケンサカカリ</t>
    </rPh>
    <phoneticPr fontId="5"/>
  </si>
  <si>
    <t>SMT</t>
    <phoneticPr fontId="5"/>
  </si>
  <si>
    <t>AOI</t>
    <phoneticPr fontId="5"/>
  </si>
  <si>
    <t>小計</t>
    <rPh sb="0" eb="2">
      <t>ショウケイ</t>
    </rPh>
    <phoneticPr fontId="5"/>
  </si>
  <si>
    <t>後付け</t>
    <rPh sb="0" eb="2">
      <t>アトヅ</t>
    </rPh>
    <phoneticPr fontId="5"/>
  </si>
  <si>
    <t>第二生産部　合計</t>
    <rPh sb="0" eb="2">
      <t>ダイニ</t>
    </rPh>
    <rPh sb="2" eb="4">
      <t>セイサン</t>
    </rPh>
    <rPh sb="4" eb="5">
      <t>ブ</t>
    </rPh>
    <rPh sb="6" eb="7">
      <t>ゴウ</t>
    </rPh>
    <rPh sb="7" eb="8">
      <t>ケイ</t>
    </rPh>
    <phoneticPr fontId="5"/>
  </si>
  <si>
    <t>８月（</t>
    <phoneticPr fontId="5"/>
  </si>
  <si>
    <t>９月（</t>
    <phoneticPr fontId="5"/>
  </si>
  <si>
    <t>実装
支援課</t>
    <rPh sb="0" eb="2">
      <t>ジッソウ</t>
    </rPh>
    <rPh sb="3" eb="5">
      <t>シエン</t>
    </rPh>
    <rPh sb="5" eb="6">
      <t>カ</t>
    </rPh>
    <phoneticPr fontId="5"/>
  </si>
  <si>
    <t>＃73
2023/7/20 現在</t>
    <phoneticPr fontId="5"/>
  </si>
  <si>
    <t>第二生産部計画　　（単位：ｈ）</t>
    <rPh sb="0" eb="2">
      <t>ダイニ</t>
    </rPh>
    <rPh sb="2" eb="4">
      <t>セイサン</t>
    </rPh>
    <rPh sb="5" eb="7">
      <t>ケイカク</t>
    </rPh>
    <phoneticPr fontId="5"/>
  </si>
  <si>
    <t>７月(</t>
    <phoneticPr fontId="5"/>
  </si>
  <si>
    <t>人数</t>
    <rPh sb="0" eb="2">
      <t>ニンズウ</t>
    </rPh>
    <phoneticPr fontId="5"/>
  </si>
  <si>
    <t>稼働時間</t>
    <rPh sb="0" eb="4">
      <t>カドウジカン</t>
    </rPh>
    <phoneticPr fontId="5"/>
  </si>
  <si>
    <t>ＣＤ・基板・半成</t>
    <rPh sb="3" eb="5">
      <t>キバン</t>
    </rPh>
    <rPh sb="6" eb="8">
      <t>ハンナリ</t>
    </rPh>
    <phoneticPr fontId="5"/>
  </si>
  <si>
    <t>7月</t>
    <rPh sb="1" eb="2">
      <t>ガツ</t>
    </rPh>
    <phoneticPr fontId="5"/>
  </si>
  <si>
    <t>8月</t>
    <rPh sb="1" eb="2">
      <t>ガツ</t>
    </rPh>
    <phoneticPr fontId="5"/>
  </si>
  <si>
    <t>9月</t>
    <rPh sb="1" eb="2">
      <t>ガツ</t>
    </rPh>
    <phoneticPr fontId="5"/>
  </si>
  <si>
    <t>検査2課包装係へ1名応援</t>
  </si>
  <si>
    <t>事前小分け作業・多能工</t>
    <rPh sb="0" eb="4">
      <t>ジゼンコワ</t>
    </rPh>
    <rPh sb="5" eb="7">
      <t>サギョウ</t>
    </rPh>
    <rPh sb="8" eb="11">
      <t>タノウコウ</t>
    </rPh>
    <phoneticPr fontId="5"/>
  </si>
  <si>
    <t>対策</t>
    <rPh sb="0" eb="2">
      <t>タイサク</t>
    </rPh>
    <phoneticPr fontId="5"/>
  </si>
  <si>
    <t>月</t>
    <rPh sb="0" eb="1">
      <t>ツキ</t>
    </rPh>
    <phoneticPr fontId="5"/>
  </si>
  <si>
    <t>過不足人数</t>
    <rPh sb="0" eb="5">
      <t>カフソクニンズウ</t>
    </rPh>
    <phoneticPr fontId="5"/>
  </si>
  <si>
    <t>修理係</t>
    <rPh sb="0" eb="3">
      <t>シュウリカカリ</t>
    </rPh>
    <phoneticPr fontId="5"/>
  </si>
  <si>
    <t>挿し・DIP</t>
    <rPh sb="0" eb="1">
      <t>サ</t>
    </rPh>
    <phoneticPr fontId="5"/>
  </si>
  <si>
    <t>出勤率</t>
    <rPh sb="0" eb="3">
      <t>シュッキンリツ</t>
    </rPh>
    <phoneticPr fontId="5"/>
  </si>
  <si>
    <t>1.2人不足</t>
    <rPh sb="3" eb="4">
      <t>ニン</t>
    </rPh>
    <rPh sb="4" eb="6">
      <t>フソク</t>
    </rPh>
    <phoneticPr fontId="5"/>
  </si>
  <si>
    <t>未確認</t>
    <rPh sb="0" eb="3">
      <t>ミカクニン</t>
    </rPh>
    <phoneticPr fontId="5"/>
  </si>
  <si>
    <t>他課への作業教育</t>
    <rPh sb="0" eb="2">
      <t>タカ</t>
    </rPh>
    <rPh sb="4" eb="8">
      <t>サギョウキョウイク</t>
    </rPh>
    <phoneticPr fontId="5"/>
  </si>
  <si>
    <t>交替勤務</t>
    <rPh sb="0" eb="4">
      <t>コウタイキンム</t>
    </rPh>
    <phoneticPr fontId="5"/>
  </si>
  <si>
    <t>過不足無</t>
    <rPh sb="0" eb="3">
      <t>カフソク</t>
    </rPh>
    <rPh sb="3" eb="4">
      <t>ナシ</t>
    </rPh>
    <phoneticPr fontId="5"/>
  </si>
  <si>
    <t>LINE</t>
    <phoneticPr fontId="5"/>
  </si>
  <si>
    <t>設備能力</t>
    <rPh sb="0" eb="4">
      <t>セツビノウリョク</t>
    </rPh>
    <phoneticPr fontId="5"/>
  </si>
  <si>
    <t>作業者数</t>
    <rPh sb="0" eb="3">
      <t>サギョウシャ</t>
    </rPh>
    <rPh sb="3" eb="4">
      <t>スウ</t>
    </rPh>
    <phoneticPr fontId="5"/>
  </si>
  <si>
    <t>THT</t>
    <phoneticPr fontId="5"/>
  </si>
  <si>
    <t>ボトルネック</t>
    <phoneticPr fontId="5"/>
  </si>
  <si>
    <t>生産1課</t>
    <rPh sb="0" eb="2">
      <t>セイサン</t>
    </rPh>
    <rPh sb="3" eb="4">
      <t>カ</t>
    </rPh>
    <phoneticPr fontId="5"/>
  </si>
  <si>
    <t>前工程</t>
    <rPh sb="0" eb="3">
      <t>マエコウテイ</t>
    </rPh>
    <phoneticPr fontId="5"/>
  </si>
  <si>
    <t>後工程</t>
    <rPh sb="0" eb="3">
      <t>アトコウテイ</t>
    </rPh>
    <phoneticPr fontId="5"/>
  </si>
  <si>
    <t>生産一課一係</t>
    <rPh sb="0" eb="4">
      <t>セイサンイッカ</t>
    </rPh>
    <rPh sb="4" eb="6">
      <t>イチカカリ</t>
    </rPh>
    <phoneticPr fontId="7"/>
  </si>
  <si>
    <t>ｸﾞﾙｰﾌﾟA</t>
    <phoneticPr fontId="7"/>
  </si>
  <si>
    <t>前工程</t>
    <rPh sb="0" eb="3">
      <t>マエコウテイ</t>
    </rPh>
    <phoneticPr fontId="7"/>
  </si>
  <si>
    <t>後工程</t>
    <rPh sb="0" eb="3">
      <t>アトコウテイ</t>
    </rPh>
    <phoneticPr fontId="7"/>
  </si>
  <si>
    <t>リーダー</t>
    <phoneticPr fontId="7"/>
  </si>
  <si>
    <t>サブリーダー</t>
    <phoneticPr fontId="7"/>
  </si>
  <si>
    <t>実装機</t>
    <rPh sb="0" eb="3">
      <t>ジッソウキ</t>
    </rPh>
    <phoneticPr fontId="7"/>
  </si>
  <si>
    <t>－</t>
    <phoneticPr fontId="7"/>
  </si>
  <si>
    <t>部品入出庫</t>
    <rPh sb="0" eb="5">
      <t>ブヒンニュウシュッコ</t>
    </rPh>
    <phoneticPr fontId="7"/>
  </si>
  <si>
    <t>フィーダー
取付/取外</t>
    <rPh sb="6" eb="8">
      <t>トリツケ</t>
    </rPh>
    <rPh sb="9" eb="11">
      <t>トリハズ</t>
    </rPh>
    <phoneticPr fontId="7"/>
  </si>
  <si>
    <t>印刷</t>
    <rPh sb="0" eb="2">
      <t>インサツ</t>
    </rPh>
    <phoneticPr fontId="7"/>
  </si>
  <si>
    <t>1ライン
(送信機・試作)</t>
    <rPh sb="6" eb="9">
      <t>ソウシンキ</t>
    </rPh>
    <rPh sb="10" eb="12">
      <t>シサク</t>
    </rPh>
    <phoneticPr fontId="7"/>
  </si>
  <si>
    <t>2ライン
(TEC)</t>
    <phoneticPr fontId="7"/>
  </si>
  <si>
    <t>3ライン
(AED)</t>
    <phoneticPr fontId="7"/>
  </si>
  <si>
    <t>目視
手はんだ</t>
    <rPh sb="0" eb="2">
      <t>モクシ</t>
    </rPh>
    <rPh sb="3" eb="4">
      <t>テ</t>
    </rPh>
    <phoneticPr fontId="7"/>
  </si>
  <si>
    <t>AOI(操作)</t>
    <rPh sb="4" eb="6">
      <t>ソウサ</t>
    </rPh>
    <phoneticPr fontId="7"/>
  </si>
  <si>
    <t>AOI(目視)</t>
    <rPh sb="4" eb="6">
      <t>モクシ</t>
    </rPh>
    <phoneticPr fontId="7"/>
  </si>
  <si>
    <t>修正
リワーク</t>
    <rPh sb="0" eb="2">
      <t>シュウセイ</t>
    </rPh>
    <phoneticPr fontId="7"/>
  </si>
  <si>
    <t>松井　照佳</t>
    <rPh sb="0" eb="2">
      <t>マツイ</t>
    </rPh>
    <rPh sb="3" eb="5">
      <t>テルヨシ</t>
    </rPh>
    <phoneticPr fontId="7"/>
  </si>
  <si>
    <t>高橋　智治</t>
    <rPh sb="0" eb="2">
      <t>タカハシ</t>
    </rPh>
    <rPh sb="3" eb="5">
      <t>トモハル</t>
    </rPh>
    <phoneticPr fontId="7"/>
  </si>
  <si>
    <t>丸山　恵</t>
    <rPh sb="0" eb="2">
      <t>マルヤマ</t>
    </rPh>
    <rPh sb="3" eb="4">
      <t>メグミ</t>
    </rPh>
    <phoneticPr fontId="7"/>
  </si>
  <si>
    <t>高橋　由美子</t>
    <rPh sb="0" eb="2">
      <t>タカハシ</t>
    </rPh>
    <rPh sb="3" eb="6">
      <t>ユミコ</t>
    </rPh>
    <phoneticPr fontId="7"/>
  </si>
  <si>
    <t>小澤　直人</t>
    <rPh sb="0" eb="2">
      <t>オザワ</t>
    </rPh>
    <rPh sb="3" eb="5">
      <t>ナオト</t>
    </rPh>
    <phoneticPr fontId="7"/>
  </si>
  <si>
    <t>上中　俊一</t>
    <phoneticPr fontId="7"/>
  </si>
  <si>
    <t>熊谷　恒生</t>
    <rPh sb="0" eb="2">
      <t>クマガイ</t>
    </rPh>
    <rPh sb="3" eb="5">
      <t>ヒサシウ</t>
    </rPh>
    <phoneticPr fontId="5"/>
  </si>
  <si>
    <t>市川　尚樹</t>
    <rPh sb="0" eb="2">
      <t>イチカワ</t>
    </rPh>
    <rPh sb="3" eb="5">
      <t>ナオキ</t>
    </rPh>
    <phoneticPr fontId="5"/>
  </si>
  <si>
    <t>茂木　由美子</t>
    <rPh sb="0" eb="2">
      <t>モテギ</t>
    </rPh>
    <rPh sb="3" eb="6">
      <t>ユミコ</t>
    </rPh>
    <phoneticPr fontId="7"/>
  </si>
  <si>
    <t>中村　さゆり</t>
    <rPh sb="0" eb="2">
      <t>ナカムラ</t>
    </rPh>
    <phoneticPr fontId="5"/>
  </si>
  <si>
    <t>浦野　菜美</t>
    <rPh sb="0" eb="2">
      <t>ウラノ</t>
    </rPh>
    <rPh sb="3" eb="5">
      <t>ナミ</t>
    </rPh>
    <phoneticPr fontId="7"/>
  </si>
  <si>
    <t>小林　忍</t>
    <rPh sb="0" eb="2">
      <t>コバヤシ</t>
    </rPh>
    <rPh sb="3" eb="4">
      <t>シノブ</t>
    </rPh>
    <phoneticPr fontId="5"/>
  </si>
  <si>
    <t>北村　初美</t>
    <rPh sb="0" eb="2">
      <t>キタムラ</t>
    </rPh>
    <rPh sb="3" eb="5">
      <t>ハツミ</t>
    </rPh>
    <phoneticPr fontId="5"/>
  </si>
  <si>
    <t>ｸﾞﾙｰﾌﾟB</t>
    <phoneticPr fontId="7"/>
  </si>
  <si>
    <t>牛込　貴之</t>
    <rPh sb="0" eb="2">
      <t>ウシゴメ</t>
    </rPh>
    <rPh sb="3" eb="5">
      <t>タカユキ</t>
    </rPh>
    <phoneticPr fontId="7"/>
  </si>
  <si>
    <t>石井　靖浩</t>
    <rPh sb="0" eb="2">
      <t>イシイ</t>
    </rPh>
    <rPh sb="3" eb="4">
      <t>ヤス</t>
    </rPh>
    <rPh sb="4" eb="5">
      <t>ヒロ</t>
    </rPh>
    <phoneticPr fontId="7"/>
  </si>
  <si>
    <t>生方　豊</t>
    <rPh sb="0" eb="2">
      <t>ウブカタ</t>
    </rPh>
    <rPh sb="3" eb="4">
      <t>ユタカ</t>
    </rPh>
    <phoneticPr fontId="7"/>
  </si>
  <si>
    <t>霜田　敏昭</t>
    <rPh sb="0" eb="2">
      <t>シモダ</t>
    </rPh>
    <rPh sb="3" eb="5">
      <t>トシアキ</t>
    </rPh>
    <phoneticPr fontId="7"/>
  </si>
  <si>
    <t>河合　規行</t>
    <rPh sb="0" eb="2">
      <t>カワイ</t>
    </rPh>
    <rPh sb="3" eb="5">
      <t>ノリユキ</t>
    </rPh>
    <phoneticPr fontId="5"/>
  </si>
  <si>
    <t>佐藤　邦嘉</t>
    <rPh sb="0" eb="2">
      <t>サトウ</t>
    </rPh>
    <rPh sb="3" eb="5">
      <t>クニヨシ</t>
    </rPh>
    <phoneticPr fontId="5"/>
  </si>
  <si>
    <t>櫻井　直行</t>
    <rPh sb="0" eb="2">
      <t>サクライ</t>
    </rPh>
    <rPh sb="3" eb="5">
      <t>ナオユキ</t>
    </rPh>
    <phoneticPr fontId="5"/>
  </si>
  <si>
    <t>安達　好子</t>
    <rPh sb="0" eb="2">
      <t>アダチ</t>
    </rPh>
    <rPh sb="3" eb="5">
      <t>ヨシコ</t>
    </rPh>
    <phoneticPr fontId="7"/>
  </si>
  <si>
    <t>市川　宣夫</t>
  </si>
  <si>
    <t>磯貝　勇輔</t>
    <phoneticPr fontId="7"/>
  </si>
  <si>
    <t>本田　聡美</t>
    <phoneticPr fontId="7"/>
  </si>
  <si>
    <t>工務担当</t>
    <rPh sb="0" eb="4">
      <t>コウムタントウ</t>
    </rPh>
    <phoneticPr fontId="7"/>
  </si>
  <si>
    <t>新井　仁美</t>
    <rPh sb="0" eb="2">
      <t>アライ</t>
    </rPh>
    <rPh sb="3" eb="5">
      <t>ヒトミ</t>
    </rPh>
    <phoneticPr fontId="7"/>
  </si>
  <si>
    <t>設備保全・試作</t>
    <rPh sb="0" eb="4">
      <t>セツビホゼン</t>
    </rPh>
    <rPh sb="5" eb="7">
      <t>シサク</t>
    </rPh>
    <phoneticPr fontId="7"/>
  </si>
  <si>
    <t>松村　昭尚</t>
    <rPh sb="0" eb="2">
      <t>マツムラ</t>
    </rPh>
    <rPh sb="3" eb="4">
      <t>アキラ</t>
    </rPh>
    <rPh sb="4" eb="5">
      <t>ナオ</t>
    </rPh>
    <phoneticPr fontId="7"/>
  </si>
  <si>
    <t>土屋　誠</t>
    <rPh sb="0" eb="2">
      <t>ツチヤ</t>
    </rPh>
    <rPh sb="3" eb="4">
      <t>マコト</t>
    </rPh>
    <phoneticPr fontId="7"/>
  </si>
  <si>
    <t>鹿島入庫</t>
    <rPh sb="0" eb="4">
      <t>カシマニュウコ</t>
    </rPh>
    <phoneticPr fontId="7"/>
  </si>
  <si>
    <t>　</t>
    <phoneticPr fontId="7"/>
  </si>
  <si>
    <t>生産1課は各人配置が決まっており、準備～SMT目視まで配置。
生産量による人の増減はおkなっておらず設備稼働に合わせて作業。
不足は残業で対応、余剰時は他課応援、５Ｓ活動、改善活動など。</t>
    <rPh sb="0" eb="2">
      <t>セイサン</t>
    </rPh>
    <rPh sb="3" eb="4">
      <t>カ</t>
    </rPh>
    <rPh sb="5" eb="7">
      <t>カクジン</t>
    </rPh>
    <rPh sb="7" eb="9">
      <t>ハイチ</t>
    </rPh>
    <rPh sb="10" eb="11">
      <t>キ</t>
    </rPh>
    <rPh sb="17" eb="19">
      <t>ジュンビ</t>
    </rPh>
    <rPh sb="23" eb="25">
      <t>モクシ</t>
    </rPh>
    <rPh sb="27" eb="29">
      <t>ハイチ</t>
    </rPh>
    <rPh sb="31" eb="34">
      <t>セイサンリョウ</t>
    </rPh>
    <rPh sb="37" eb="38">
      <t>ヒト</t>
    </rPh>
    <rPh sb="39" eb="41">
      <t>ゾウゲン</t>
    </rPh>
    <rPh sb="50" eb="54">
      <t>セツビカドウ</t>
    </rPh>
    <rPh sb="55" eb="56">
      <t>ア</t>
    </rPh>
    <rPh sb="59" eb="61">
      <t>サギョウ</t>
    </rPh>
    <rPh sb="63" eb="65">
      <t>フソク</t>
    </rPh>
    <rPh sb="66" eb="68">
      <t>ザンギョウ</t>
    </rPh>
    <rPh sb="69" eb="71">
      <t>タイオウ</t>
    </rPh>
    <rPh sb="72" eb="75">
      <t>ヨジョウジ</t>
    </rPh>
    <rPh sb="76" eb="78">
      <t>タカ</t>
    </rPh>
    <rPh sb="78" eb="80">
      <t>オウエン</t>
    </rPh>
    <rPh sb="83" eb="85">
      <t>カツドウ</t>
    </rPh>
    <rPh sb="86" eb="88">
      <t>カイゼン</t>
    </rPh>
    <rPh sb="88" eb="90">
      <t>カツドウ</t>
    </rPh>
    <phoneticPr fontId="5"/>
  </si>
  <si>
    <t>日付</t>
    <rPh sb="0" eb="2">
      <t>ヒヅケ</t>
    </rPh>
    <phoneticPr fontId="7"/>
  </si>
  <si>
    <t>DBにBOM無し</t>
  </si>
  <si>
    <t>DBにサイクルタイム無し</t>
  </si>
  <si>
    <t>フリー容量</t>
  </si>
  <si>
    <t>有鉛品目数</t>
  </si>
  <si>
    <t>フリー</t>
  </si>
  <si>
    <t>送信機</t>
  </si>
  <si>
    <t>TEC-5600</t>
  </si>
  <si>
    <t>EMS-1000</t>
  </si>
  <si>
    <t>AED</t>
  </si>
  <si>
    <t>試作</t>
  </si>
  <si>
    <t>フリー部品種類数</t>
  </si>
  <si>
    <t xml:space="preserve"> 80.0| 229.0</t>
  </si>
  <si>
    <t>過不足人数は、【差分工数】／（【稼働日数】×【稼働時間】×【出勤率】）</t>
    <rPh sb="0" eb="5">
      <t>カフソクニンズウ</t>
    </rPh>
    <rPh sb="8" eb="10">
      <t>サブン</t>
    </rPh>
    <rPh sb="10" eb="12">
      <t>コウスウ</t>
    </rPh>
    <rPh sb="16" eb="20">
      <t>カドウニッスウ</t>
    </rPh>
    <rPh sb="23" eb="27">
      <t>カドウジカン</t>
    </rPh>
    <rPh sb="30" eb="32">
      <t>シュッキン</t>
    </rPh>
    <rPh sb="32" eb="33">
      <t>リツ</t>
    </rPh>
    <phoneticPr fontId="5"/>
  </si>
  <si>
    <t>試作、生産計画精度影響考慮し、当月200hを目安に個別改善活動又は他課応援を調整</t>
    <rPh sb="0" eb="2">
      <t>シサク</t>
    </rPh>
    <rPh sb="3" eb="5">
      <t>セイサン</t>
    </rPh>
    <rPh sb="5" eb="7">
      <t>ケイカク</t>
    </rPh>
    <rPh sb="7" eb="9">
      <t>セイド</t>
    </rPh>
    <rPh sb="9" eb="11">
      <t>エイキョウ</t>
    </rPh>
    <rPh sb="11" eb="13">
      <t>コウリョ</t>
    </rPh>
    <rPh sb="15" eb="17">
      <t>トウゲツ</t>
    </rPh>
    <rPh sb="22" eb="24">
      <t>メヤス</t>
    </rPh>
    <rPh sb="25" eb="31">
      <t>コベツカイゼンカツドウ</t>
    </rPh>
    <rPh sb="31" eb="32">
      <t>マタ</t>
    </rPh>
    <rPh sb="33" eb="37">
      <t>タカオウエン</t>
    </rPh>
    <rPh sb="38" eb="40">
      <t>チョウセイ</t>
    </rPh>
    <phoneticPr fontId="5"/>
  </si>
  <si>
    <r>
      <rPr>
        <b/>
        <sz val="9"/>
        <rFont val="ＭＳ Ｐゴシック"/>
        <family val="3"/>
        <charset val="128"/>
      </rPr>
      <t>2.1</t>
    </r>
    <r>
      <rPr>
        <sz val="9"/>
        <rFont val="ＭＳ Ｐゴシック"/>
        <family val="3"/>
        <charset val="128"/>
      </rPr>
      <t>人余剰</t>
    </r>
    <rPh sb="3" eb="6">
      <t>ニンヨジョウ</t>
    </rPh>
    <phoneticPr fontId="5"/>
  </si>
  <si>
    <r>
      <rPr>
        <b/>
        <sz val="9"/>
        <rFont val="ＭＳ Ｐゴシック"/>
        <family val="3"/>
        <charset val="128"/>
      </rPr>
      <t>1.6</t>
    </r>
    <r>
      <rPr>
        <sz val="9"/>
        <rFont val="ＭＳ Ｐゴシック"/>
        <family val="3"/>
        <charset val="128"/>
      </rPr>
      <t>人余剰</t>
    </r>
    <rPh sb="3" eb="6">
      <t>ニンヨジョウ</t>
    </rPh>
    <phoneticPr fontId="5"/>
  </si>
  <si>
    <r>
      <rPr>
        <b/>
        <sz val="9"/>
        <rFont val="ＭＳ Ｐゴシック"/>
        <family val="3"/>
        <charset val="128"/>
      </rPr>
      <t>1.8</t>
    </r>
    <r>
      <rPr>
        <sz val="9"/>
        <rFont val="ＭＳ Ｐゴシック"/>
        <family val="3"/>
        <charset val="128"/>
      </rPr>
      <t>人余剰</t>
    </r>
    <rPh sb="3" eb="6">
      <t>ニンヨジョウ</t>
    </rPh>
    <phoneticPr fontId="5"/>
  </si>
  <si>
    <r>
      <rPr>
        <b/>
        <sz val="9"/>
        <rFont val="ＭＳ Ｐゴシック"/>
        <family val="3"/>
        <charset val="128"/>
      </rPr>
      <t>4.5</t>
    </r>
    <r>
      <rPr>
        <sz val="9"/>
        <rFont val="ＭＳ Ｐゴシック"/>
        <family val="3"/>
        <charset val="128"/>
      </rPr>
      <t>人余剰</t>
    </r>
    <rPh sb="3" eb="6">
      <t>ニンヨジョウ</t>
    </rPh>
    <phoneticPr fontId="5"/>
  </si>
  <si>
    <r>
      <rPr>
        <b/>
        <sz val="9"/>
        <rFont val="ＭＳ Ｐゴシック"/>
        <family val="3"/>
        <charset val="128"/>
      </rPr>
      <t>3.2</t>
    </r>
    <r>
      <rPr>
        <sz val="9"/>
        <rFont val="ＭＳ Ｐゴシック"/>
        <family val="3"/>
        <charset val="128"/>
      </rPr>
      <t>人余剰</t>
    </r>
    <rPh sb="3" eb="6">
      <t>ニンヨジョウ</t>
    </rPh>
    <phoneticPr fontId="5"/>
  </si>
  <si>
    <t>9月度余剰工数は、他課応援及び修理者育成に充てる計画</t>
    <rPh sb="1" eb="3">
      <t>ガツド</t>
    </rPh>
    <rPh sb="3" eb="7">
      <t>ヨジョウコウスウ</t>
    </rPh>
    <rPh sb="9" eb="13">
      <t>タカオウエン</t>
    </rPh>
    <rPh sb="13" eb="14">
      <t>オヨ</t>
    </rPh>
    <rPh sb="15" eb="20">
      <t>シュウリシャイクセイ</t>
    </rPh>
    <rPh sb="21" eb="22">
      <t>ア</t>
    </rPh>
    <rPh sb="24" eb="26">
      <t>ケイカク</t>
    </rPh>
    <phoneticPr fontId="5"/>
  </si>
  <si>
    <t xml:space="preserve"> 72.0| 230.0</t>
  </si>
  <si>
    <t xml:space="preserve"> 64.5| 199.5</t>
  </si>
  <si>
    <t xml:space="preserve"> 55.0| 88.5</t>
  </si>
  <si>
    <t xml:space="preserve"> 72.0| 126.0</t>
  </si>
  <si>
    <t xml:space="preserve"> 79.0| 287.5</t>
  </si>
  <si>
    <t xml:space="preserve"> 78.0| 182.5</t>
  </si>
  <si>
    <t xml:space="preserve"> 44.0| 87.5</t>
  </si>
  <si>
    <t>稼働率</t>
    <rPh sb="0" eb="2">
      <t>カドウ</t>
    </rPh>
    <rPh sb="2" eb="3">
      <t>リツ</t>
    </rPh>
    <phoneticPr fontId="5"/>
  </si>
  <si>
    <t>保有は【SMTライン稼働時間　７ｈ】×【２交替】×【３ＬＩＮＥ】×【稼働日数-1】×【稼働率】</t>
    <rPh sb="0" eb="2">
      <t>ホユウ</t>
    </rPh>
    <rPh sb="10" eb="14">
      <t>カドウジカン</t>
    </rPh>
    <rPh sb="21" eb="23">
      <t>コウタイ</t>
    </rPh>
    <rPh sb="34" eb="38">
      <t>カドウニッスウ</t>
    </rPh>
    <rPh sb="43" eb="45">
      <t>カドウ</t>
    </rPh>
    <rPh sb="45" eb="46">
      <t>リツ</t>
    </rPh>
    <phoneticPr fontId="5"/>
  </si>
  <si>
    <t>負荷時間は対象全品種サイクルタイム（切り替え時間含む）を合計</t>
    <rPh sb="0" eb="2">
      <t>フカ</t>
    </rPh>
    <rPh sb="2" eb="4">
      <t>ジカン</t>
    </rPh>
    <rPh sb="5" eb="7">
      <t>タイショウ</t>
    </rPh>
    <rPh sb="7" eb="8">
      <t>ゼン</t>
    </rPh>
    <rPh sb="8" eb="10">
      <t>ヒンシュ</t>
    </rPh>
    <rPh sb="18" eb="19">
      <t>キ</t>
    </rPh>
    <rPh sb="20" eb="21">
      <t>カ</t>
    </rPh>
    <rPh sb="22" eb="25">
      <t>ジカンフク</t>
    </rPh>
    <rPh sb="28" eb="30">
      <t>ゴウケイ</t>
    </rPh>
    <phoneticPr fontId="5"/>
  </si>
  <si>
    <t>稼働日数は1日メンテナンス日マイナス</t>
    <rPh sb="0" eb="4">
      <t>カドウニッスウ</t>
    </rPh>
    <rPh sb="6" eb="7">
      <t>ニチ</t>
    </rPh>
    <rPh sb="13" eb="14">
      <t>ビ</t>
    </rPh>
    <phoneticPr fontId="5"/>
  </si>
  <si>
    <t>8月　238時間余剰　→　1日（12.5/3ﾗｲﾝ）=4.2時間　ライン担当者4名準備へ応援</t>
    <rPh sb="0" eb="2">
      <t>ハチガツ</t>
    </rPh>
    <rPh sb="6" eb="8">
      <t>ジカン</t>
    </rPh>
    <rPh sb="8" eb="10">
      <t>ヨジョウ</t>
    </rPh>
    <rPh sb="14" eb="15">
      <t>ニチ</t>
    </rPh>
    <rPh sb="30" eb="32">
      <t>ジカン</t>
    </rPh>
    <rPh sb="36" eb="39">
      <t>タントウシャ</t>
    </rPh>
    <rPh sb="40" eb="41">
      <t>メイ</t>
    </rPh>
    <rPh sb="41" eb="43">
      <t>ジュンビ</t>
    </rPh>
    <rPh sb="44" eb="46">
      <t>オウエン</t>
    </rPh>
    <phoneticPr fontId="5"/>
  </si>
  <si>
    <t>準備工数は不足(約　10h/日)しているが、補充せず工数調整に使用している</t>
    <rPh sb="8" eb="9">
      <t>ヤク</t>
    </rPh>
    <rPh sb="22" eb="24">
      <t>ホジュウ</t>
    </rPh>
    <rPh sb="26" eb="30">
      <t>コウスウチョウセイ</t>
    </rPh>
    <rPh sb="31" eb="33">
      <t>シヨウ</t>
    </rPh>
    <phoneticPr fontId="5"/>
  </si>
  <si>
    <t>8月(</t>
    <phoneticPr fontId="5"/>
  </si>
  <si>
    <t>１０月（</t>
    <phoneticPr fontId="5"/>
  </si>
  <si>
    <t>10月</t>
    <rPh sb="2" eb="3">
      <t>ガツ</t>
    </rPh>
    <phoneticPr fontId="5"/>
  </si>
  <si>
    <t>生産1課は各人配置が決まっており、準備～SMT目視まで配置。
生産量による人の増減はおこなっておらず設備稼働に合わせて作業。
不足は残業で対応、余剰時は他課応援、５Ｓ活動、改善活動など。</t>
    <rPh sb="0" eb="2">
      <t>セイサン</t>
    </rPh>
    <rPh sb="3" eb="4">
      <t>カ</t>
    </rPh>
    <rPh sb="5" eb="7">
      <t>カクジン</t>
    </rPh>
    <rPh sb="7" eb="9">
      <t>ハイチ</t>
    </rPh>
    <rPh sb="10" eb="11">
      <t>キ</t>
    </rPh>
    <rPh sb="17" eb="19">
      <t>ジュンビ</t>
    </rPh>
    <rPh sb="23" eb="25">
      <t>モクシ</t>
    </rPh>
    <rPh sb="27" eb="29">
      <t>ハイチ</t>
    </rPh>
    <rPh sb="31" eb="34">
      <t>セイサンリョウ</t>
    </rPh>
    <rPh sb="37" eb="38">
      <t>ヒト</t>
    </rPh>
    <rPh sb="39" eb="41">
      <t>ゾウゲン</t>
    </rPh>
    <rPh sb="50" eb="54">
      <t>セツビカドウ</t>
    </rPh>
    <rPh sb="55" eb="56">
      <t>ア</t>
    </rPh>
    <rPh sb="59" eb="61">
      <t>サギョウ</t>
    </rPh>
    <rPh sb="63" eb="65">
      <t>フソク</t>
    </rPh>
    <rPh sb="66" eb="68">
      <t>ザンギョウ</t>
    </rPh>
    <rPh sb="69" eb="71">
      <t>タイオウ</t>
    </rPh>
    <rPh sb="72" eb="75">
      <t>ヨジョウジ</t>
    </rPh>
    <rPh sb="76" eb="78">
      <t>タカ</t>
    </rPh>
    <rPh sb="78" eb="80">
      <t>オウエン</t>
    </rPh>
    <rPh sb="83" eb="85">
      <t>カツドウ</t>
    </rPh>
    <rPh sb="86" eb="88">
      <t>カイゼン</t>
    </rPh>
    <rPh sb="88" eb="90">
      <t>カツドウ</t>
    </rPh>
    <phoneticPr fontId="5"/>
  </si>
  <si>
    <t xml:space="preserve"> 29.0| 66.0</t>
  </si>
  <si>
    <t>UR-0559-04</t>
  </si>
  <si>
    <t xml:space="preserve"> 59.5| 211.5</t>
  </si>
  <si>
    <t xml:space="preserve"> 50.5| 81.0</t>
  </si>
  <si>
    <t xml:space="preserve"> 55.0| 51.0</t>
  </si>
  <si>
    <t xml:space="preserve"> 71.0| 209.5</t>
  </si>
  <si>
    <t xml:space="preserve"> 80.5| 189.5</t>
  </si>
  <si>
    <t xml:space="preserve"> 49.0| 144.5</t>
  </si>
  <si>
    <t xml:space="preserve"> 57.0| 128.0</t>
  </si>
  <si>
    <t xml:space="preserve"> 61.0| 37.0</t>
  </si>
  <si>
    <t xml:space="preserve"> 86.5| 226.0</t>
  </si>
  <si>
    <t xml:space="preserve"> 60.5| 62.5</t>
  </si>
  <si>
    <t xml:space="preserve"> 48.0| 139.0</t>
  </si>
  <si>
    <t xml:space="preserve"> 75.0| 245.5</t>
  </si>
  <si>
    <t xml:space="preserve"> 56.0| 37.5</t>
  </si>
  <si>
    <t>MVM-44172|MVM-44173</t>
  </si>
  <si>
    <t>-7.0|-34.0</t>
  </si>
  <si>
    <t>UT-7282-01</t>
  </si>
  <si>
    <t xml:space="preserve"> 64.5| 184.5</t>
  </si>
  <si>
    <t xml:space="preserve"> 47.5| 78.0</t>
  </si>
  <si>
    <t xml:space="preserve"> 29.0|-154.0</t>
  </si>
  <si>
    <t xml:space="preserve"> 68.5| 61.0</t>
  </si>
  <si>
    <t xml:space="preserve"> 47.0| 143.5</t>
  </si>
  <si>
    <t xml:space="preserve"> 81.0| 266.5</t>
  </si>
  <si>
    <t xml:space="preserve"> 27.0|-34.0</t>
  </si>
  <si>
    <t xml:space="preserve"> 78.0| 175.0</t>
  </si>
  <si>
    <t xml:space="preserve"> 76.5| 239.0</t>
  </si>
  <si>
    <t xml:space="preserve"> 46.0|-22.0</t>
  </si>
  <si>
    <t>UTS-0817-01</t>
    <phoneticPr fontId="7"/>
  </si>
  <si>
    <t xml:space="preserve"> 49.5| 175.5</t>
  </si>
  <si>
    <t>UTS-0818-01</t>
    <phoneticPr fontId="7"/>
  </si>
  <si>
    <t xml:space="preserve"> 76.0| 233.0</t>
  </si>
  <si>
    <t xml:space="preserve"> 67.5| 154.0</t>
  </si>
  <si>
    <t xml:space="preserve"> 51.5| 88.0</t>
  </si>
  <si>
    <t xml:space="preserve"> 80.0| 224.0</t>
  </si>
  <si>
    <t>-2.5|-22.5</t>
  </si>
  <si>
    <t xml:space="preserve"> 81.0| 199.0</t>
  </si>
  <si>
    <t xml:space="preserve"> 27.0| 121.0</t>
  </si>
  <si>
    <t xml:space="preserve"> 25.0| 51.5</t>
  </si>
  <si>
    <t>UT-7309-01</t>
  </si>
  <si>
    <t xml:space="preserve"> 42.0| 67.5</t>
  </si>
  <si>
    <t xml:space="preserve"> 14.5|-92.5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</si>
</sst>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 ;[Red]\-#,##0\ "/>
    <numFmt numFmtId="177" formatCode="#,##0.0_ ;[Red]\-#,##0.0\ "/>
    <numFmt numFmtId="178" formatCode="0.0"/>
    <numFmt numFmtId="179" formatCode="0_ "/>
    <numFmt numFmtId="180" formatCode="yyyy/mm/dd"/>
    <numFmt numFmtId="181" formatCode="0.00&quot;h&quot;"/>
  </numFmts>
  <fonts count="1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b/>
      <sz val="10"/>
      <name val="ＭＳ Ｐゴシック"/>
      <family val="3"/>
      <charset val="128"/>
    </font>
    <font>
      <sz val="6"/>
      <name val="ＭＳ Ｐゴシック"/>
      <family val="3"/>
      <charset val="128"/>
    </font>
    <font>
      <sz val="10"/>
      <name val="ＭＳ Ｐゴシック"/>
      <family val="3"/>
      <charset val="128"/>
    </font>
    <font>
      <sz val="6"/>
      <name val="ＭＳ Ｐゴシック"/>
      <family val="2"/>
      <charset val="128"/>
      <scheme val="minor"/>
    </font>
    <font>
      <sz val="11"/>
      <color theme="0"/>
      <name val="ＭＳ Ｐゴシック"/>
      <family val="3"/>
      <charset val="128"/>
    </font>
    <font>
      <b/>
      <sz val="18"/>
      <color theme="1"/>
      <name val="メイリオ"/>
      <family val="3"/>
      <charset val="128"/>
    </font>
    <font>
      <sz val="16"/>
      <color theme="1"/>
      <name val="メイリオ"/>
      <family val="3"/>
      <charset val="128"/>
    </font>
    <font>
      <sz val="16"/>
      <name val="メイリオ"/>
      <family val="3"/>
      <charset val="128"/>
    </font>
    <font>
      <b/>
      <sz val="11"/>
      <color theme="1"/>
      <name val="ＭＳ Ｐゴシック"/>
      <family val="3"/>
      <charset val="128"/>
      <scheme val="minor"/>
    </font>
    <font>
      <sz val="9"/>
      <name val="ＭＳ Ｐゴシック"/>
      <family val="3"/>
      <charset val="128"/>
    </font>
    <font>
      <b/>
      <sz val="9"/>
      <name val="ＭＳ Ｐゴシック"/>
      <family val="3"/>
      <charset val="128"/>
    </font>
    <font>
      <sz val="10"/>
      <color rgb="FFFF0000"/>
      <name val="ＭＳ Ｐゴシック"/>
      <family val="3"/>
      <charset val="128"/>
    </font>
    <font>
      <sz val="11"/>
      <color rgb="FFFF0000"/>
      <name val="ＭＳ Ｐゴシック"/>
      <family val="3"/>
      <charset val="128"/>
    </font>
    <font>
      <b/>
      <sz val="11"/>
      <color rgb="FFFF0000"/>
      <name val="ＭＳ Ｐゴシック"/>
      <family val="3"/>
      <charset val="128"/>
    </font>
    <font>
      <b/>
      <sz val="9"/>
      <color indexed="81"/>
      <name val="MS P ゴシック"/>
      <family val="3"/>
      <charset val="128"/>
    </font>
  </fonts>
  <fills count="17">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rgb="FFCCFFFF"/>
        <bgColor indexed="64"/>
      </patternFill>
    </fill>
    <fill>
      <patternFill patternType="solid">
        <fgColor indexed="41"/>
        <bgColor indexed="64"/>
      </patternFill>
    </fill>
    <fill>
      <patternFill patternType="solid">
        <fgColor theme="7" tint="0.79998168889431442"/>
        <bgColor indexed="64"/>
      </patternFill>
    </fill>
    <fill>
      <patternFill patternType="solid">
        <fgColor rgb="FFFFCCFF"/>
        <bgColor indexed="64"/>
      </patternFill>
    </fill>
    <fill>
      <patternFill patternType="solid">
        <fgColor rgb="FFFFC000"/>
        <bgColor indexed="64"/>
      </patternFill>
    </fill>
    <fill>
      <patternFill patternType="solid">
        <fgColor theme="0" tint="-0.499984740745262"/>
        <bgColor indexed="64"/>
      </patternFill>
    </fill>
    <fill>
      <patternFill patternType="solid">
        <fgColor rgb="FFFFFF00"/>
        <bgColor indexed="64"/>
      </patternFill>
    </fill>
    <fill>
      <patternFill patternType="solid">
        <fgColor rgb="FF0000FF"/>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bgColor indexed="64"/>
      </patternFill>
    </fill>
    <fill>
      <patternFill patternType="solid">
        <fgColor rgb="FFCCFFCC"/>
        <bgColor indexed="64"/>
      </patternFill>
    </fill>
  </fills>
  <borders count="66">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style="medium">
        <color indexed="64"/>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style="medium">
        <color indexed="64"/>
      </right>
      <top style="dotted">
        <color indexed="64"/>
      </top>
      <bottom style="medium">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s>
  <cellStyleXfs count="6">
    <xf numFmtId="0" fontId="0" fillId="0" borderId="0"/>
    <xf numFmtId="0" fontId="3" fillId="0" borderId="0">
      <alignment vertical="center"/>
    </xf>
    <xf numFmtId="0" fontId="3" fillId="0" borderId="0"/>
    <xf numFmtId="0" fontId="2" fillId="0" borderId="0">
      <alignment vertical="center"/>
    </xf>
    <xf numFmtId="9" fontId="3" fillId="0" borderId="0" applyFont="0" applyFill="0" applyBorder="0" applyAlignment="0" applyProtection="0">
      <alignment vertical="center"/>
    </xf>
    <xf numFmtId="0" fontId="1" fillId="0" borderId="0">
      <alignment vertical="center"/>
    </xf>
  </cellStyleXfs>
  <cellXfs count="198">
    <xf numFmtId="0" fontId="0" fillId="0" borderId="0" xfId="0"/>
    <xf numFmtId="0" fontId="4" fillId="0" borderId="0" xfId="0" applyFont="1" applyAlignment="1">
      <alignment horizontal="left" vertical="center"/>
    </xf>
    <xf numFmtId="0" fontId="4" fillId="0" borderId="0" xfId="0" applyFont="1" applyAlignment="1">
      <alignment vertical="center"/>
    </xf>
    <xf numFmtId="0" fontId="6" fillId="0" borderId="0" xfId="0" applyFont="1" applyAlignment="1">
      <alignment vertical="center"/>
    </xf>
    <xf numFmtId="0" fontId="6" fillId="2" borderId="0" xfId="0" applyFont="1" applyFill="1" applyAlignment="1">
      <alignment vertical="center"/>
    </xf>
    <xf numFmtId="0" fontId="6" fillId="3" borderId="11" xfId="0" applyFont="1" applyFill="1" applyBorder="1" applyAlignment="1">
      <alignment vertical="center"/>
    </xf>
    <xf numFmtId="0" fontId="6" fillId="3" borderId="12" xfId="0" applyFont="1" applyFill="1" applyBorder="1" applyAlignment="1">
      <alignment horizontal="left" vertical="center"/>
    </xf>
    <xf numFmtId="0" fontId="6" fillId="5" borderId="13" xfId="0" applyFont="1" applyFill="1" applyBorder="1" applyAlignment="1">
      <alignment horizontal="right" vertical="center"/>
    </xf>
    <xf numFmtId="0" fontId="6" fillId="5" borderId="11" xfId="0" applyFont="1" applyFill="1" applyBorder="1" applyAlignment="1">
      <alignment vertical="center"/>
    </xf>
    <xf numFmtId="0" fontId="6" fillId="5" borderId="12" xfId="0" applyFont="1" applyFill="1" applyBorder="1" applyAlignment="1">
      <alignment horizontal="left" vertical="center"/>
    </xf>
    <xf numFmtId="176" fontId="0" fillId="0" borderId="0" xfId="0" applyNumberFormat="1"/>
    <xf numFmtId="0" fontId="6" fillId="0" borderId="0" xfId="0" applyFont="1" applyAlignment="1">
      <alignment horizontal="left" vertical="center"/>
    </xf>
    <xf numFmtId="0" fontId="0" fillId="0" borderId="10" xfId="0" applyBorder="1" applyAlignment="1">
      <alignment vertical="center"/>
    </xf>
    <xf numFmtId="0" fontId="6" fillId="0" borderId="14" xfId="0" applyFont="1" applyBorder="1" applyAlignment="1">
      <alignment horizontal="center" vertical="center"/>
    </xf>
    <xf numFmtId="176" fontId="6" fillId="0" borderId="25" xfId="0" applyNumberFormat="1" applyFont="1" applyBorder="1" applyAlignment="1">
      <alignment horizontal="right" vertical="center"/>
    </xf>
    <xf numFmtId="176" fontId="6" fillId="0" borderId="26" xfId="0" applyNumberFormat="1" applyFont="1" applyBorder="1" applyAlignment="1">
      <alignment horizontal="right" vertical="center"/>
    </xf>
    <xf numFmtId="176" fontId="6" fillId="0" borderId="0" xfId="0" applyNumberFormat="1" applyFont="1" applyAlignment="1">
      <alignment horizontal="right" vertical="center"/>
    </xf>
    <xf numFmtId="0" fontId="6" fillId="0" borderId="32" xfId="0" applyFont="1" applyBorder="1" applyAlignment="1">
      <alignment horizontal="center" vertical="center"/>
    </xf>
    <xf numFmtId="176" fontId="6" fillId="0" borderId="33" xfId="0" applyNumberFormat="1" applyFont="1" applyBorder="1" applyAlignment="1">
      <alignment horizontal="right" vertical="center"/>
    </xf>
    <xf numFmtId="176" fontId="6" fillId="0" borderId="34" xfId="0" applyNumberFormat="1" applyFont="1" applyBorder="1" applyAlignment="1">
      <alignment horizontal="right" vertical="center"/>
    </xf>
    <xf numFmtId="0" fontId="6" fillId="0" borderId="38" xfId="0" applyFont="1" applyBorder="1" applyAlignment="1">
      <alignment horizontal="center" vertical="center"/>
    </xf>
    <xf numFmtId="176" fontId="6" fillId="0" borderId="39" xfId="0" applyNumberFormat="1" applyFont="1" applyBorder="1" applyAlignment="1">
      <alignment horizontal="right" vertical="center"/>
    </xf>
    <xf numFmtId="176" fontId="6" fillId="0" borderId="40" xfId="0" applyNumberFormat="1" applyFont="1" applyBorder="1" applyAlignment="1">
      <alignment horizontal="right" vertical="center"/>
    </xf>
    <xf numFmtId="176" fontId="6" fillId="0" borderId="35" xfId="0" applyNumberFormat="1" applyFont="1" applyBorder="1" applyAlignment="1">
      <alignment horizontal="right" vertical="center"/>
    </xf>
    <xf numFmtId="176" fontId="6" fillId="0" borderId="41" xfId="0" applyNumberFormat="1" applyFont="1" applyBorder="1" applyAlignment="1">
      <alignment horizontal="right" vertical="center"/>
    </xf>
    <xf numFmtId="0" fontId="6" fillId="3" borderId="13" xfId="0" applyFont="1" applyFill="1" applyBorder="1" applyAlignment="1">
      <alignment horizontal="right" vertical="center"/>
    </xf>
    <xf numFmtId="178" fontId="6" fillId="0" borderId="30" xfId="0" applyNumberFormat="1" applyFont="1" applyBorder="1" applyAlignment="1">
      <alignment horizontal="center" vertical="center"/>
    </xf>
    <xf numFmtId="178" fontId="6" fillId="0" borderId="36" xfId="0" applyNumberFormat="1" applyFont="1" applyBorder="1" applyAlignment="1">
      <alignment horizontal="center" vertical="center"/>
    </xf>
    <xf numFmtId="177" fontId="6" fillId="6" borderId="29" xfId="0" applyNumberFormat="1" applyFont="1" applyFill="1" applyBorder="1" applyAlignment="1">
      <alignment horizontal="right" vertical="center"/>
    </xf>
    <xf numFmtId="176" fontId="6" fillId="6" borderId="29" xfId="0" applyNumberFormat="1" applyFont="1" applyFill="1" applyBorder="1" applyAlignment="1">
      <alignment horizontal="right" vertical="center"/>
    </xf>
    <xf numFmtId="176" fontId="6" fillId="6" borderId="50" xfId="0" applyNumberFormat="1" applyFont="1" applyFill="1" applyBorder="1" applyAlignment="1">
      <alignment horizontal="right" vertical="center"/>
    </xf>
    <xf numFmtId="176" fontId="6" fillId="6" borderId="28" xfId="0" applyNumberFormat="1" applyFont="1" applyFill="1" applyBorder="1" applyAlignment="1">
      <alignment horizontal="right" vertical="center"/>
    </xf>
    <xf numFmtId="0" fontId="6" fillId="0" borderId="0" xfId="0" applyFont="1" applyAlignment="1">
      <alignment horizontal="center" vertical="center"/>
    </xf>
    <xf numFmtId="176" fontId="6" fillId="7" borderId="39" xfId="0" applyNumberFormat="1" applyFont="1" applyFill="1" applyBorder="1" applyAlignment="1">
      <alignment horizontal="right" vertical="center"/>
    </xf>
    <xf numFmtId="0" fontId="0" fillId="0" borderId="0" xfId="0" applyAlignment="1">
      <alignment horizontal="left" vertical="center" wrapText="1"/>
    </xf>
    <xf numFmtId="0" fontId="0" fillId="0" borderId="0" xfId="0" applyAlignment="1">
      <alignment vertical="center" wrapText="1"/>
    </xf>
    <xf numFmtId="0" fontId="6" fillId="0" borderId="0" xfId="0" applyFont="1" applyAlignment="1">
      <alignment horizontal="right" vertical="center"/>
    </xf>
    <xf numFmtId="178" fontId="6" fillId="0" borderId="15" xfId="0" applyNumberFormat="1" applyFont="1" applyBorder="1" applyAlignment="1">
      <alignment horizontal="center" vertical="center"/>
    </xf>
    <xf numFmtId="176" fontId="6" fillId="9" borderId="33" xfId="0" applyNumberFormat="1" applyFont="1" applyFill="1" applyBorder="1" applyAlignment="1">
      <alignment horizontal="right" vertical="center"/>
    </xf>
    <xf numFmtId="176" fontId="6" fillId="9" borderId="34" xfId="0" applyNumberFormat="1" applyFont="1" applyFill="1" applyBorder="1" applyAlignment="1">
      <alignment horizontal="right" vertical="center"/>
    </xf>
    <xf numFmtId="176" fontId="6" fillId="9" borderId="54" xfId="0" applyNumberFormat="1" applyFont="1" applyFill="1" applyBorder="1" applyAlignment="1">
      <alignment horizontal="right" vertical="center"/>
    </xf>
    <xf numFmtId="176" fontId="6" fillId="9" borderId="25" xfId="0" applyNumberFormat="1" applyFont="1" applyFill="1" applyBorder="1" applyAlignment="1">
      <alignment horizontal="right" vertical="center"/>
    </xf>
    <xf numFmtId="176" fontId="6" fillId="9" borderId="46" xfId="0" applyNumberFormat="1" applyFont="1" applyFill="1" applyBorder="1" applyAlignment="1">
      <alignment horizontal="right" vertical="center"/>
    </xf>
    <xf numFmtId="176" fontId="6" fillId="9" borderId="47" xfId="0" applyNumberFormat="1" applyFont="1" applyFill="1" applyBorder="1" applyAlignment="1">
      <alignment horizontal="right" vertical="center"/>
    </xf>
    <xf numFmtId="176" fontId="6" fillId="9" borderId="35" xfId="0" applyNumberFormat="1" applyFont="1" applyFill="1" applyBorder="1" applyAlignment="1">
      <alignment horizontal="right" vertical="center"/>
    </xf>
    <xf numFmtId="176" fontId="6" fillId="9" borderId="26" xfId="0" applyNumberFormat="1" applyFont="1" applyFill="1" applyBorder="1" applyAlignment="1">
      <alignment horizontal="right" vertical="center"/>
    </xf>
    <xf numFmtId="176" fontId="6" fillId="9" borderId="45" xfId="0" applyNumberFormat="1" applyFont="1" applyFill="1" applyBorder="1" applyAlignment="1">
      <alignment horizontal="right" vertical="center"/>
    </xf>
    <xf numFmtId="176" fontId="6" fillId="0" borderId="55" xfId="0" applyNumberFormat="1" applyFont="1" applyBorder="1" applyAlignment="1">
      <alignment horizontal="right" vertical="center"/>
    </xf>
    <xf numFmtId="49" fontId="6" fillId="0" borderId="0" xfId="0" applyNumberFormat="1" applyFont="1" applyAlignment="1">
      <alignment horizontal="center" vertical="center" wrapText="1"/>
    </xf>
    <xf numFmtId="38" fontId="6" fillId="0" borderId="0" xfId="0" applyNumberFormat="1" applyFont="1" applyAlignment="1">
      <alignment horizontal="center" vertical="center" wrapText="1"/>
    </xf>
    <xf numFmtId="178" fontId="6" fillId="0" borderId="0" xfId="0" applyNumberFormat="1" applyFont="1" applyAlignment="1">
      <alignment horizontal="center" vertical="center"/>
    </xf>
    <xf numFmtId="178" fontId="6" fillId="9" borderId="36" xfId="0" applyNumberFormat="1" applyFont="1" applyFill="1" applyBorder="1" applyAlignment="1">
      <alignment horizontal="center" vertical="center"/>
    </xf>
    <xf numFmtId="176" fontId="6" fillId="9" borderId="41" xfId="0" applyNumberFormat="1" applyFont="1" applyFill="1" applyBorder="1" applyAlignment="1">
      <alignment horizontal="right" vertical="center"/>
    </xf>
    <xf numFmtId="176" fontId="6" fillId="9" borderId="39" xfId="0" applyNumberFormat="1" applyFont="1" applyFill="1" applyBorder="1" applyAlignment="1">
      <alignment horizontal="right" vertical="center"/>
    </xf>
    <xf numFmtId="176" fontId="6" fillId="9" borderId="40" xfId="0" applyNumberFormat="1" applyFont="1" applyFill="1" applyBorder="1" applyAlignment="1">
      <alignment horizontal="right" vertical="center"/>
    </xf>
    <xf numFmtId="0" fontId="8" fillId="11" borderId="0" xfId="0" applyFont="1" applyFill="1"/>
    <xf numFmtId="176" fontId="6" fillId="7" borderId="33" xfId="0" applyNumberFormat="1" applyFont="1" applyFill="1" applyBorder="1" applyAlignment="1">
      <alignment horizontal="right" vertical="center"/>
    </xf>
    <xf numFmtId="0" fontId="9" fillId="0" borderId="0" xfId="0" applyFont="1" applyAlignment="1">
      <alignment vertical="center"/>
    </xf>
    <xf numFmtId="0" fontId="10" fillId="0" borderId="0" xfId="0" applyFont="1" applyAlignment="1">
      <alignment horizontal="left" vertical="center"/>
    </xf>
    <xf numFmtId="0" fontId="10" fillId="0" borderId="0" xfId="0" applyFont="1" applyAlignment="1">
      <alignment vertical="center"/>
    </xf>
    <xf numFmtId="0" fontId="10" fillId="0" borderId="0" xfId="0" applyFont="1" applyAlignment="1">
      <alignment horizontal="center" vertical="center"/>
    </xf>
    <xf numFmtId="0" fontId="10" fillId="0" borderId="52" xfId="0" applyFont="1" applyBorder="1" applyAlignment="1">
      <alignment horizontal="center" vertical="center"/>
    </xf>
    <xf numFmtId="0" fontId="10" fillId="0" borderId="52" xfId="0" applyFont="1" applyBorder="1" applyAlignment="1">
      <alignment vertical="center"/>
    </xf>
    <xf numFmtId="0" fontId="10" fillId="0" borderId="60" xfId="0" applyFont="1" applyBorder="1" applyAlignment="1">
      <alignment horizontal="center" vertical="center"/>
    </xf>
    <xf numFmtId="0" fontId="10" fillId="0" borderId="52" xfId="0" applyFont="1" applyBorder="1" applyAlignment="1">
      <alignment horizontal="center" vertical="center" wrapText="1"/>
    </xf>
    <xf numFmtId="0" fontId="10" fillId="0" borderId="56" xfId="0" applyFont="1" applyBorder="1" applyAlignment="1">
      <alignment horizontal="center" vertical="center" wrapText="1"/>
    </xf>
    <xf numFmtId="0" fontId="11" fillId="0" borderId="52" xfId="0" applyFont="1" applyBorder="1" applyAlignment="1">
      <alignment horizontal="center" vertical="center"/>
    </xf>
    <xf numFmtId="0" fontId="11" fillId="0" borderId="56" xfId="0" applyFont="1" applyBorder="1" applyAlignment="1">
      <alignment horizontal="center" vertical="center"/>
    </xf>
    <xf numFmtId="0" fontId="11" fillId="0" borderId="52" xfId="0" applyFont="1" applyBorder="1" applyAlignment="1">
      <alignment horizontal="center" vertical="center" wrapText="1"/>
    </xf>
    <xf numFmtId="0" fontId="10" fillId="0" borderId="60" xfId="0" applyFont="1" applyBorder="1" applyAlignment="1">
      <alignment vertical="center"/>
    </xf>
    <xf numFmtId="0" fontId="10" fillId="0" borderId="51" xfId="0" applyFont="1" applyBorder="1" applyAlignment="1">
      <alignment horizontal="center" vertical="center"/>
    </xf>
    <xf numFmtId="0" fontId="10" fillId="0" borderId="51" xfId="0" applyFont="1" applyBorder="1" applyAlignment="1">
      <alignment vertical="center"/>
    </xf>
    <xf numFmtId="0" fontId="11" fillId="0" borderId="0" xfId="0" applyFont="1" applyAlignment="1">
      <alignment vertical="center"/>
    </xf>
    <xf numFmtId="0" fontId="11" fillId="0" borderId="0" xfId="0" applyFont="1" applyAlignment="1">
      <alignment horizontal="center" vertical="center"/>
    </xf>
    <xf numFmtId="0" fontId="6" fillId="2" borderId="56" xfId="0" applyFont="1" applyFill="1" applyBorder="1" applyAlignment="1">
      <alignment vertical="center"/>
    </xf>
    <xf numFmtId="178" fontId="6" fillId="2" borderId="58" xfId="0" applyNumberFormat="1" applyFont="1" applyFill="1" applyBorder="1" applyAlignment="1">
      <alignment vertical="center"/>
    </xf>
    <xf numFmtId="179" fontId="6" fillId="2" borderId="58" xfId="4" applyNumberFormat="1" applyFont="1" applyFill="1" applyBorder="1" applyAlignment="1">
      <alignment vertical="center"/>
    </xf>
    <xf numFmtId="0" fontId="0" fillId="0" borderId="59" xfId="0" applyBorder="1"/>
    <xf numFmtId="9" fontId="6" fillId="2" borderId="60" xfId="4" applyFont="1" applyFill="1" applyBorder="1" applyAlignment="1">
      <alignment vertical="center"/>
    </xf>
    <xf numFmtId="0" fontId="6" fillId="2" borderId="59" xfId="0" applyFont="1" applyFill="1" applyBorder="1" applyAlignment="1">
      <alignment vertical="center"/>
    </xf>
    <xf numFmtId="0" fontId="13" fillId="0" borderId="29" xfId="0" applyFont="1" applyBorder="1" applyAlignment="1">
      <alignment horizontal="right" vertical="center"/>
    </xf>
    <xf numFmtId="0" fontId="13" fillId="0" borderId="50" xfId="0" applyFont="1" applyBorder="1" applyAlignment="1">
      <alignment horizontal="left" vertical="center"/>
    </xf>
    <xf numFmtId="0" fontId="13" fillId="0" borderId="50" xfId="0" applyFont="1" applyBorder="1" applyAlignment="1">
      <alignment vertical="center"/>
    </xf>
    <xf numFmtId="0" fontId="13" fillId="0" borderId="35" xfId="0" applyFont="1" applyBorder="1" applyAlignment="1">
      <alignment horizontal="right" vertical="center"/>
    </xf>
    <xf numFmtId="0" fontId="13" fillId="0" borderId="33" xfId="0" applyFont="1" applyBorder="1" applyAlignment="1">
      <alignment horizontal="left" vertical="center" wrapText="1"/>
    </xf>
    <xf numFmtId="0" fontId="13" fillId="0" borderId="33" xfId="0" applyFont="1" applyBorder="1" applyAlignment="1">
      <alignment vertical="center" wrapText="1"/>
    </xf>
    <xf numFmtId="0" fontId="13" fillId="0" borderId="41" xfId="0" applyFont="1" applyBorder="1" applyAlignment="1">
      <alignment horizontal="right" vertical="center"/>
    </xf>
    <xf numFmtId="0" fontId="13" fillId="0" borderId="39" xfId="0" applyFont="1" applyBorder="1" applyAlignment="1">
      <alignment horizontal="left" vertical="center" wrapText="1"/>
    </xf>
    <xf numFmtId="0" fontId="13" fillId="0" borderId="39" xfId="0" applyFont="1" applyBorder="1" applyAlignment="1">
      <alignment vertical="center" wrapText="1"/>
    </xf>
    <xf numFmtId="0" fontId="13" fillId="0" borderId="45" xfId="0" applyFont="1" applyBorder="1" applyAlignment="1">
      <alignment horizontal="right" vertical="center"/>
    </xf>
    <xf numFmtId="0" fontId="13" fillId="0" borderId="46" xfId="0" applyFont="1" applyBorder="1" applyAlignment="1">
      <alignment horizontal="left" vertical="center" wrapText="1"/>
    </xf>
    <xf numFmtId="0" fontId="13" fillId="0" borderId="46" xfId="0" applyFont="1" applyBorder="1" applyAlignment="1">
      <alignment vertical="center" wrapText="1"/>
    </xf>
    <xf numFmtId="0" fontId="13" fillId="8" borderId="33" xfId="0" applyFont="1" applyFill="1" applyBorder="1" applyAlignment="1">
      <alignment horizontal="left" vertical="center" wrapText="1"/>
    </xf>
    <xf numFmtId="0" fontId="13" fillId="10" borderId="46" xfId="0" applyFont="1" applyFill="1" applyBorder="1" applyAlignment="1">
      <alignment horizontal="left" vertical="center" wrapText="1"/>
    </xf>
    <xf numFmtId="0" fontId="6" fillId="0" borderId="44" xfId="0" applyFont="1" applyBorder="1" applyAlignment="1">
      <alignment horizontal="center" vertical="center"/>
    </xf>
    <xf numFmtId="178" fontId="6" fillId="9" borderId="42" xfId="0" applyNumberFormat="1" applyFont="1" applyFill="1" applyBorder="1" applyAlignment="1">
      <alignment horizontal="center" vertical="center"/>
    </xf>
    <xf numFmtId="9" fontId="6" fillId="0" borderId="0" xfId="4" applyFont="1" applyAlignment="1">
      <alignment horizontal="right" vertical="center"/>
    </xf>
    <xf numFmtId="178" fontId="6" fillId="9" borderId="30" xfId="0" applyNumberFormat="1" applyFont="1" applyFill="1" applyBorder="1" applyAlignment="1">
      <alignment horizontal="center" vertical="center"/>
    </xf>
    <xf numFmtId="0" fontId="6" fillId="0" borderId="8" xfId="0" applyFont="1" applyBorder="1" applyAlignment="1">
      <alignment vertical="center"/>
    </xf>
    <xf numFmtId="0" fontId="16" fillId="0" borderId="9" xfId="0" applyFont="1" applyBorder="1"/>
    <xf numFmtId="0" fontId="15" fillId="0" borderId="9" xfId="0" applyFont="1" applyBorder="1" applyAlignment="1">
      <alignment vertical="center"/>
    </xf>
    <xf numFmtId="0" fontId="15" fillId="0" borderId="10" xfId="0" applyFont="1" applyBorder="1" applyAlignment="1">
      <alignment vertical="center"/>
    </xf>
    <xf numFmtId="0" fontId="15" fillId="0" borderId="1" xfId="0" applyFont="1" applyBorder="1" applyAlignment="1">
      <alignment vertical="center"/>
    </xf>
    <xf numFmtId="0" fontId="15" fillId="0" borderId="21" xfId="0" applyFont="1" applyBorder="1" applyAlignment="1">
      <alignment vertical="center"/>
    </xf>
    <xf numFmtId="0" fontId="17" fillId="0" borderId="20" xfId="0" applyFont="1" applyBorder="1"/>
    <xf numFmtId="9" fontId="6" fillId="15" borderId="60" xfId="4" applyFont="1" applyFill="1" applyBorder="1" applyAlignment="1">
      <alignment vertical="center"/>
    </xf>
    <xf numFmtId="0" fontId="6" fillId="16" borderId="44" xfId="0" applyFont="1" applyFill="1" applyBorder="1" applyAlignment="1">
      <alignment horizontal="center" vertical="center"/>
    </xf>
    <xf numFmtId="178" fontId="6" fillId="16" borderId="42" xfId="0" applyNumberFormat="1" applyFont="1" applyFill="1" applyBorder="1" applyAlignment="1">
      <alignment horizontal="center" vertical="center"/>
    </xf>
    <xf numFmtId="176" fontId="6" fillId="16" borderId="45" xfId="0" applyNumberFormat="1" applyFont="1" applyFill="1" applyBorder="1" applyAlignment="1">
      <alignment horizontal="right" vertical="center"/>
    </xf>
    <xf numFmtId="176" fontId="6" fillId="16" borderId="46" xfId="0" applyNumberFormat="1" applyFont="1" applyFill="1" applyBorder="1" applyAlignment="1">
      <alignment horizontal="right" vertical="center"/>
    </xf>
    <xf numFmtId="176" fontId="6" fillId="16" borderId="47" xfId="0" applyNumberFormat="1" applyFont="1" applyFill="1" applyBorder="1" applyAlignment="1">
      <alignment horizontal="right" vertical="center"/>
    </xf>
    <xf numFmtId="178" fontId="6" fillId="0" borderId="42" xfId="0" applyNumberFormat="1" applyFont="1" applyBorder="1" applyAlignment="1">
      <alignment horizontal="center" vertical="center"/>
    </xf>
    <xf numFmtId="176" fontId="6" fillId="0" borderId="45" xfId="0" applyNumberFormat="1" applyFont="1" applyBorder="1" applyAlignment="1">
      <alignment horizontal="right" vertical="center"/>
    </xf>
    <xf numFmtId="176" fontId="6" fillId="0" borderId="46" xfId="0" applyNumberFormat="1" applyFont="1" applyBorder="1" applyAlignment="1">
      <alignment horizontal="right" vertical="center"/>
    </xf>
    <xf numFmtId="176" fontId="6" fillId="0" borderId="47" xfId="0" applyNumberFormat="1" applyFont="1" applyBorder="1" applyAlignment="1">
      <alignment horizontal="right" vertical="center"/>
    </xf>
    <xf numFmtId="176" fontId="6" fillId="0" borderId="64" xfId="0" applyNumberFormat="1" applyFont="1" applyBorder="1" applyAlignment="1">
      <alignment horizontal="right" vertical="center"/>
    </xf>
    <xf numFmtId="176" fontId="6" fillId="0" borderId="65" xfId="0" applyNumberFormat="1" applyFont="1" applyBorder="1" applyAlignment="1">
      <alignment horizontal="right" vertical="center"/>
    </xf>
    <xf numFmtId="176" fontId="6" fillId="0" borderId="62" xfId="0" applyNumberFormat="1" applyFont="1" applyBorder="1" applyAlignment="1">
      <alignment horizontal="right" vertical="center"/>
    </xf>
    <xf numFmtId="180" fontId="12" fillId="0" borderId="52" xfId="5" applyNumberFormat="1" applyFont="1" applyBorder="1">
      <alignment vertical="center"/>
    </xf>
    <xf numFmtId="0" fontId="12" fillId="0" borderId="52" xfId="5" applyFont="1" applyBorder="1">
      <alignment vertical="center"/>
    </xf>
    <xf numFmtId="181" fontId="12" fillId="10" borderId="52" xfId="5" applyNumberFormat="1" applyFont="1" applyFill="1" applyBorder="1">
      <alignment vertical="center"/>
    </xf>
    <xf numFmtId="181" fontId="12" fillId="12" borderId="52" xfId="5" applyNumberFormat="1" applyFont="1" applyFill="1" applyBorder="1">
      <alignment vertical="center"/>
    </xf>
    <xf numFmtId="181" fontId="12" fillId="13" borderId="52" xfId="5" applyNumberFormat="1" applyFont="1" applyFill="1" applyBorder="1">
      <alignment vertical="center"/>
    </xf>
    <xf numFmtId="181" fontId="12" fillId="14" borderId="52" xfId="5" applyNumberFormat="1" applyFont="1" applyFill="1" applyBorder="1">
      <alignment vertical="center"/>
    </xf>
    <xf numFmtId="0" fontId="12" fillId="0" borderId="0" xfId="5" applyFont="1">
      <alignment vertical="center"/>
    </xf>
    <xf numFmtId="181" fontId="12" fillId="0" borderId="0" xfId="5" applyNumberFormat="1" applyFont="1">
      <alignment vertical="center"/>
    </xf>
    <xf numFmtId="0" fontId="6" fillId="0" borderId="18" xfId="0" applyFont="1" applyBorder="1" applyAlignment="1">
      <alignment horizontal="center" vertical="center"/>
    </xf>
    <xf numFmtId="0" fontId="6" fillId="0" borderId="23" xfId="0" applyFont="1" applyBorder="1" applyAlignment="1">
      <alignment horizontal="center" vertical="center"/>
    </xf>
    <xf numFmtId="0" fontId="6" fillId="0" borderId="19" xfId="0" applyFont="1" applyBorder="1" applyAlignment="1">
      <alignment horizontal="center" vertical="center"/>
    </xf>
    <xf numFmtId="0" fontId="6" fillId="0" borderId="24" xfId="0" applyFont="1" applyBorder="1" applyAlignment="1">
      <alignment horizontal="center" vertical="center"/>
    </xf>
    <xf numFmtId="0" fontId="6" fillId="0" borderId="0" xfId="0" applyFont="1" applyAlignment="1">
      <alignment horizontal="left"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38" fontId="6" fillId="0" borderId="8" xfId="0" applyNumberFormat="1" applyFont="1" applyBorder="1" applyAlignment="1">
      <alignment horizontal="center" vertical="center" wrapText="1"/>
    </xf>
    <xf numFmtId="38" fontId="6" fillId="0" borderId="10" xfId="0" applyNumberFormat="1" applyFont="1" applyBorder="1" applyAlignment="1">
      <alignment horizontal="center" vertical="center" wrapText="1"/>
    </xf>
    <xf numFmtId="38" fontId="6" fillId="0" borderId="15" xfId="0" applyNumberFormat="1" applyFont="1" applyBorder="1" applyAlignment="1">
      <alignment horizontal="center" vertical="center" wrapText="1"/>
    </xf>
    <xf numFmtId="38" fontId="6" fillId="0" borderId="16" xfId="0" applyNumberFormat="1"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0" fillId="0" borderId="9" xfId="0" applyBorder="1" applyAlignment="1">
      <alignment vertical="center"/>
    </xf>
    <xf numFmtId="0" fontId="0" fillId="0" borderId="15" xfId="0" applyBorder="1" applyAlignment="1">
      <alignment vertical="center"/>
    </xf>
    <xf numFmtId="0" fontId="0" fillId="0" borderId="0" xfId="0" applyAlignment="1">
      <alignment vertical="center"/>
    </xf>
    <xf numFmtId="0" fontId="0" fillId="0" borderId="20" xfId="0" applyBorder="1" applyAlignment="1">
      <alignment vertical="center"/>
    </xf>
    <xf numFmtId="0" fontId="0" fillId="0" borderId="1" xfId="0" applyBorder="1" applyAlignment="1">
      <alignment vertical="center"/>
    </xf>
    <xf numFmtId="0" fontId="0" fillId="0" borderId="16" xfId="0" applyBorder="1" applyAlignment="1">
      <alignment horizontal="center" vertical="center"/>
    </xf>
    <xf numFmtId="0" fontId="0" fillId="0" borderId="21" xfId="0" applyBorder="1" applyAlignment="1">
      <alignment horizontal="center" vertical="center"/>
    </xf>
    <xf numFmtId="0" fontId="6" fillId="0" borderId="17" xfId="0" applyFont="1" applyBorder="1" applyAlignment="1">
      <alignment horizontal="center" vertical="center"/>
    </xf>
    <xf numFmtId="0" fontId="6" fillId="0" borderId="22" xfId="0" applyFont="1" applyBorder="1" applyAlignment="1">
      <alignment horizontal="center" vertical="center"/>
    </xf>
    <xf numFmtId="0" fontId="6" fillId="0" borderId="4" xfId="0" applyFont="1" applyBorder="1" applyAlignment="1">
      <alignment horizontal="center" vertical="center"/>
    </xf>
    <xf numFmtId="49" fontId="6" fillId="0" borderId="30" xfId="0" applyNumberFormat="1" applyFont="1" applyBorder="1" applyAlignment="1">
      <alignment horizontal="center" vertical="center" wrapText="1"/>
    </xf>
    <xf numFmtId="49" fontId="6" fillId="0" borderId="31" xfId="0" applyNumberFormat="1" applyFont="1" applyBorder="1" applyAlignment="1">
      <alignment horizontal="center" vertical="center" wrapText="1"/>
    </xf>
    <xf numFmtId="49" fontId="6" fillId="0" borderId="36" xfId="0" applyNumberFormat="1" applyFont="1" applyBorder="1" applyAlignment="1">
      <alignment horizontal="center" vertical="center" wrapText="1"/>
    </xf>
    <xf numFmtId="49" fontId="6" fillId="0" borderId="37" xfId="0" applyNumberFormat="1" applyFont="1" applyBorder="1" applyAlignment="1">
      <alignment horizontal="center" vertical="center" wrapText="1"/>
    </xf>
    <xf numFmtId="49" fontId="6" fillId="0" borderId="42" xfId="0" applyNumberFormat="1" applyFont="1" applyBorder="1" applyAlignment="1">
      <alignment horizontal="center" vertical="center" wrapText="1"/>
    </xf>
    <xf numFmtId="49" fontId="6" fillId="0" borderId="43" xfId="0" applyNumberFormat="1" applyFont="1" applyBorder="1" applyAlignment="1">
      <alignment horizontal="center" vertical="center" wrapText="1"/>
    </xf>
    <xf numFmtId="38" fontId="6" fillId="0" borderId="20" xfId="0" applyNumberFormat="1" applyFont="1" applyBorder="1" applyAlignment="1">
      <alignment horizontal="center" vertical="center" wrapText="1"/>
    </xf>
    <xf numFmtId="38" fontId="6" fillId="0" borderId="21" xfId="0" applyNumberFormat="1" applyFont="1" applyBorder="1" applyAlignment="1">
      <alignment horizontal="center" vertical="center" wrapText="1"/>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7"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6" borderId="48"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49" xfId="0" applyFont="1" applyFill="1" applyBorder="1" applyAlignment="1">
      <alignment horizontal="center" vertical="center"/>
    </xf>
    <xf numFmtId="0" fontId="13" fillId="0" borderId="8" xfId="0" applyFont="1" applyBorder="1" applyAlignment="1">
      <alignment horizontal="left" vertical="center" wrapText="1"/>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13" fillId="0" borderId="15" xfId="0" applyFont="1" applyBorder="1" applyAlignment="1">
      <alignment horizontal="left" vertical="center"/>
    </xf>
    <xf numFmtId="0" fontId="13" fillId="0" borderId="0" xfId="0" applyFont="1" applyAlignment="1">
      <alignment horizontal="left" vertical="center"/>
    </xf>
    <xf numFmtId="0" fontId="13" fillId="0" borderId="16" xfId="0" applyFont="1" applyBorder="1" applyAlignment="1">
      <alignment horizontal="left" vertical="center"/>
    </xf>
    <xf numFmtId="0" fontId="13" fillId="0" borderId="20" xfId="0" applyFont="1" applyBorder="1" applyAlignment="1">
      <alignment horizontal="left" vertical="center"/>
    </xf>
    <xf numFmtId="0" fontId="13" fillId="0" borderId="1" xfId="0" applyFont="1" applyBorder="1" applyAlignment="1">
      <alignment horizontal="left" vertical="center"/>
    </xf>
    <xf numFmtId="0" fontId="13" fillId="0" borderId="21" xfId="0" applyFont="1" applyBorder="1" applyAlignment="1">
      <alignment horizontal="left" vertical="center"/>
    </xf>
    <xf numFmtId="0" fontId="6" fillId="0" borderId="62" xfId="0" applyFont="1" applyBorder="1" applyAlignment="1">
      <alignment horizontal="left" vertical="center" wrapText="1"/>
    </xf>
    <xf numFmtId="0" fontId="6" fillId="0" borderId="54" xfId="0" applyFont="1" applyBorder="1" applyAlignment="1">
      <alignment horizontal="left" vertical="center" wrapText="1"/>
    </xf>
    <xf numFmtId="0" fontId="6" fillId="0" borderId="63" xfId="0" applyFont="1" applyBorder="1" applyAlignment="1">
      <alignment horizontal="left" vertical="center" wrapText="1"/>
    </xf>
    <xf numFmtId="38" fontId="6" fillId="0" borderId="30" xfId="0" applyNumberFormat="1" applyFont="1" applyBorder="1" applyAlignment="1">
      <alignment horizontal="center" vertical="center" wrapText="1"/>
    </xf>
    <xf numFmtId="38" fontId="6" fillId="0" borderId="31" xfId="0" applyNumberFormat="1" applyFont="1" applyBorder="1" applyAlignment="1">
      <alignment horizontal="center" vertical="center" wrapText="1"/>
    </xf>
    <xf numFmtId="38" fontId="6" fillId="0" borderId="42" xfId="0" applyNumberFormat="1" applyFont="1" applyBorder="1" applyAlignment="1">
      <alignment horizontal="center" vertical="center" wrapText="1"/>
    </xf>
    <xf numFmtId="38" fontId="6" fillId="0" borderId="43" xfId="0" applyNumberFormat="1" applyFont="1" applyBorder="1" applyAlignment="1">
      <alignment horizontal="center" vertical="center" wrapText="1"/>
    </xf>
    <xf numFmtId="0" fontId="13" fillId="0" borderId="62" xfId="0" applyFont="1" applyBorder="1" applyAlignment="1">
      <alignment horizontal="left" vertical="center" wrapText="1"/>
    </xf>
    <xf numFmtId="0" fontId="13" fillId="0" borderId="54" xfId="0" applyFont="1" applyBorder="1" applyAlignment="1">
      <alignment horizontal="left" vertical="center" wrapText="1"/>
    </xf>
    <xf numFmtId="0" fontId="13" fillId="0" borderId="63" xfId="0" applyFont="1" applyBorder="1" applyAlignment="1">
      <alignment horizontal="left" vertical="center" wrapText="1"/>
    </xf>
    <xf numFmtId="0" fontId="10" fillId="0" borderId="53" xfId="0" applyFont="1" applyBorder="1" applyAlignment="1">
      <alignment horizontal="center" vertical="center"/>
    </xf>
    <xf numFmtId="0" fontId="10" fillId="0" borderId="17" xfId="0" applyFont="1" applyBorder="1" applyAlignment="1">
      <alignment horizontal="center" vertical="center"/>
    </xf>
    <xf numFmtId="0" fontId="10" fillId="0" borderId="59" xfId="0" applyFont="1" applyBorder="1" applyAlignment="1">
      <alignment horizontal="center" vertical="center"/>
    </xf>
    <xf numFmtId="0" fontId="10" fillId="0" borderId="60" xfId="0" applyFont="1" applyBorder="1" applyAlignment="1">
      <alignment horizontal="center" vertical="center"/>
    </xf>
    <xf numFmtId="0" fontId="10" fillId="0" borderId="61" xfId="0" applyFont="1" applyBorder="1" applyAlignment="1">
      <alignment horizontal="center" vertical="center"/>
    </xf>
    <xf numFmtId="0" fontId="10" fillId="0" borderId="52" xfId="0" applyFont="1" applyBorder="1" applyAlignment="1">
      <alignment horizontal="center" vertical="center"/>
    </xf>
    <xf numFmtId="0" fontId="10" fillId="0" borderId="56" xfId="0" applyFont="1" applyBorder="1" applyAlignment="1">
      <alignment horizontal="center" vertical="center"/>
    </xf>
    <xf numFmtId="0" fontId="10" fillId="0" borderId="57" xfId="0" applyFont="1" applyBorder="1" applyAlignment="1">
      <alignment horizontal="center" vertical="center"/>
    </xf>
    <xf numFmtId="0" fontId="10" fillId="0" borderId="58" xfId="0" applyFont="1" applyBorder="1" applyAlignment="1">
      <alignment horizontal="center" vertical="center"/>
    </xf>
  </cellXfs>
  <cellStyles count="6">
    <cellStyle name="パーセント" xfId="4" builtinId="5"/>
    <cellStyle name="標準" xfId="0" builtinId="0"/>
    <cellStyle name="標準 2" xfId="2" xr:uid="{91650076-0B92-4F1B-90FD-CB84A83C648A}"/>
    <cellStyle name="標準 3" xfId="1" xr:uid="{00000000-0005-0000-0000-000001000000}"/>
    <cellStyle name="標準 4" xfId="3" xr:uid="{6C41456E-1856-4348-ABE3-330AEB932A75}"/>
    <cellStyle name="標準 5" xfId="5" xr:uid="{EBA38D4E-77CA-47EB-A873-59246A90CAEB}"/>
  </cellStyles>
  <dxfs count="0"/>
  <tableStyles count="0" defaultTableStyle="TableStyleMedium2" defaultPivotStyle="PivotStyleLight16"/>
  <colors>
    <mruColors>
      <color rgb="FFCCFFCC"/>
      <color rgb="FFFFC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L1</a:t>
            </a:r>
            <a:endParaRPr lang="ja-JP" altLang="en-US"/>
          </a:p>
        </c:rich>
      </c:tx>
      <c:layout>
        <c:manualLayout>
          <c:xMode val="edge"/>
          <c:yMode val="edge"/>
          <c:x val="6.528640698596784E-2"/>
          <c:y val="2.82935455349248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barChart>
        <c:barDir val="col"/>
        <c:grouping val="stacked"/>
        <c:varyColors val="0"/>
        <c:ser>
          <c:idx val="0"/>
          <c:order val="0"/>
          <c:spPr>
            <a:solidFill>
              <a:schemeClr val="accent1"/>
            </a:solidFill>
            <a:ln>
              <a:noFill/>
            </a:ln>
            <a:effectLst/>
          </c:spPr>
          <c:invertIfNegative val="0"/>
          <c:cat>
            <c:numRef>
              <c:f>'生産1課_SMT負荷計算(8-21BOSS)'!$A$2:$A$34</c:f>
              <c:numCache>
                <c:formatCode>yyyy/mm/dd</c:formatCode>
                <c:ptCount val="33"/>
                <c:pt idx="0">
                  <c:v>45161</c:v>
                </c:pt>
                <c:pt idx="1">
                  <c:v>45162</c:v>
                </c:pt>
                <c:pt idx="2">
                  <c:v>45163</c:v>
                </c:pt>
                <c:pt idx="3">
                  <c:v>45164</c:v>
                </c:pt>
                <c:pt idx="4">
                  <c:v>45165</c:v>
                </c:pt>
                <c:pt idx="5">
                  <c:v>45166</c:v>
                </c:pt>
                <c:pt idx="6">
                  <c:v>45167</c:v>
                </c:pt>
                <c:pt idx="7">
                  <c:v>45168</c:v>
                </c:pt>
                <c:pt idx="8">
                  <c:v>45169</c:v>
                </c:pt>
                <c:pt idx="9">
                  <c:v>45170</c:v>
                </c:pt>
                <c:pt idx="10">
                  <c:v>45171</c:v>
                </c:pt>
                <c:pt idx="11">
                  <c:v>45172</c:v>
                </c:pt>
                <c:pt idx="12">
                  <c:v>45173</c:v>
                </c:pt>
                <c:pt idx="13">
                  <c:v>45174</c:v>
                </c:pt>
                <c:pt idx="14">
                  <c:v>45175</c:v>
                </c:pt>
                <c:pt idx="15">
                  <c:v>45176</c:v>
                </c:pt>
                <c:pt idx="16">
                  <c:v>45177</c:v>
                </c:pt>
                <c:pt idx="17">
                  <c:v>45178</c:v>
                </c:pt>
                <c:pt idx="18">
                  <c:v>45179</c:v>
                </c:pt>
                <c:pt idx="19">
                  <c:v>45180</c:v>
                </c:pt>
                <c:pt idx="20">
                  <c:v>45181</c:v>
                </c:pt>
                <c:pt idx="21">
                  <c:v>45182</c:v>
                </c:pt>
                <c:pt idx="22">
                  <c:v>45183</c:v>
                </c:pt>
                <c:pt idx="23">
                  <c:v>45184</c:v>
                </c:pt>
                <c:pt idx="24">
                  <c:v>45185</c:v>
                </c:pt>
                <c:pt idx="25">
                  <c:v>45186</c:v>
                </c:pt>
                <c:pt idx="26">
                  <c:v>45187</c:v>
                </c:pt>
                <c:pt idx="27">
                  <c:v>45188</c:v>
                </c:pt>
                <c:pt idx="28">
                  <c:v>45189</c:v>
                </c:pt>
                <c:pt idx="29">
                  <c:v>45190</c:v>
                </c:pt>
                <c:pt idx="30">
                  <c:v>45191</c:v>
                </c:pt>
                <c:pt idx="31">
                  <c:v>45192</c:v>
                </c:pt>
                <c:pt idx="32">
                  <c:v>45193</c:v>
                </c:pt>
              </c:numCache>
            </c:numRef>
          </c:cat>
          <c:val>
            <c:numRef>
              <c:f>'生産1課_SMT負荷計算(8-21BOSS)'!$F$2:$F$34</c:f>
              <c:numCache>
                <c:formatCode>0.00"h"</c:formatCode>
                <c:ptCount val="33"/>
                <c:pt idx="0">
                  <c:v>4.8090313492063501</c:v>
                </c:pt>
                <c:pt idx="1">
                  <c:v>2.1861476190476199</c:v>
                </c:pt>
                <c:pt idx="2">
                  <c:v>6.1014001984127004</c:v>
                </c:pt>
                <c:pt idx="6">
                  <c:v>6.5144968253968303</c:v>
                </c:pt>
                <c:pt idx="7">
                  <c:v>3.8276838095238102</c:v>
                </c:pt>
                <c:pt idx="8">
                  <c:v>3.7435301587301599</c:v>
                </c:pt>
                <c:pt idx="9">
                  <c:v>3.7438925396825402</c:v>
                </c:pt>
                <c:pt idx="12">
                  <c:v>5.14035715244838</c:v>
                </c:pt>
                <c:pt idx="13">
                  <c:v>9.0458134920634894</c:v>
                </c:pt>
                <c:pt idx="14">
                  <c:v>2.38764888888889</c:v>
                </c:pt>
                <c:pt idx="15">
                  <c:v>3.9454581349206399</c:v>
                </c:pt>
                <c:pt idx="16">
                  <c:v>1.5548698412698401</c:v>
                </c:pt>
                <c:pt idx="19">
                  <c:v>4.5790441269841304</c:v>
                </c:pt>
                <c:pt idx="20">
                  <c:v>1.55427936507937</c:v>
                </c:pt>
                <c:pt idx="21">
                  <c:v>1.55363227513228</c:v>
                </c:pt>
                <c:pt idx="22">
                  <c:v>3.5282285714285702</c:v>
                </c:pt>
                <c:pt idx="23">
                  <c:v>5.6161131746031696</c:v>
                </c:pt>
                <c:pt idx="27">
                  <c:v>2.4620547619047599</c:v>
                </c:pt>
                <c:pt idx="28">
                  <c:v>3.5762222222222202</c:v>
                </c:pt>
                <c:pt idx="29">
                  <c:v>6.3547968253968303</c:v>
                </c:pt>
                <c:pt idx="30">
                  <c:v>3.1688253968254001</c:v>
                </c:pt>
              </c:numCache>
            </c:numRef>
          </c:val>
          <c:extLst>
            <c:ext xmlns:c16="http://schemas.microsoft.com/office/drawing/2014/chart" uri="{C3380CC4-5D6E-409C-BE32-E72D297353CC}">
              <c16:uniqueId val="{00000000-86BE-4D5B-B8EE-1A327CC327C9}"/>
            </c:ext>
          </c:extLst>
        </c:ser>
        <c:ser>
          <c:idx val="1"/>
          <c:order val="1"/>
          <c:spPr>
            <a:solidFill>
              <a:schemeClr val="accent2"/>
            </a:solidFill>
            <a:ln>
              <a:noFill/>
            </a:ln>
            <a:effectLst/>
          </c:spPr>
          <c:invertIfNegative val="0"/>
          <c:cat>
            <c:numRef>
              <c:f>'生産1課_SMT負荷計算(8-21BOSS)'!$A$2:$A$34</c:f>
              <c:numCache>
                <c:formatCode>yyyy/mm/dd</c:formatCode>
                <c:ptCount val="33"/>
                <c:pt idx="0">
                  <c:v>45161</c:v>
                </c:pt>
                <c:pt idx="1">
                  <c:v>45162</c:v>
                </c:pt>
                <c:pt idx="2">
                  <c:v>45163</c:v>
                </c:pt>
                <c:pt idx="3">
                  <c:v>45164</c:v>
                </c:pt>
                <c:pt idx="4">
                  <c:v>45165</c:v>
                </c:pt>
                <c:pt idx="5">
                  <c:v>45166</c:v>
                </c:pt>
                <c:pt idx="6">
                  <c:v>45167</c:v>
                </c:pt>
                <c:pt idx="7">
                  <c:v>45168</c:v>
                </c:pt>
                <c:pt idx="8">
                  <c:v>45169</c:v>
                </c:pt>
                <c:pt idx="9">
                  <c:v>45170</c:v>
                </c:pt>
                <c:pt idx="10">
                  <c:v>45171</c:v>
                </c:pt>
                <c:pt idx="11">
                  <c:v>45172</c:v>
                </c:pt>
                <c:pt idx="12">
                  <c:v>45173</c:v>
                </c:pt>
                <c:pt idx="13">
                  <c:v>45174</c:v>
                </c:pt>
                <c:pt idx="14">
                  <c:v>45175</c:v>
                </c:pt>
                <c:pt idx="15">
                  <c:v>45176</c:v>
                </c:pt>
                <c:pt idx="16">
                  <c:v>45177</c:v>
                </c:pt>
                <c:pt idx="17">
                  <c:v>45178</c:v>
                </c:pt>
                <c:pt idx="18">
                  <c:v>45179</c:v>
                </c:pt>
                <c:pt idx="19">
                  <c:v>45180</c:v>
                </c:pt>
                <c:pt idx="20">
                  <c:v>45181</c:v>
                </c:pt>
                <c:pt idx="21">
                  <c:v>45182</c:v>
                </c:pt>
                <c:pt idx="22">
                  <c:v>45183</c:v>
                </c:pt>
                <c:pt idx="23">
                  <c:v>45184</c:v>
                </c:pt>
                <c:pt idx="24">
                  <c:v>45185</c:v>
                </c:pt>
                <c:pt idx="25">
                  <c:v>45186</c:v>
                </c:pt>
                <c:pt idx="26">
                  <c:v>45187</c:v>
                </c:pt>
                <c:pt idx="27">
                  <c:v>45188</c:v>
                </c:pt>
                <c:pt idx="28">
                  <c:v>45189</c:v>
                </c:pt>
                <c:pt idx="29">
                  <c:v>45190</c:v>
                </c:pt>
                <c:pt idx="30">
                  <c:v>45191</c:v>
                </c:pt>
                <c:pt idx="31">
                  <c:v>45192</c:v>
                </c:pt>
                <c:pt idx="32">
                  <c:v>45193</c:v>
                </c:pt>
              </c:numCache>
            </c:numRef>
          </c:cat>
          <c:val>
            <c:numRef>
              <c:f>'生産1課_SMT負荷計算(8-21BOSS)'!$G$2:$G$34</c:f>
              <c:numCache>
                <c:formatCode>0.00"h"</c:formatCode>
                <c:ptCount val="33"/>
                <c:pt idx="0">
                  <c:v>4.6861428571428601</c:v>
                </c:pt>
                <c:pt idx="1">
                  <c:v>1.3047619047618999</c:v>
                </c:pt>
                <c:pt idx="2">
                  <c:v>4.6861428571428601</c:v>
                </c:pt>
                <c:pt idx="6">
                  <c:v>1.3047619047618999</c:v>
                </c:pt>
                <c:pt idx="7">
                  <c:v>2.74782857142857</c:v>
                </c:pt>
                <c:pt idx="8">
                  <c:v>1.13185714285714</c:v>
                </c:pt>
                <c:pt idx="9">
                  <c:v>4.6575714285714298</c:v>
                </c:pt>
                <c:pt idx="13">
                  <c:v>2.64961904761905</c:v>
                </c:pt>
                <c:pt idx="14">
                  <c:v>1.3047619047618999</c:v>
                </c:pt>
                <c:pt idx="15">
                  <c:v>5.9909047619047602</c:v>
                </c:pt>
                <c:pt idx="16">
                  <c:v>3.3903190476190499</c:v>
                </c:pt>
                <c:pt idx="20">
                  <c:v>2.14549841269841</c:v>
                </c:pt>
                <c:pt idx="21">
                  <c:v>4.6861428571428601</c:v>
                </c:pt>
                <c:pt idx="22">
                  <c:v>0.90476190476190499</c:v>
                </c:pt>
                <c:pt idx="23">
                  <c:v>1.3047619047618999</c:v>
                </c:pt>
                <c:pt idx="27">
                  <c:v>5.4575714285714296</c:v>
                </c:pt>
                <c:pt idx="29">
                  <c:v>1.3047619047618999</c:v>
                </c:pt>
                <c:pt idx="30">
                  <c:v>2.7879238095238099</c:v>
                </c:pt>
              </c:numCache>
            </c:numRef>
          </c:val>
          <c:extLst>
            <c:ext xmlns:c16="http://schemas.microsoft.com/office/drawing/2014/chart" uri="{C3380CC4-5D6E-409C-BE32-E72D297353CC}">
              <c16:uniqueId val="{00000001-86BE-4D5B-B8EE-1A327CC327C9}"/>
            </c:ext>
          </c:extLst>
        </c:ser>
        <c:ser>
          <c:idx val="2"/>
          <c:order val="2"/>
          <c:spPr>
            <a:solidFill>
              <a:schemeClr val="accent3"/>
            </a:solidFill>
            <a:ln>
              <a:noFill/>
            </a:ln>
            <a:effectLst/>
          </c:spPr>
          <c:invertIfNegative val="0"/>
          <c:cat>
            <c:numRef>
              <c:f>'生産1課_SMT負荷計算(8-21BOSS)'!$A$2:$A$34</c:f>
              <c:numCache>
                <c:formatCode>yyyy/mm/dd</c:formatCode>
                <c:ptCount val="33"/>
                <c:pt idx="0">
                  <c:v>45161</c:v>
                </c:pt>
                <c:pt idx="1">
                  <c:v>45162</c:v>
                </c:pt>
                <c:pt idx="2">
                  <c:v>45163</c:v>
                </c:pt>
                <c:pt idx="3">
                  <c:v>45164</c:v>
                </c:pt>
                <c:pt idx="4">
                  <c:v>45165</c:v>
                </c:pt>
                <c:pt idx="5">
                  <c:v>45166</c:v>
                </c:pt>
                <c:pt idx="6">
                  <c:v>45167</c:v>
                </c:pt>
                <c:pt idx="7">
                  <c:v>45168</c:v>
                </c:pt>
                <c:pt idx="8">
                  <c:v>45169</c:v>
                </c:pt>
                <c:pt idx="9">
                  <c:v>45170</c:v>
                </c:pt>
                <c:pt idx="10">
                  <c:v>45171</c:v>
                </c:pt>
                <c:pt idx="11">
                  <c:v>45172</c:v>
                </c:pt>
                <c:pt idx="12">
                  <c:v>45173</c:v>
                </c:pt>
                <c:pt idx="13">
                  <c:v>45174</c:v>
                </c:pt>
                <c:pt idx="14">
                  <c:v>45175</c:v>
                </c:pt>
                <c:pt idx="15">
                  <c:v>45176</c:v>
                </c:pt>
                <c:pt idx="16">
                  <c:v>45177</c:v>
                </c:pt>
                <c:pt idx="17">
                  <c:v>45178</c:v>
                </c:pt>
                <c:pt idx="18">
                  <c:v>45179</c:v>
                </c:pt>
                <c:pt idx="19">
                  <c:v>45180</c:v>
                </c:pt>
                <c:pt idx="20">
                  <c:v>45181</c:v>
                </c:pt>
                <c:pt idx="21">
                  <c:v>45182</c:v>
                </c:pt>
                <c:pt idx="22">
                  <c:v>45183</c:v>
                </c:pt>
                <c:pt idx="23">
                  <c:v>45184</c:v>
                </c:pt>
                <c:pt idx="24">
                  <c:v>45185</c:v>
                </c:pt>
                <c:pt idx="25">
                  <c:v>45186</c:v>
                </c:pt>
                <c:pt idx="26">
                  <c:v>45187</c:v>
                </c:pt>
                <c:pt idx="27">
                  <c:v>45188</c:v>
                </c:pt>
                <c:pt idx="28">
                  <c:v>45189</c:v>
                </c:pt>
                <c:pt idx="29">
                  <c:v>45190</c:v>
                </c:pt>
                <c:pt idx="30">
                  <c:v>45191</c:v>
                </c:pt>
                <c:pt idx="31">
                  <c:v>45192</c:v>
                </c:pt>
                <c:pt idx="32">
                  <c:v>45193</c:v>
                </c:pt>
              </c:numCache>
            </c:numRef>
          </c:cat>
          <c:val>
            <c:numRef>
              <c:f>'生産1課_SMT負荷計算(8-21BOSS)'!$K$2:$K$34</c:f>
              <c:numCache>
                <c:formatCode>0.00"h"</c:formatCode>
                <c:ptCount val="33"/>
                <c:pt idx="12">
                  <c:v>6</c:v>
                </c:pt>
                <c:pt idx="23">
                  <c:v>8</c:v>
                </c:pt>
                <c:pt idx="27">
                  <c:v>2</c:v>
                </c:pt>
              </c:numCache>
            </c:numRef>
          </c:val>
          <c:extLst>
            <c:ext xmlns:c16="http://schemas.microsoft.com/office/drawing/2014/chart" uri="{C3380CC4-5D6E-409C-BE32-E72D297353CC}">
              <c16:uniqueId val="{00000002-86BE-4D5B-B8EE-1A327CC327C9}"/>
            </c:ext>
          </c:extLst>
        </c:ser>
        <c:dLbls>
          <c:showLegendKey val="0"/>
          <c:showVal val="0"/>
          <c:showCatName val="0"/>
          <c:showSerName val="0"/>
          <c:showPercent val="0"/>
          <c:showBubbleSize val="0"/>
        </c:dLbls>
        <c:gapWidth val="219"/>
        <c:overlap val="100"/>
        <c:axId val="1282026768"/>
        <c:axId val="1282029064"/>
      </c:barChart>
      <c:dateAx>
        <c:axId val="1282026768"/>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82029064"/>
        <c:crosses val="autoZero"/>
        <c:auto val="1"/>
        <c:lblOffset val="100"/>
        <c:baseTimeUnit val="days"/>
      </c:dateAx>
      <c:valAx>
        <c:axId val="1282029064"/>
        <c:scaling>
          <c:orientation val="minMax"/>
          <c:max val="15"/>
          <c:min val="0"/>
        </c:scaling>
        <c:delete val="0"/>
        <c:axPos val="l"/>
        <c:majorGridlines>
          <c:spPr>
            <a:ln w="9525" cap="flat" cmpd="sng" algn="ctr">
              <a:solidFill>
                <a:schemeClr val="tx1">
                  <a:lumMod val="15000"/>
                  <a:lumOff val="85000"/>
                </a:schemeClr>
              </a:solidFill>
              <a:round/>
            </a:ln>
            <a:effectLst/>
          </c:spPr>
        </c:majorGridlines>
        <c:numFmt formatCode="0.00&quot;h&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82026768"/>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L2</a:t>
            </a:r>
          </a:p>
        </c:rich>
      </c:tx>
      <c:layout>
        <c:manualLayout>
          <c:xMode val="edge"/>
          <c:yMode val="edge"/>
          <c:x val="6.8524617668034429E-2"/>
          <c:y val="2.4756852343059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barChart>
        <c:barDir val="col"/>
        <c:grouping val="stacked"/>
        <c:varyColors val="0"/>
        <c:ser>
          <c:idx val="0"/>
          <c:order val="0"/>
          <c:spPr>
            <a:solidFill>
              <a:schemeClr val="accent1"/>
            </a:solidFill>
            <a:ln>
              <a:noFill/>
            </a:ln>
            <a:effectLst/>
          </c:spPr>
          <c:invertIfNegative val="0"/>
          <c:cat>
            <c:numRef>
              <c:f>'生産1課_SMT負荷計算(8-21BOSS)'!$A$2:$A$34</c:f>
              <c:numCache>
                <c:formatCode>yyyy/mm/dd</c:formatCode>
                <c:ptCount val="33"/>
                <c:pt idx="0">
                  <c:v>45161</c:v>
                </c:pt>
                <c:pt idx="1">
                  <c:v>45162</c:v>
                </c:pt>
                <c:pt idx="2">
                  <c:v>45163</c:v>
                </c:pt>
                <c:pt idx="3">
                  <c:v>45164</c:v>
                </c:pt>
                <c:pt idx="4">
                  <c:v>45165</c:v>
                </c:pt>
                <c:pt idx="5">
                  <c:v>45166</c:v>
                </c:pt>
                <c:pt idx="6">
                  <c:v>45167</c:v>
                </c:pt>
                <c:pt idx="7">
                  <c:v>45168</c:v>
                </c:pt>
                <c:pt idx="8">
                  <c:v>45169</c:v>
                </c:pt>
                <c:pt idx="9">
                  <c:v>45170</c:v>
                </c:pt>
                <c:pt idx="10">
                  <c:v>45171</c:v>
                </c:pt>
                <c:pt idx="11">
                  <c:v>45172</c:v>
                </c:pt>
                <c:pt idx="12">
                  <c:v>45173</c:v>
                </c:pt>
                <c:pt idx="13">
                  <c:v>45174</c:v>
                </c:pt>
                <c:pt idx="14">
                  <c:v>45175</c:v>
                </c:pt>
                <c:pt idx="15">
                  <c:v>45176</c:v>
                </c:pt>
                <c:pt idx="16">
                  <c:v>45177</c:v>
                </c:pt>
                <c:pt idx="17">
                  <c:v>45178</c:v>
                </c:pt>
                <c:pt idx="18">
                  <c:v>45179</c:v>
                </c:pt>
                <c:pt idx="19">
                  <c:v>45180</c:v>
                </c:pt>
                <c:pt idx="20">
                  <c:v>45181</c:v>
                </c:pt>
                <c:pt idx="21">
                  <c:v>45182</c:v>
                </c:pt>
                <c:pt idx="22">
                  <c:v>45183</c:v>
                </c:pt>
                <c:pt idx="23">
                  <c:v>45184</c:v>
                </c:pt>
                <c:pt idx="24">
                  <c:v>45185</c:v>
                </c:pt>
                <c:pt idx="25">
                  <c:v>45186</c:v>
                </c:pt>
                <c:pt idx="26">
                  <c:v>45187</c:v>
                </c:pt>
                <c:pt idx="27">
                  <c:v>45188</c:v>
                </c:pt>
                <c:pt idx="28">
                  <c:v>45189</c:v>
                </c:pt>
                <c:pt idx="29">
                  <c:v>45190</c:v>
                </c:pt>
                <c:pt idx="30">
                  <c:v>45191</c:v>
                </c:pt>
                <c:pt idx="31">
                  <c:v>45192</c:v>
                </c:pt>
                <c:pt idx="32">
                  <c:v>45193</c:v>
                </c:pt>
              </c:numCache>
            </c:numRef>
          </c:cat>
          <c:val>
            <c:numRef>
              <c:f>'生産1課_SMT負荷計算(8-21BOSS)'!$H$2:$H$34</c:f>
              <c:numCache>
                <c:formatCode>0.00"h"</c:formatCode>
                <c:ptCount val="33"/>
                <c:pt idx="9">
                  <c:v>2.1696380952381</c:v>
                </c:pt>
                <c:pt idx="27">
                  <c:v>1.54285714285714</c:v>
                </c:pt>
                <c:pt idx="28">
                  <c:v>1.3269142857142899</c:v>
                </c:pt>
                <c:pt idx="29">
                  <c:v>0.77142857142857102</c:v>
                </c:pt>
                <c:pt idx="30">
                  <c:v>2.78929523809524</c:v>
                </c:pt>
              </c:numCache>
            </c:numRef>
          </c:val>
          <c:extLst>
            <c:ext xmlns:c16="http://schemas.microsoft.com/office/drawing/2014/chart" uri="{C3380CC4-5D6E-409C-BE32-E72D297353CC}">
              <c16:uniqueId val="{00000000-43C4-4C81-A8FB-ED5F7E7B769D}"/>
            </c:ext>
          </c:extLst>
        </c:ser>
        <c:ser>
          <c:idx val="1"/>
          <c:order val="1"/>
          <c:spPr>
            <a:solidFill>
              <a:schemeClr val="accent2"/>
            </a:solidFill>
            <a:ln>
              <a:noFill/>
            </a:ln>
            <a:effectLst/>
          </c:spPr>
          <c:invertIfNegative val="0"/>
          <c:cat>
            <c:numRef>
              <c:f>'生産1課_SMT負荷計算(8-21BOSS)'!$A$2:$A$34</c:f>
              <c:numCache>
                <c:formatCode>yyyy/mm/dd</c:formatCode>
                <c:ptCount val="33"/>
                <c:pt idx="0">
                  <c:v>45161</c:v>
                </c:pt>
                <c:pt idx="1">
                  <c:v>45162</c:v>
                </c:pt>
                <c:pt idx="2">
                  <c:v>45163</c:v>
                </c:pt>
                <c:pt idx="3">
                  <c:v>45164</c:v>
                </c:pt>
                <c:pt idx="4">
                  <c:v>45165</c:v>
                </c:pt>
                <c:pt idx="5">
                  <c:v>45166</c:v>
                </c:pt>
                <c:pt idx="6">
                  <c:v>45167</c:v>
                </c:pt>
                <c:pt idx="7">
                  <c:v>45168</c:v>
                </c:pt>
                <c:pt idx="8">
                  <c:v>45169</c:v>
                </c:pt>
                <c:pt idx="9">
                  <c:v>45170</c:v>
                </c:pt>
                <c:pt idx="10">
                  <c:v>45171</c:v>
                </c:pt>
                <c:pt idx="11">
                  <c:v>45172</c:v>
                </c:pt>
                <c:pt idx="12">
                  <c:v>45173</c:v>
                </c:pt>
                <c:pt idx="13">
                  <c:v>45174</c:v>
                </c:pt>
                <c:pt idx="14">
                  <c:v>45175</c:v>
                </c:pt>
                <c:pt idx="15">
                  <c:v>45176</c:v>
                </c:pt>
                <c:pt idx="16">
                  <c:v>45177</c:v>
                </c:pt>
                <c:pt idx="17">
                  <c:v>45178</c:v>
                </c:pt>
                <c:pt idx="18">
                  <c:v>45179</c:v>
                </c:pt>
                <c:pt idx="19">
                  <c:v>45180</c:v>
                </c:pt>
                <c:pt idx="20">
                  <c:v>45181</c:v>
                </c:pt>
                <c:pt idx="21">
                  <c:v>45182</c:v>
                </c:pt>
                <c:pt idx="22">
                  <c:v>45183</c:v>
                </c:pt>
                <c:pt idx="23">
                  <c:v>45184</c:v>
                </c:pt>
                <c:pt idx="24">
                  <c:v>45185</c:v>
                </c:pt>
                <c:pt idx="25">
                  <c:v>45186</c:v>
                </c:pt>
                <c:pt idx="26">
                  <c:v>45187</c:v>
                </c:pt>
                <c:pt idx="27">
                  <c:v>45188</c:v>
                </c:pt>
                <c:pt idx="28">
                  <c:v>45189</c:v>
                </c:pt>
                <c:pt idx="29">
                  <c:v>45190</c:v>
                </c:pt>
                <c:pt idx="30">
                  <c:v>45191</c:v>
                </c:pt>
                <c:pt idx="31">
                  <c:v>45192</c:v>
                </c:pt>
                <c:pt idx="32">
                  <c:v>45193</c:v>
                </c:pt>
              </c:numCache>
            </c:numRef>
          </c:cat>
          <c:val>
            <c:numRef>
              <c:f>'生産1課_SMT負荷計算(8-21BOSS)'!$I$2:$I$34</c:f>
              <c:numCache>
                <c:formatCode>0.00"h"</c:formatCode>
                <c:ptCount val="33"/>
                <c:pt idx="0">
                  <c:v>9.33286785714286</c:v>
                </c:pt>
                <c:pt idx="1">
                  <c:v>10.6719738095238</c:v>
                </c:pt>
                <c:pt idx="2">
                  <c:v>11.1273571428571</c:v>
                </c:pt>
                <c:pt idx="6">
                  <c:v>8.8175039682539698</c:v>
                </c:pt>
                <c:pt idx="7">
                  <c:v>11.1466130952381</c:v>
                </c:pt>
                <c:pt idx="8">
                  <c:v>11.067749603174599</c:v>
                </c:pt>
                <c:pt idx="9">
                  <c:v>8.2259809523809508</c:v>
                </c:pt>
                <c:pt idx="12">
                  <c:v>9.7411051587301607</c:v>
                </c:pt>
                <c:pt idx="13">
                  <c:v>9.8884234126984101</c:v>
                </c:pt>
                <c:pt idx="14">
                  <c:v>9.4494480158730205</c:v>
                </c:pt>
                <c:pt idx="15">
                  <c:v>11.3344162698413</c:v>
                </c:pt>
                <c:pt idx="16">
                  <c:v>8.6342182539682604</c:v>
                </c:pt>
                <c:pt idx="19">
                  <c:v>12.1058448412698</c:v>
                </c:pt>
                <c:pt idx="20">
                  <c:v>5.5923079365079396</c:v>
                </c:pt>
                <c:pt idx="21">
                  <c:v>8.3471146825396794</c:v>
                </c:pt>
                <c:pt idx="22">
                  <c:v>6.2629904761904802</c:v>
                </c:pt>
                <c:pt idx="23">
                  <c:v>9.5751845238095203</c:v>
                </c:pt>
                <c:pt idx="27">
                  <c:v>7.3915591269841299</c:v>
                </c:pt>
                <c:pt idx="28">
                  <c:v>9.8558000000000003</c:v>
                </c:pt>
                <c:pt idx="29">
                  <c:v>11.0458670634921</c:v>
                </c:pt>
                <c:pt idx="30">
                  <c:v>27.0132597883598</c:v>
                </c:pt>
              </c:numCache>
            </c:numRef>
          </c:val>
          <c:extLst>
            <c:ext xmlns:c16="http://schemas.microsoft.com/office/drawing/2014/chart" uri="{C3380CC4-5D6E-409C-BE32-E72D297353CC}">
              <c16:uniqueId val="{00000001-43C4-4C81-A8FB-ED5F7E7B769D}"/>
            </c:ext>
          </c:extLst>
        </c:ser>
        <c:dLbls>
          <c:showLegendKey val="0"/>
          <c:showVal val="0"/>
          <c:showCatName val="0"/>
          <c:showSerName val="0"/>
          <c:showPercent val="0"/>
          <c:showBubbleSize val="0"/>
        </c:dLbls>
        <c:gapWidth val="219"/>
        <c:overlap val="100"/>
        <c:axId val="1282026768"/>
        <c:axId val="1282029064"/>
      </c:barChart>
      <c:dateAx>
        <c:axId val="1282026768"/>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82029064"/>
        <c:crosses val="autoZero"/>
        <c:auto val="1"/>
        <c:lblOffset val="100"/>
        <c:baseTimeUnit val="days"/>
      </c:dateAx>
      <c:valAx>
        <c:axId val="1282029064"/>
        <c:scaling>
          <c:orientation val="minMax"/>
          <c:max val="15"/>
        </c:scaling>
        <c:delete val="0"/>
        <c:axPos val="l"/>
        <c:majorGridlines>
          <c:spPr>
            <a:ln w="9525" cap="flat" cmpd="sng" algn="ctr">
              <a:solidFill>
                <a:schemeClr val="tx1">
                  <a:lumMod val="15000"/>
                  <a:lumOff val="85000"/>
                </a:schemeClr>
              </a:solidFill>
              <a:round/>
            </a:ln>
            <a:effectLst/>
          </c:spPr>
        </c:majorGridlines>
        <c:numFmt formatCode="0.00&quot;h&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82026768"/>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L3</a:t>
            </a:r>
          </a:p>
        </c:rich>
      </c:tx>
      <c:layout>
        <c:manualLayout>
          <c:xMode val="edge"/>
          <c:yMode val="edge"/>
          <c:x val="8.7953881760434116E-2"/>
          <c:y val="2.82935455349248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barChart>
        <c:barDir val="col"/>
        <c:grouping val="clustered"/>
        <c:varyColors val="0"/>
        <c:ser>
          <c:idx val="0"/>
          <c:order val="0"/>
          <c:spPr>
            <a:solidFill>
              <a:schemeClr val="accent1"/>
            </a:solidFill>
            <a:ln>
              <a:noFill/>
            </a:ln>
            <a:effectLst/>
          </c:spPr>
          <c:invertIfNegative val="0"/>
          <c:cat>
            <c:numRef>
              <c:f>'生産1課_SMT負荷計算(8-21BOSS)'!$A$2:$A$34</c:f>
              <c:numCache>
                <c:formatCode>yyyy/mm/dd</c:formatCode>
                <c:ptCount val="33"/>
                <c:pt idx="0">
                  <c:v>45161</c:v>
                </c:pt>
                <c:pt idx="1">
                  <c:v>45162</c:v>
                </c:pt>
                <c:pt idx="2">
                  <c:v>45163</c:v>
                </c:pt>
                <c:pt idx="3">
                  <c:v>45164</c:v>
                </c:pt>
                <c:pt idx="4">
                  <c:v>45165</c:v>
                </c:pt>
                <c:pt idx="5">
                  <c:v>45166</c:v>
                </c:pt>
                <c:pt idx="6">
                  <c:v>45167</c:v>
                </c:pt>
                <c:pt idx="7">
                  <c:v>45168</c:v>
                </c:pt>
                <c:pt idx="8">
                  <c:v>45169</c:v>
                </c:pt>
                <c:pt idx="9">
                  <c:v>45170</c:v>
                </c:pt>
                <c:pt idx="10">
                  <c:v>45171</c:v>
                </c:pt>
                <c:pt idx="11">
                  <c:v>45172</c:v>
                </c:pt>
                <c:pt idx="12">
                  <c:v>45173</c:v>
                </c:pt>
                <c:pt idx="13">
                  <c:v>45174</c:v>
                </c:pt>
                <c:pt idx="14">
                  <c:v>45175</c:v>
                </c:pt>
                <c:pt idx="15">
                  <c:v>45176</c:v>
                </c:pt>
                <c:pt idx="16">
                  <c:v>45177</c:v>
                </c:pt>
                <c:pt idx="17">
                  <c:v>45178</c:v>
                </c:pt>
                <c:pt idx="18">
                  <c:v>45179</c:v>
                </c:pt>
                <c:pt idx="19">
                  <c:v>45180</c:v>
                </c:pt>
                <c:pt idx="20">
                  <c:v>45181</c:v>
                </c:pt>
                <c:pt idx="21">
                  <c:v>45182</c:v>
                </c:pt>
                <c:pt idx="22">
                  <c:v>45183</c:v>
                </c:pt>
                <c:pt idx="23">
                  <c:v>45184</c:v>
                </c:pt>
                <c:pt idx="24">
                  <c:v>45185</c:v>
                </c:pt>
                <c:pt idx="25">
                  <c:v>45186</c:v>
                </c:pt>
                <c:pt idx="26">
                  <c:v>45187</c:v>
                </c:pt>
                <c:pt idx="27">
                  <c:v>45188</c:v>
                </c:pt>
                <c:pt idx="28">
                  <c:v>45189</c:v>
                </c:pt>
                <c:pt idx="29">
                  <c:v>45190</c:v>
                </c:pt>
                <c:pt idx="30">
                  <c:v>45191</c:v>
                </c:pt>
                <c:pt idx="31">
                  <c:v>45192</c:v>
                </c:pt>
                <c:pt idx="32">
                  <c:v>45193</c:v>
                </c:pt>
              </c:numCache>
            </c:numRef>
          </c:cat>
          <c:val>
            <c:numRef>
              <c:f>'生産1課_SMT負荷計算(8-21BOSS)'!$J$2:$J$34</c:f>
              <c:numCache>
                <c:formatCode>0.00"h"</c:formatCode>
                <c:ptCount val="33"/>
                <c:pt idx="0">
                  <c:v>5.6790746031746</c:v>
                </c:pt>
                <c:pt idx="1">
                  <c:v>6.7418317460317496</c:v>
                </c:pt>
                <c:pt idx="2">
                  <c:v>10.8330052248677</c:v>
                </c:pt>
                <c:pt idx="6">
                  <c:v>9.7368198412698401</c:v>
                </c:pt>
                <c:pt idx="7">
                  <c:v>8.6391833333333405</c:v>
                </c:pt>
                <c:pt idx="8">
                  <c:v>7.5301753968253999</c:v>
                </c:pt>
                <c:pt idx="9">
                  <c:v>7.1479206349206397</c:v>
                </c:pt>
                <c:pt idx="12">
                  <c:v>5.3085150793650797</c:v>
                </c:pt>
                <c:pt idx="13">
                  <c:v>7.6633611111111097</c:v>
                </c:pt>
                <c:pt idx="14">
                  <c:v>9.1427976190476201</c:v>
                </c:pt>
                <c:pt idx="15">
                  <c:v>9.2150849206349204</c:v>
                </c:pt>
                <c:pt idx="16">
                  <c:v>8.5929753968254001</c:v>
                </c:pt>
                <c:pt idx="19">
                  <c:v>7.5301753968253999</c:v>
                </c:pt>
                <c:pt idx="20">
                  <c:v>6.1098499999999998</c:v>
                </c:pt>
                <c:pt idx="21">
                  <c:v>7.3960687830687801</c:v>
                </c:pt>
                <c:pt idx="22">
                  <c:v>8.5961901455026499</c:v>
                </c:pt>
                <c:pt idx="23">
                  <c:v>7.8319152777777798</c:v>
                </c:pt>
                <c:pt idx="27">
                  <c:v>11.0490149470899</c:v>
                </c:pt>
                <c:pt idx="28">
                  <c:v>7.7715753968254004</c:v>
                </c:pt>
                <c:pt idx="29">
                  <c:v>15.709723809523799</c:v>
                </c:pt>
                <c:pt idx="30">
                  <c:v>9.3462677248677206</c:v>
                </c:pt>
              </c:numCache>
            </c:numRef>
          </c:val>
          <c:extLst>
            <c:ext xmlns:c16="http://schemas.microsoft.com/office/drawing/2014/chart" uri="{C3380CC4-5D6E-409C-BE32-E72D297353CC}">
              <c16:uniqueId val="{00000000-E39B-44A2-B3FD-E7F041693473}"/>
            </c:ext>
          </c:extLst>
        </c:ser>
        <c:dLbls>
          <c:showLegendKey val="0"/>
          <c:showVal val="0"/>
          <c:showCatName val="0"/>
          <c:showSerName val="0"/>
          <c:showPercent val="0"/>
          <c:showBubbleSize val="0"/>
        </c:dLbls>
        <c:gapWidth val="219"/>
        <c:overlap val="-27"/>
        <c:axId val="1282026768"/>
        <c:axId val="1282029064"/>
      </c:barChart>
      <c:dateAx>
        <c:axId val="1282026768"/>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82029064"/>
        <c:crosses val="autoZero"/>
        <c:auto val="1"/>
        <c:lblOffset val="100"/>
        <c:baseTimeUnit val="days"/>
      </c:dateAx>
      <c:valAx>
        <c:axId val="1282029064"/>
        <c:scaling>
          <c:orientation val="minMax"/>
          <c:max val="15"/>
          <c:min val="0"/>
        </c:scaling>
        <c:delete val="0"/>
        <c:axPos val="l"/>
        <c:majorGridlines>
          <c:spPr>
            <a:ln w="9525" cap="flat" cmpd="sng" algn="ctr">
              <a:solidFill>
                <a:schemeClr val="tx1">
                  <a:lumMod val="15000"/>
                  <a:lumOff val="85000"/>
                </a:schemeClr>
              </a:solidFill>
              <a:round/>
            </a:ln>
            <a:effectLst/>
          </c:spPr>
        </c:majorGridlines>
        <c:numFmt formatCode="0.00&quot;h&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82026768"/>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12</xdr:col>
      <xdr:colOff>76200</xdr:colOff>
      <xdr:row>1</xdr:row>
      <xdr:rowOff>75080</xdr:rowOff>
    </xdr:from>
    <xdr:to>
      <xdr:col>13</xdr:col>
      <xdr:colOff>514350</xdr:colOff>
      <xdr:row>4</xdr:row>
      <xdr:rowOff>66675</xdr:rowOff>
    </xdr:to>
    <xdr:sp macro="[1]!te" textlink="">
      <xdr:nvSpPr>
        <xdr:cNvPr id="2" name="四角形: 角度付き 1">
          <a:extLst>
            <a:ext uri="{FF2B5EF4-FFF2-40B4-BE49-F238E27FC236}">
              <a16:creationId xmlns:a16="http://schemas.microsoft.com/office/drawing/2014/main" id="{77436DA8-A63F-4AFA-91DD-88ADB1D174A9}"/>
            </a:ext>
          </a:extLst>
        </xdr:cNvPr>
        <xdr:cNvSpPr/>
      </xdr:nvSpPr>
      <xdr:spPr>
        <a:xfrm>
          <a:off x="14068425" y="247650"/>
          <a:ext cx="1123950" cy="504825"/>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マクロ実行</a:t>
          </a:r>
        </a:p>
      </xdr:txBody>
    </xdr:sp>
    <xdr:clientData/>
  </xdr:twoCellAnchor>
  <xdr:twoCellAnchor>
    <xdr:from>
      <xdr:col>14</xdr:col>
      <xdr:colOff>38100</xdr:colOff>
      <xdr:row>1</xdr:row>
      <xdr:rowOff>0</xdr:rowOff>
    </xdr:from>
    <xdr:to>
      <xdr:col>25</xdr:col>
      <xdr:colOff>338138</xdr:colOff>
      <xdr:row>12</xdr:row>
      <xdr:rowOff>142876</xdr:rowOff>
    </xdr:to>
    <xdr:grpSp>
      <xdr:nvGrpSpPr>
        <xdr:cNvPr id="3" name="グループ化 2">
          <a:extLst>
            <a:ext uri="{FF2B5EF4-FFF2-40B4-BE49-F238E27FC236}">
              <a16:creationId xmlns:a16="http://schemas.microsoft.com/office/drawing/2014/main" id="{B000B666-81B3-487C-B914-EB12243E3B22}"/>
            </a:ext>
          </a:extLst>
        </xdr:cNvPr>
        <xdr:cNvGrpSpPr/>
      </xdr:nvGrpSpPr>
      <xdr:grpSpPr>
        <a:xfrm>
          <a:off x="15401365" y="168088"/>
          <a:ext cx="7819185" cy="1991847"/>
          <a:chOff x="16954500" y="406923"/>
          <a:chExt cx="7843838" cy="3733800"/>
        </a:xfrm>
      </xdr:grpSpPr>
      <xdr:graphicFrame macro="">
        <xdr:nvGraphicFramePr>
          <xdr:cNvPr id="4" name="グラフ 3">
            <a:extLst>
              <a:ext uri="{FF2B5EF4-FFF2-40B4-BE49-F238E27FC236}">
                <a16:creationId xmlns:a16="http://schemas.microsoft.com/office/drawing/2014/main" id="{7151AAFC-A46C-8C76-645F-C7457EEBD216}"/>
              </a:ext>
            </a:extLst>
          </xdr:cNvPr>
          <xdr:cNvGraphicFramePr>
            <a:graphicFrameLocks/>
          </xdr:cNvGraphicFramePr>
        </xdr:nvGraphicFramePr>
        <xdr:xfrm>
          <a:off x="16954500" y="406923"/>
          <a:ext cx="7843838" cy="3733800"/>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5" name="直線コネクタ 4">
            <a:extLst>
              <a:ext uri="{FF2B5EF4-FFF2-40B4-BE49-F238E27FC236}">
                <a16:creationId xmlns:a16="http://schemas.microsoft.com/office/drawing/2014/main" id="{CB3D2B4A-CDA6-1269-5DCD-31CA581EABD9}"/>
              </a:ext>
            </a:extLst>
          </xdr:cNvPr>
          <xdr:cNvCxnSpPr/>
        </xdr:nvCxnSpPr>
        <xdr:spPr>
          <a:xfrm flipV="1">
            <a:off x="17444758" y="1201517"/>
            <a:ext cx="6992470" cy="22411"/>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71437</xdr:colOff>
      <xdr:row>13</xdr:row>
      <xdr:rowOff>133350</xdr:rowOff>
    </xdr:from>
    <xdr:to>
      <xdr:col>25</xdr:col>
      <xdr:colOff>371475</xdr:colOff>
      <xdr:row>29</xdr:row>
      <xdr:rowOff>66675</xdr:rowOff>
    </xdr:to>
    <xdr:grpSp>
      <xdr:nvGrpSpPr>
        <xdr:cNvPr id="6" name="グループ化 5">
          <a:extLst>
            <a:ext uri="{FF2B5EF4-FFF2-40B4-BE49-F238E27FC236}">
              <a16:creationId xmlns:a16="http://schemas.microsoft.com/office/drawing/2014/main" id="{FB07EDB8-344D-45F6-9D77-709EFE340249}"/>
            </a:ext>
          </a:extLst>
        </xdr:cNvPr>
        <xdr:cNvGrpSpPr/>
      </xdr:nvGrpSpPr>
      <xdr:grpSpPr>
        <a:xfrm>
          <a:off x="15434702" y="2318497"/>
          <a:ext cx="7819185" cy="2622737"/>
          <a:chOff x="17349787" y="4362450"/>
          <a:chExt cx="7843838" cy="3733800"/>
        </a:xfrm>
      </xdr:grpSpPr>
      <xdr:graphicFrame macro="">
        <xdr:nvGraphicFramePr>
          <xdr:cNvPr id="7" name="グラフ 6">
            <a:extLst>
              <a:ext uri="{FF2B5EF4-FFF2-40B4-BE49-F238E27FC236}">
                <a16:creationId xmlns:a16="http://schemas.microsoft.com/office/drawing/2014/main" id="{9017998D-2CA3-6746-20F3-13A0C9C53970}"/>
              </a:ext>
            </a:extLst>
          </xdr:cNvPr>
          <xdr:cNvGraphicFramePr/>
        </xdr:nvGraphicFramePr>
        <xdr:xfrm>
          <a:off x="17349787" y="4362450"/>
          <a:ext cx="7843838" cy="3733800"/>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8" name="直線コネクタ 7">
            <a:extLst>
              <a:ext uri="{FF2B5EF4-FFF2-40B4-BE49-F238E27FC236}">
                <a16:creationId xmlns:a16="http://schemas.microsoft.com/office/drawing/2014/main" id="{A95010AA-5D92-2250-F98B-8EC63F3E2D0E}"/>
              </a:ext>
            </a:extLst>
          </xdr:cNvPr>
          <xdr:cNvCxnSpPr/>
        </xdr:nvCxnSpPr>
        <xdr:spPr>
          <a:xfrm flipV="1">
            <a:off x="17852092" y="5130677"/>
            <a:ext cx="6987988" cy="22411"/>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95250</xdr:colOff>
      <xdr:row>30</xdr:row>
      <xdr:rowOff>28575</xdr:rowOff>
    </xdr:from>
    <xdr:to>
      <xdr:col>25</xdr:col>
      <xdr:colOff>395288</xdr:colOff>
      <xdr:row>45</xdr:row>
      <xdr:rowOff>190500</xdr:rowOff>
    </xdr:to>
    <xdr:grpSp>
      <xdr:nvGrpSpPr>
        <xdr:cNvPr id="9" name="グループ化 8">
          <a:extLst>
            <a:ext uri="{FF2B5EF4-FFF2-40B4-BE49-F238E27FC236}">
              <a16:creationId xmlns:a16="http://schemas.microsoft.com/office/drawing/2014/main" id="{EA7FA669-4E31-4A49-ADDA-656286DB144A}"/>
            </a:ext>
          </a:extLst>
        </xdr:cNvPr>
        <xdr:cNvGrpSpPr/>
      </xdr:nvGrpSpPr>
      <xdr:grpSpPr>
        <a:xfrm>
          <a:off x="15458515" y="5071222"/>
          <a:ext cx="7819185" cy="2664199"/>
          <a:chOff x="17411700" y="8553450"/>
          <a:chExt cx="7843838" cy="3733800"/>
        </a:xfrm>
      </xdr:grpSpPr>
      <xdr:graphicFrame macro="">
        <xdr:nvGraphicFramePr>
          <xdr:cNvPr id="10" name="グラフ 9">
            <a:extLst>
              <a:ext uri="{FF2B5EF4-FFF2-40B4-BE49-F238E27FC236}">
                <a16:creationId xmlns:a16="http://schemas.microsoft.com/office/drawing/2014/main" id="{5A9A86BD-6D8A-4198-BBD5-0BBF05081E8A}"/>
              </a:ext>
            </a:extLst>
          </xdr:cNvPr>
          <xdr:cNvGraphicFramePr>
            <a:graphicFrameLocks/>
          </xdr:cNvGraphicFramePr>
        </xdr:nvGraphicFramePr>
        <xdr:xfrm>
          <a:off x="17411700" y="8553450"/>
          <a:ext cx="7843838" cy="3733800"/>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11" name="直線コネクタ 10">
            <a:extLst>
              <a:ext uri="{FF2B5EF4-FFF2-40B4-BE49-F238E27FC236}">
                <a16:creationId xmlns:a16="http://schemas.microsoft.com/office/drawing/2014/main" id="{FC2BE830-7C33-9FA6-D975-A5F2C62685E8}"/>
              </a:ext>
            </a:extLst>
          </xdr:cNvPr>
          <xdr:cNvCxnSpPr/>
        </xdr:nvCxnSpPr>
        <xdr:spPr>
          <a:xfrm flipV="1">
            <a:off x="17902639" y="9314349"/>
            <a:ext cx="6987988" cy="27282"/>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21</xdr:col>
      <xdr:colOff>213752</xdr:colOff>
      <xdr:row>1</xdr:row>
      <xdr:rowOff>0</xdr:rowOff>
    </xdr:from>
    <xdr:to>
      <xdr:col>28</xdr:col>
      <xdr:colOff>356627</xdr:colOff>
      <xdr:row>46</xdr:row>
      <xdr:rowOff>106270</xdr:rowOff>
    </xdr:to>
    <xdr:sp macro="" textlink="">
      <xdr:nvSpPr>
        <xdr:cNvPr id="12" name="正方形/長方形 11">
          <a:extLst>
            <a:ext uri="{FF2B5EF4-FFF2-40B4-BE49-F238E27FC236}">
              <a16:creationId xmlns:a16="http://schemas.microsoft.com/office/drawing/2014/main" id="{60CE78B8-384C-4465-8298-385EEC53283F}"/>
            </a:ext>
          </a:extLst>
        </xdr:cNvPr>
        <xdr:cNvSpPr/>
      </xdr:nvSpPr>
      <xdr:spPr>
        <a:xfrm>
          <a:off x="20378177" y="668245"/>
          <a:ext cx="4943475" cy="11325225"/>
        </a:xfrm>
        <a:prstGeom prst="rect">
          <a:avLst/>
        </a:prstGeom>
        <a:solidFill>
          <a:schemeClr val="bg1">
            <a:lumMod val="50000"/>
            <a:alpha val="82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ここまで確定</a:t>
          </a:r>
          <a:endParaRPr kumimoji="1" lang="en-US" altLang="ja-JP" sz="1100"/>
        </a:p>
        <a:p>
          <a:pPr algn="l"/>
          <a:endParaRPr kumimoji="1" lang="en-US" altLang="ja-JP" sz="1100"/>
        </a:p>
        <a:p>
          <a:pPr algn="l"/>
          <a:endParaRPr kumimoji="1" lang="en-US" altLang="ja-JP" sz="1100"/>
        </a:p>
        <a:p>
          <a:pPr algn="l"/>
          <a:r>
            <a:rPr kumimoji="1" lang="ja-JP" altLang="en-US" sz="1100"/>
            <a:t>オレンジ→送信機</a:t>
          </a:r>
          <a:endParaRPr kumimoji="1" lang="en-US" altLang="ja-JP" sz="1100"/>
        </a:p>
        <a:p>
          <a:pPr algn="l"/>
          <a:r>
            <a:rPr kumimoji="1" lang="ja-JP" altLang="en-US" sz="1100"/>
            <a:t>青→フリー</a:t>
          </a:r>
          <a:endParaRPr kumimoji="1" lang="en-US" altLang="ja-JP" sz="1100"/>
        </a:p>
        <a:p>
          <a:pPr algn="l"/>
          <a:r>
            <a:rPr kumimoji="1" lang="ja-JP" altLang="en-US" sz="1100"/>
            <a:t>灰→試作　</a:t>
          </a:r>
          <a:r>
            <a:rPr kumimoji="1" lang="en-US" altLang="ja-JP" sz="1100"/>
            <a:t>1</a:t>
          </a:r>
          <a:r>
            <a:rPr kumimoji="1" lang="ja-JP" altLang="en-US" sz="1100"/>
            <a:t>品目</a:t>
          </a:r>
          <a:r>
            <a:rPr kumimoji="1" lang="en-US" altLang="ja-JP" sz="1100"/>
            <a:t>2</a:t>
          </a:r>
          <a:r>
            <a:rPr kumimoji="1" lang="ja-JP" altLang="en-US" sz="1100"/>
            <a:t>時間としてざっくり計算</a:t>
          </a:r>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ここまで確定</a:t>
          </a:r>
          <a:endParaRPr lang="ja-JP" altLang="ja-JP">
            <a:effectLst/>
          </a:endParaRPr>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ここまで確定</a:t>
          </a:r>
          <a:endParaRPr lang="ja-JP" altLang="ja-JP">
            <a:effectLs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k365.sharepoint.com/sites/itpt000509/Shared%20Documents/100_SMT&#38306;&#36899;/BOSS&#35336;&#30011;.xlsm" TargetMode="External"/><Relationship Id="rId1" Type="http://schemas.openxmlformats.org/officeDocument/2006/relationships/externalLinkPath" Target="https://nk365.sharepoint.com/sites/itpt000509/Shared%20Documents/100_SMT&#38306;&#36899;/BOSS&#35336;&#3001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容量計算"/>
      <sheetName val="計算"/>
      <sheetName val="試作"/>
      <sheetName val="BOSS"/>
      <sheetName val="サイクルタイム"/>
      <sheetName val="組取り数"/>
      <sheetName val="グループ"/>
      <sheetName val="有鉛"/>
      <sheetName val="台数"/>
      <sheetName val="BOSS計画"/>
    </sheetNames>
    <definedNames>
      <definedName name="te"/>
    </defined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7515B-5CA3-4125-BC78-00CB8BF617DD}">
  <dimension ref="B1:V32"/>
  <sheetViews>
    <sheetView tabSelected="1" workbookViewId="0">
      <selection activeCell="M11" sqref="M11"/>
    </sheetView>
  </sheetViews>
  <sheetFormatPr defaultRowHeight="13.5"/>
  <cols>
    <col min="1" max="1" width="1.75" customWidth="1"/>
    <col min="4" max="4" width="15.375" customWidth="1"/>
    <col min="5" max="5" width="6.5" bestFit="1" customWidth="1"/>
    <col min="6" max="6" width="7.125" customWidth="1"/>
    <col min="7" max="7" width="6.375" bestFit="1" customWidth="1"/>
    <col min="8" max="8" width="8.125" customWidth="1"/>
    <col min="9" max="10" width="7.125" customWidth="1"/>
    <col min="11" max="11" width="7.875" customWidth="1"/>
    <col min="12" max="14" width="7.125" customWidth="1"/>
    <col min="15" max="15" width="1.25" customWidth="1"/>
    <col min="16" max="16" width="7.125" customWidth="1"/>
    <col min="17" max="17" width="11.125" bestFit="1" customWidth="1"/>
    <col min="18" max="18" width="38.625" customWidth="1"/>
    <col min="19" max="20" width="7.125" customWidth="1"/>
  </cols>
  <sheetData>
    <row r="1" spans="2:20">
      <c r="B1" s="1" t="s">
        <v>23</v>
      </c>
      <c r="C1" s="1"/>
      <c r="D1" s="2"/>
      <c r="E1" s="2"/>
      <c r="F1" s="3"/>
      <c r="G1" s="3"/>
      <c r="H1" s="3"/>
      <c r="I1" s="3"/>
      <c r="J1" s="3"/>
      <c r="K1" s="3"/>
      <c r="L1" s="3"/>
      <c r="M1" s="130"/>
      <c r="N1" s="130"/>
      <c r="O1" s="11"/>
      <c r="P1" s="3"/>
      <c r="Q1" s="130"/>
      <c r="R1" s="130"/>
      <c r="S1" s="130"/>
      <c r="T1" s="130"/>
    </row>
    <row r="2" spans="2:20">
      <c r="B2" s="1"/>
      <c r="C2" s="1"/>
      <c r="D2" s="2"/>
      <c r="E2" s="2"/>
      <c r="F2" s="3"/>
      <c r="G2" s="3"/>
      <c r="H2" s="3"/>
      <c r="I2" s="3"/>
      <c r="J2" s="3"/>
      <c r="K2" s="3"/>
      <c r="L2" s="3"/>
      <c r="M2" s="11"/>
      <c r="N2" s="11"/>
      <c r="O2" s="11"/>
      <c r="P2" s="3"/>
      <c r="Q2" s="11"/>
      <c r="R2" s="11"/>
      <c r="S2" s="11"/>
      <c r="T2" s="11"/>
    </row>
    <row r="3" spans="2:20">
      <c r="B3" s="1"/>
      <c r="C3" s="1"/>
      <c r="D3" s="74" t="s">
        <v>26</v>
      </c>
      <c r="E3" s="75">
        <v>7</v>
      </c>
      <c r="F3" s="3"/>
      <c r="G3" s="3"/>
      <c r="H3" s="3"/>
      <c r="I3" s="3"/>
      <c r="J3" s="3"/>
      <c r="K3" s="3"/>
      <c r="L3" s="3"/>
      <c r="M3" s="11"/>
      <c r="N3" s="11"/>
      <c r="O3" s="11"/>
      <c r="P3" s="3"/>
      <c r="Q3" s="11"/>
      <c r="R3" s="11"/>
      <c r="S3" s="11"/>
      <c r="T3" s="11"/>
    </row>
    <row r="4" spans="2:20" ht="14.25" thickBot="1">
      <c r="B4" s="1" t="s">
        <v>48</v>
      </c>
      <c r="C4" s="1"/>
      <c r="D4" s="74" t="s">
        <v>42</v>
      </c>
      <c r="E4" s="76">
        <v>2</v>
      </c>
      <c r="F4" s="3"/>
      <c r="G4" s="3"/>
      <c r="H4" s="3"/>
      <c r="I4" s="3"/>
      <c r="J4" s="3"/>
      <c r="K4" s="3"/>
      <c r="L4" s="3"/>
      <c r="M4" s="11"/>
      <c r="N4" s="11"/>
      <c r="O4" s="11"/>
      <c r="P4" s="3"/>
      <c r="Q4" s="11"/>
      <c r="R4" s="11"/>
      <c r="S4" s="11"/>
      <c r="T4" s="11"/>
    </row>
    <row r="5" spans="2:20" ht="14.25" customHeight="1" thickBot="1">
      <c r="B5" s="55" t="s">
        <v>45</v>
      </c>
      <c r="C5" s="4"/>
      <c r="D5" s="77" t="s">
        <v>131</v>
      </c>
      <c r="E5" s="105">
        <v>1</v>
      </c>
      <c r="F5" s="131" t="s">
        <v>0</v>
      </c>
      <c r="G5" s="132"/>
      <c r="H5" s="133"/>
      <c r="I5" s="134" t="s">
        <v>1</v>
      </c>
      <c r="J5" s="135"/>
      <c r="K5" s="136"/>
      <c r="L5" s="134" t="s">
        <v>2</v>
      </c>
      <c r="M5" s="135"/>
      <c r="N5" s="136"/>
      <c r="O5" s="32"/>
      <c r="P5" s="3"/>
      <c r="Q5" s="3"/>
      <c r="R5" s="3"/>
      <c r="S5" s="3"/>
      <c r="T5" s="3"/>
    </row>
    <row r="6" spans="2:20" ht="14.25" thickBot="1">
      <c r="B6" s="141" t="s">
        <v>22</v>
      </c>
      <c r="C6" s="142"/>
      <c r="D6" s="143"/>
      <c r="E6" s="12"/>
      <c r="F6" s="25" t="s">
        <v>137</v>
      </c>
      <c r="G6" s="5">
        <v>7</v>
      </c>
      <c r="H6" s="6" t="s">
        <v>3</v>
      </c>
      <c r="I6" s="7" t="s">
        <v>20</v>
      </c>
      <c r="J6" s="8">
        <v>20</v>
      </c>
      <c r="K6" s="9" t="s">
        <v>3</v>
      </c>
      <c r="L6" s="7" t="s">
        <v>138</v>
      </c>
      <c r="M6" s="8">
        <v>18</v>
      </c>
      <c r="N6" s="9" t="s">
        <v>3</v>
      </c>
      <c r="O6" s="11"/>
      <c r="P6" s="3"/>
      <c r="Q6" s="3"/>
      <c r="R6" s="3"/>
      <c r="S6" s="3"/>
      <c r="T6" s="3"/>
    </row>
    <row r="7" spans="2:20" ht="13.5" customHeight="1">
      <c r="B7" s="144"/>
      <c r="C7" s="145"/>
      <c r="D7" s="145"/>
      <c r="E7" s="148" t="s">
        <v>44</v>
      </c>
      <c r="F7" s="128" t="s">
        <v>4</v>
      </c>
      <c r="G7" s="150" t="s">
        <v>5</v>
      </c>
      <c r="H7" s="126" t="s">
        <v>6</v>
      </c>
      <c r="I7" s="128" t="s">
        <v>4</v>
      </c>
      <c r="J7" s="150" t="s">
        <v>5</v>
      </c>
      <c r="K7" s="152" t="s">
        <v>6</v>
      </c>
      <c r="L7" s="128" t="s">
        <v>4</v>
      </c>
      <c r="M7" s="150" t="s">
        <v>5</v>
      </c>
      <c r="N7" s="126" t="s">
        <v>6</v>
      </c>
      <c r="O7" s="32"/>
      <c r="P7" s="3"/>
      <c r="Q7" s="3"/>
      <c r="R7" s="3"/>
      <c r="S7" s="3"/>
      <c r="T7" s="3"/>
    </row>
    <row r="8" spans="2:20" ht="14.25" thickBot="1">
      <c r="B8" s="146"/>
      <c r="C8" s="147"/>
      <c r="D8" s="147"/>
      <c r="E8" s="149"/>
      <c r="F8" s="129"/>
      <c r="G8" s="151"/>
      <c r="H8" s="127"/>
      <c r="I8" s="129"/>
      <c r="J8" s="151"/>
      <c r="K8" s="127"/>
      <c r="L8" s="129"/>
      <c r="M8" s="151"/>
      <c r="N8" s="127"/>
      <c r="O8" s="32"/>
      <c r="P8" s="3" t="s">
        <v>132</v>
      </c>
      <c r="Q8" s="11"/>
      <c r="R8" s="3"/>
      <c r="S8" s="3"/>
      <c r="T8" s="3"/>
    </row>
    <row r="9" spans="2:20" ht="13.5" customHeight="1">
      <c r="B9" s="137" t="s">
        <v>8</v>
      </c>
      <c r="C9" s="138"/>
      <c r="D9" s="17" t="s">
        <v>14</v>
      </c>
      <c r="E9" s="26">
        <v>3</v>
      </c>
      <c r="F9" s="116">
        <f>(G$6-1)*$E$3*$E$4*$E$5*$E9</f>
        <v>252</v>
      </c>
      <c r="G9" s="117">
        <v>154.37</v>
      </c>
      <c r="H9" s="115">
        <f>F9-G9</f>
        <v>97.63</v>
      </c>
      <c r="I9" s="116">
        <f>(J$6-1)*$E$3*$E$4*$E$5*$E9</f>
        <v>798</v>
      </c>
      <c r="J9" s="117">
        <v>573.54</v>
      </c>
      <c r="K9" s="115">
        <f>I9-J9</f>
        <v>224.46000000000004</v>
      </c>
      <c r="L9" s="116">
        <f>(M$6-1)*$E$3*$E$4*$E$5*$E9</f>
        <v>714</v>
      </c>
      <c r="M9" s="117">
        <v>458.85</v>
      </c>
      <c r="N9" s="115">
        <f>L9-M9</f>
        <v>255.14999999999998</v>
      </c>
      <c r="O9" s="16"/>
      <c r="P9" s="3" t="s">
        <v>133</v>
      </c>
      <c r="R9" s="3"/>
      <c r="S9" s="3"/>
      <c r="T9" s="3"/>
    </row>
    <row r="10" spans="2:20" ht="13.5" customHeight="1" thickBot="1">
      <c r="B10" s="139"/>
      <c r="C10" s="140"/>
      <c r="D10" s="20" t="s">
        <v>15</v>
      </c>
      <c r="E10" s="27">
        <v>3</v>
      </c>
      <c r="F10" s="112">
        <f>(G$6-1)*$E$3*$E$4*$E$5*$E10</f>
        <v>252</v>
      </c>
      <c r="G10" s="113">
        <v>32</v>
      </c>
      <c r="H10" s="114">
        <f>F10-G10</f>
        <v>220</v>
      </c>
      <c r="I10" s="112">
        <f>(J$6-1)*$E$3*$E$4*$E$5*$E10</f>
        <v>798</v>
      </c>
      <c r="J10" s="113">
        <v>108</v>
      </c>
      <c r="K10" s="114">
        <f>I10-J10</f>
        <v>690</v>
      </c>
      <c r="L10" s="112">
        <f>(M$6-1)*$E$3*$E$4*$E$5*$E10</f>
        <v>714</v>
      </c>
      <c r="M10" s="113">
        <v>87</v>
      </c>
      <c r="N10" s="114">
        <f>L10-M10</f>
        <v>627</v>
      </c>
      <c r="O10" s="16"/>
      <c r="P10" s="3" t="s">
        <v>134</v>
      </c>
      <c r="R10" s="3"/>
      <c r="S10" s="3"/>
      <c r="T10" s="3"/>
    </row>
    <row r="11" spans="2:20" ht="13.5" customHeight="1">
      <c r="B11" s="137" t="s">
        <v>9</v>
      </c>
      <c r="C11" s="138"/>
      <c r="D11" s="17" t="s">
        <v>47</v>
      </c>
      <c r="E11" s="26">
        <v>2</v>
      </c>
      <c r="F11" s="23">
        <f>G$6*$E$3*$E$4*$E$5*$E11</f>
        <v>196</v>
      </c>
      <c r="G11" s="18"/>
      <c r="H11" s="19">
        <f>F11-G11</f>
        <v>196</v>
      </c>
      <c r="I11" s="23">
        <f>J$6*$E$3*$E$4*$E$5*$E11</f>
        <v>560</v>
      </c>
      <c r="J11" s="18"/>
      <c r="K11" s="19">
        <f>I11-J11</f>
        <v>560</v>
      </c>
      <c r="L11" s="23">
        <f>M$6*$E$3*$E$4*$E$5*$E11</f>
        <v>504</v>
      </c>
      <c r="M11" s="18"/>
      <c r="N11" s="19"/>
      <c r="O11" s="16"/>
      <c r="P11" s="98" t="s">
        <v>135</v>
      </c>
      <c r="Q11" s="99"/>
      <c r="R11" s="100"/>
      <c r="S11" s="100"/>
      <c r="T11" s="101"/>
    </row>
    <row r="12" spans="2:20" ht="13.5" customHeight="1" thickBot="1">
      <c r="B12" s="159"/>
      <c r="C12" s="160"/>
      <c r="D12" s="94"/>
      <c r="E12" s="111"/>
      <c r="F12" s="112"/>
      <c r="G12" s="113"/>
      <c r="H12" s="114"/>
      <c r="I12" s="112"/>
      <c r="J12" s="113"/>
      <c r="K12" s="114"/>
      <c r="L12" s="112"/>
      <c r="M12" s="113"/>
      <c r="N12" s="114"/>
      <c r="O12" s="16"/>
      <c r="P12" s="104" t="s">
        <v>136</v>
      </c>
      <c r="Q12" s="102"/>
      <c r="R12" s="102"/>
      <c r="S12" s="102"/>
      <c r="T12" s="103"/>
    </row>
    <row r="13" spans="2:20" ht="13.5" customHeight="1">
      <c r="B13" s="49"/>
      <c r="C13" s="49"/>
      <c r="D13" s="32"/>
      <c r="E13" s="50"/>
      <c r="F13" s="16"/>
      <c r="G13" s="16"/>
      <c r="H13" s="16"/>
      <c r="I13" s="16"/>
      <c r="J13" s="16"/>
      <c r="K13" s="96">
        <f>K9/I9</f>
        <v>0.28127819548872185</v>
      </c>
      <c r="L13" s="16"/>
      <c r="M13" s="16"/>
      <c r="N13" s="96">
        <f>N9/L9</f>
        <v>0.35735294117647054</v>
      </c>
      <c r="O13" s="16"/>
    </row>
    <row r="14" spans="2:20" ht="13.5" customHeight="1">
      <c r="B14" s="49"/>
      <c r="C14" s="49"/>
      <c r="D14" s="32"/>
      <c r="E14" s="50"/>
      <c r="F14" s="16"/>
      <c r="G14" s="16"/>
      <c r="H14" s="16"/>
      <c r="I14" s="16"/>
      <c r="J14" s="16"/>
      <c r="K14" s="16"/>
      <c r="L14" s="16"/>
      <c r="M14" s="16"/>
      <c r="N14" s="16"/>
      <c r="O14" s="16"/>
      <c r="P14" s="3"/>
      <c r="Q14" s="3"/>
      <c r="R14" s="3"/>
      <c r="S14" s="3"/>
      <c r="T14" s="3"/>
    </row>
    <row r="15" spans="2:20" ht="13.5" customHeight="1" thickBot="1">
      <c r="B15" s="48"/>
      <c r="C15" s="48"/>
      <c r="D15" s="74" t="s">
        <v>26</v>
      </c>
      <c r="E15" s="75">
        <v>7</v>
      </c>
      <c r="F15" s="16"/>
      <c r="G15" s="16"/>
      <c r="H15" s="16"/>
      <c r="I15" s="16"/>
      <c r="J15" s="16"/>
      <c r="K15" s="16"/>
      <c r="L15" s="16"/>
      <c r="M15" s="16"/>
      <c r="N15" s="16"/>
      <c r="O15" s="16"/>
      <c r="P15" s="36"/>
      <c r="Q15" s="34"/>
      <c r="R15" s="35"/>
      <c r="S15" s="35"/>
      <c r="T15" s="35"/>
    </row>
    <row r="16" spans="2:20" ht="14.25" customHeight="1" thickBot="1">
      <c r="B16" s="55" t="s">
        <v>46</v>
      </c>
      <c r="C16" s="4"/>
      <c r="D16" s="79" t="s">
        <v>38</v>
      </c>
      <c r="E16" s="78">
        <v>0.92</v>
      </c>
      <c r="F16" s="161" t="s">
        <v>0</v>
      </c>
      <c r="G16" s="162"/>
      <c r="H16" s="163"/>
      <c r="I16" s="164" t="s">
        <v>1</v>
      </c>
      <c r="J16" s="165"/>
      <c r="K16" s="166"/>
      <c r="L16" s="164" t="s">
        <v>2</v>
      </c>
      <c r="M16" s="165"/>
      <c r="N16" s="166"/>
      <c r="O16" s="32"/>
      <c r="P16" s="3"/>
      <c r="R16" s="3"/>
      <c r="S16" s="3"/>
      <c r="T16" s="3"/>
    </row>
    <row r="17" spans="2:22" ht="14.25" thickBot="1">
      <c r="B17" s="141" t="s">
        <v>22</v>
      </c>
      <c r="C17" s="142"/>
      <c r="D17" s="143"/>
      <c r="E17" s="12"/>
      <c r="F17" s="25" t="s">
        <v>137</v>
      </c>
      <c r="G17" s="5">
        <v>7</v>
      </c>
      <c r="H17" s="6" t="s">
        <v>3</v>
      </c>
      <c r="I17" s="7" t="s">
        <v>20</v>
      </c>
      <c r="J17" s="8">
        <v>20</v>
      </c>
      <c r="K17" s="9" t="s">
        <v>3</v>
      </c>
      <c r="L17" s="7" t="s">
        <v>138</v>
      </c>
      <c r="M17" s="8">
        <v>18</v>
      </c>
      <c r="N17" s="9" t="s">
        <v>3</v>
      </c>
      <c r="O17" s="11"/>
      <c r="P17" s="3"/>
      <c r="Q17" s="3"/>
      <c r="R17" s="3"/>
      <c r="S17" s="3"/>
      <c r="T17" s="3"/>
    </row>
    <row r="18" spans="2:22" ht="13.5" customHeight="1" thickBot="1">
      <c r="B18" s="144"/>
      <c r="C18" s="145"/>
      <c r="D18" s="145"/>
      <c r="E18" s="148" t="s">
        <v>25</v>
      </c>
      <c r="F18" s="128" t="s">
        <v>4</v>
      </c>
      <c r="G18" s="150" t="s">
        <v>5</v>
      </c>
      <c r="H18" s="126" t="s">
        <v>6</v>
      </c>
      <c r="I18" s="128" t="s">
        <v>4</v>
      </c>
      <c r="J18" s="150" t="s">
        <v>5</v>
      </c>
      <c r="K18" s="152" t="s">
        <v>6</v>
      </c>
      <c r="L18" s="128" t="s">
        <v>4</v>
      </c>
      <c r="M18" s="150" t="s">
        <v>5</v>
      </c>
      <c r="N18" s="126" t="s">
        <v>6</v>
      </c>
      <c r="O18" s="32"/>
      <c r="P18" s="3"/>
      <c r="R18" s="3"/>
      <c r="S18" s="3"/>
      <c r="T18" s="3"/>
    </row>
    <row r="19" spans="2:22" ht="14.25" thickBot="1">
      <c r="B19" s="146"/>
      <c r="C19" s="147"/>
      <c r="D19" s="147"/>
      <c r="E19" s="149"/>
      <c r="F19" s="129"/>
      <c r="G19" s="151"/>
      <c r="H19" s="127"/>
      <c r="I19" s="129"/>
      <c r="J19" s="151"/>
      <c r="K19" s="127"/>
      <c r="L19" s="129"/>
      <c r="M19" s="151"/>
      <c r="N19" s="127"/>
      <c r="O19" s="32"/>
      <c r="P19" s="80" t="s">
        <v>34</v>
      </c>
      <c r="Q19" s="81" t="s">
        <v>35</v>
      </c>
      <c r="R19" s="82" t="s">
        <v>33</v>
      </c>
      <c r="S19" s="3"/>
      <c r="T19" s="3"/>
    </row>
    <row r="20" spans="2:22" ht="13.5" customHeight="1">
      <c r="B20" s="153" t="s">
        <v>21</v>
      </c>
      <c r="C20" s="154"/>
      <c r="D20" s="17" t="s">
        <v>10</v>
      </c>
      <c r="E20" s="26">
        <v>5.5</v>
      </c>
      <c r="F20" s="23">
        <f>$E$15*$E20*6*$E$3</f>
        <v>1617</v>
      </c>
      <c r="G20" s="18"/>
      <c r="H20" s="19">
        <f>F20-G20</f>
        <v>1617</v>
      </c>
      <c r="I20" s="23">
        <f>$E$15*$E20*J$17*$E$16</f>
        <v>708.4</v>
      </c>
      <c r="J20" s="18"/>
      <c r="K20" s="19">
        <f>I20-J20</f>
        <v>708.4</v>
      </c>
      <c r="L20" s="23">
        <f>$E$15*$E20*M$17*$E$16</f>
        <v>637.56000000000006</v>
      </c>
      <c r="M20" s="18"/>
      <c r="N20" s="19">
        <f>L20-M20</f>
        <v>637.56000000000006</v>
      </c>
      <c r="O20" s="16"/>
      <c r="P20" s="83" t="s">
        <v>29</v>
      </c>
      <c r="Q20" s="84"/>
      <c r="R20" s="85"/>
      <c r="S20" s="35"/>
      <c r="T20" s="35"/>
      <c r="V20" s="10"/>
    </row>
    <row r="21" spans="2:22" ht="13.5" customHeight="1">
      <c r="B21" s="155"/>
      <c r="C21" s="156"/>
      <c r="D21" s="20" t="s">
        <v>27</v>
      </c>
      <c r="E21" s="27">
        <v>3.5</v>
      </c>
      <c r="F21" s="47">
        <f>$E$15*$E21*6*$E$3</f>
        <v>1029</v>
      </c>
      <c r="G21" s="33"/>
      <c r="H21" s="22">
        <f>F21-G21</f>
        <v>1029</v>
      </c>
      <c r="I21" s="24">
        <f>$E$15*$E21*J$17*$E$16</f>
        <v>450.8</v>
      </c>
      <c r="J21" s="33">
        <f>I21</f>
        <v>450.8</v>
      </c>
      <c r="K21" s="22">
        <f>I21-J21</f>
        <v>0</v>
      </c>
      <c r="L21" s="24">
        <f>$E$15*$E21*M$17*$E$16</f>
        <v>405.72</v>
      </c>
      <c r="M21" s="33">
        <f>L21</f>
        <v>405.72</v>
      </c>
      <c r="N21" s="22">
        <f>L21-M21</f>
        <v>0</v>
      </c>
      <c r="O21" s="16"/>
      <c r="P21" s="86" t="s">
        <v>30</v>
      </c>
      <c r="Q21" s="87"/>
      <c r="R21" s="88"/>
      <c r="S21" s="35"/>
      <c r="T21" s="35"/>
      <c r="V21" s="10"/>
    </row>
    <row r="22" spans="2:22" ht="13.5" customHeight="1" thickBot="1">
      <c r="B22" s="157"/>
      <c r="C22" s="158"/>
      <c r="D22" s="106" t="s">
        <v>7</v>
      </c>
      <c r="E22" s="107">
        <f t="shared" ref="E22:N22" si="0">SUM(E20:E21)</f>
        <v>9</v>
      </c>
      <c r="F22" s="108">
        <f t="shared" si="0"/>
        <v>2646</v>
      </c>
      <c r="G22" s="109">
        <f t="shared" si="0"/>
        <v>0</v>
      </c>
      <c r="H22" s="110">
        <f t="shared" si="0"/>
        <v>2646</v>
      </c>
      <c r="I22" s="108">
        <f t="shared" si="0"/>
        <v>1159.2</v>
      </c>
      <c r="J22" s="109">
        <f t="shared" si="0"/>
        <v>450.8</v>
      </c>
      <c r="K22" s="110">
        <f t="shared" si="0"/>
        <v>708.4</v>
      </c>
      <c r="L22" s="108">
        <f t="shared" si="0"/>
        <v>1043.2800000000002</v>
      </c>
      <c r="M22" s="109">
        <f t="shared" si="0"/>
        <v>405.72</v>
      </c>
      <c r="N22" s="110">
        <f t="shared" si="0"/>
        <v>637.56000000000006</v>
      </c>
      <c r="O22" s="16"/>
      <c r="P22" s="89" t="s">
        <v>139</v>
      </c>
      <c r="Q22" s="90"/>
      <c r="R22" s="91"/>
      <c r="S22" s="35"/>
      <c r="T22" s="35"/>
    </row>
    <row r="23" spans="2:22" ht="13.5" customHeight="1">
      <c r="B23" s="137" t="s">
        <v>8</v>
      </c>
      <c r="C23" s="138"/>
      <c r="D23" s="17" t="s">
        <v>50</v>
      </c>
      <c r="E23" s="26">
        <v>14</v>
      </c>
      <c r="F23" s="23">
        <f>$E$15*13*G$17*$E$16</f>
        <v>586.04000000000008</v>
      </c>
      <c r="G23" s="56">
        <f t="shared" ref="G23:G24" si="1">F23</f>
        <v>586.04000000000008</v>
      </c>
      <c r="H23" s="19">
        <f t="shared" ref="H23:H24" si="2">F23-G23</f>
        <v>0</v>
      </c>
      <c r="I23" s="23">
        <f>$E$15*13*J$17*$E$16</f>
        <v>1674.4</v>
      </c>
      <c r="J23" s="56">
        <f t="shared" ref="J23:J24" si="3">I23</f>
        <v>1674.4</v>
      </c>
      <c r="K23" s="19">
        <f t="shared" ref="K23:K24" si="4">I23-J23</f>
        <v>0</v>
      </c>
      <c r="L23" s="23">
        <f>$E$15*$E23*M$17*$E$16</f>
        <v>1622.88</v>
      </c>
      <c r="M23" s="56">
        <f t="shared" ref="M23:M24" si="5">L23</f>
        <v>1622.88</v>
      </c>
      <c r="N23" s="19">
        <f t="shared" ref="N23:N24" si="6">L23-M23</f>
        <v>0</v>
      </c>
      <c r="O23" s="16"/>
      <c r="P23" s="170" t="s">
        <v>140</v>
      </c>
      <c r="Q23" s="171"/>
      <c r="R23" s="172"/>
      <c r="S23" s="35"/>
      <c r="T23" s="35"/>
    </row>
    <row r="24" spans="2:22" ht="13.5" customHeight="1">
      <c r="B24" s="139"/>
      <c r="C24" s="140"/>
      <c r="D24" s="20" t="s">
        <v>51</v>
      </c>
      <c r="E24" s="27">
        <v>7.5</v>
      </c>
      <c r="F24" s="24">
        <f>$E$15*$E24*G$17*$E$16</f>
        <v>338.1</v>
      </c>
      <c r="G24" s="33">
        <f t="shared" si="1"/>
        <v>338.1</v>
      </c>
      <c r="H24" s="22">
        <f t="shared" si="2"/>
        <v>0</v>
      </c>
      <c r="I24" s="24">
        <f>$E$15*$E24*J$17*$E$16</f>
        <v>966</v>
      </c>
      <c r="J24" s="33">
        <f t="shared" si="3"/>
        <v>966</v>
      </c>
      <c r="K24" s="22">
        <f t="shared" si="4"/>
        <v>0</v>
      </c>
      <c r="L24" s="24">
        <f t="shared" ref="L24" si="7">$E$15*$E24*M$17*$E$16</f>
        <v>869.40000000000009</v>
      </c>
      <c r="M24" s="33">
        <f t="shared" si="5"/>
        <v>869.40000000000009</v>
      </c>
      <c r="N24" s="22">
        <f t="shared" si="6"/>
        <v>0</v>
      </c>
      <c r="O24" s="16"/>
      <c r="P24" s="173"/>
      <c r="Q24" s="174"/>
      <c r="R24" s="175"/>
      <c r="S24" s="35"/>
      <c r="T24" s="35"/>
    </row>
    <row r="25" spans="2:22" ht="13.5" customHeight="1" thickBot="1">
      <c r="B25" s="159"/>
      <c r="C25" s="160"/>
      <c r="D25" s="106" t="s">
        <v>16</v>
      </c>
      <c r="E25" s="107">
        <f>SUM(E23:E24)</f>
        <v>21.5</v>
      </c>
      <c r="F25" s="108">
        <f t="shared" ref="F25:N25" si="8">SUM(F23:F24)</f>
        <v>924.1400000000001</v>
      </c>
      <c r="G25" s="109">
        <f t="shared" si="8"/>
        <v>924.1400000000001</v>
      </c>
      <c r="H25" s="110">
        <f t="shared" si="8"/>
        <v>0</v>
      </c>
      <c r="I25" s="108">
        <f t="shared" si="8"/>
        <v>2640.4</v>
      </c>
      <c r="J25" s="109">
        <f t="shared" si="8"/>
        <v>2640.4</v>
      </c>
      <c r="K25" s="110">
        <f t="shared" si="8"/>
        <v>0</v>
      </c>
      <c r="L25" s="108">
        <f t="shared" si="8"/>
        <v>2492.2800000000002</v>
      </c>
      <c r="M25" s="109">
        <f t="shared" si="8"/>
        <v>2492.2800000000002</v>
      </c>
      <c r="N25" s="110">
        <f t="shared" si="8"/>
        <v>0</v>
      </c>
      <c r="O25" s="16"/>
      <c r="P25" s="176"/>
      <c r="Q25" s="177"/>
      <c r="R25" s="178"/>
      <c r="S25" s="35"/>
      <c r="T25" s="35"/>
    </row>
    <row r="26" spans="2:22" ht="13.5" customHeight="1">
      <c r="B26" s="137" t="s">
        <v>9</v>
      </c>
      <c r="C26" s="138"/>
      <c r="D26" s="17" t="s">
        <v>37</v>
      </c>
      <c r="E26" s="26">
        <v>21</v>
      </c>
      <c r="F26" s="23">
        <f>$E$15*$E26*G$17*$E$16</f>
        <v>946.68000000000006</v>
      </c>
      <c r="G26" s="18"/>
      <c r="H26" s="19">
        <f>F26-G26</f>
        <v>946.68000000000006</v>
      </c>
      <c r="I26" s="23">
        <f>$E$15*$E26*J$17*$E$16</f>
        <v>2704.8</v>
      </c>
      <c r="J26" s="18"/>
      <c r="K26" s="19">
        <f>I26-J26</f>
        <v>2704.8</v>
      </c>
      <c r="L26" s="23">
        <f>$E$15*$E26*M$17*$E$16</f>
        <v>2434.3200000000002</v>
      </c>
      <c r="M26" s="18"/>
      <c r="N26" s="19">
        <f>L26-M26</f>
        <v>2434.3200000000002</v>
      </c>
      <c r="O26" s="16"/>
      <c r="P26" s="83" t="s">
        <v>29</v>
      </c>
      <c r="Q26" s="84"/>
      <c r="R26" s="179"/>
      <c r="S26" s="3"/>
      <c r="T26" s="3"/>
    </row>
    <row r="27" spans="2:22" ht="13.5" customHeight="1">
      <c r="B27" s="139"/>
      <c r="C27" s="140"/>
      <c r="D27" s="20" t="s">
        <v>17</v>
      </c>
      <c r="E27" s="27">
        <v>18</v>
      </c>
      <c r="F27" s="24">
        <f>$E$15*$E27*G$17*$E$16</f>
        <v>811.44</v>
      </c>
      <c r="G27" s="21"/>
      <c r="H27" s="22">
        <f>F27-G27</f>
        <v>811.44</v>
      </c>
      <c r="I27" s="24">
        <f>$E$15*$E27*J$17*$E$16</f>
        <v>2318.4</v>
      </c>
      <c r="J27" s="21"/>
      <c r="K27" s="22">
        <f>I27-J27</f>
        <v>2318.4</v>
      </c>
      <c r="L27" s="24">
        <f>$E$15*$E27*M$17*$E$16</f>
        <v>2086.56</v>
      </c>
      <c r="M27" s="21"/>
      <c r="N27" s="22">
        <f>L27-M27</f>
        <v>2086.56</v>
      </c>
      <c r="O27" s="16"/>
      <c r="P27" s="86" t="s">
        <v>30</v>
      </c>
      <c r="Q27" s="87"/>
      <c r="R27" s="180"/>
      <c r="S27" s="3"/>
      <c r="T27" s="3"/>
    </row>
    <row r="28" spans="2:22" ht="14.25" thickBot="1">
      <c r="B28" s="159"/>
      <c r="C28" s="160"/>
      <c r="D28" s="106" t="s">
        <v>7</v>
      </c>
      <c r="E28" s="107">
        <f t="shared" ref="E28:N28" si="9">SUM(E26:E27)</f>
        <v>39</v>
      </c>
      <c r="F28" s="108">
        <f t="shared" si="9"/>
        <v>1758.1200000000001</v>
      </c>
      <c r="G28" s="109">
        <f t="shared" si="9"/>
        <v>0</v>
      </c>
      <c r="H28" s="110">
        <f t="shared" si="9"/>
        <v>1758.1200000000001</v>
      </c>
      <c r="I28" s="108">
        <f t="shared" si="9"/>
        <v>5023.2000000000007</v>
      </c>
      <c r="J28" s="109">
        <f t="shared" si="9"/>
        <v>0</v>
      </c>
      <c r="K28" s="110">
        <f t="shared" si="9"/>
        <v>5023.2000000000007</v>
      </c>
      <c r="L28" s="108">
        <f t="shared" si="9"/>
        <v>4520.88</v>
      </c>
      <c r="M28" s="109">
        <f t="shared" si="9"/>
        <v>0</v>
      </c>
      <c r="N28" s="110">
        <f t="shared" si="9"/>
        <v>4520.88</v>
      </c>
      <c r="O28" s="16"/>
      <c r="P28" s="89" t="s">
        <v>139</v>
      </c>
      <c r="Q28" s="90"/>
      <c r="R28" s="181"/>
      <c r="S28" s="3"/>
      <c r="T28" s="3"/>
    </row>
    <row r="29" spans="2:22" ht="12.75" customHeight="1">
      <c r="B29" s="182" t="s">
        <v>12</v>
      </c>
      <c r="C29" s="183"/>
      <c r="D29" s="17" t="s">
        <v>13</v>
      </c>
      <c r="E29" s="26">
        <v>30</v>
      </c>
      <c r="F29" s="44">
        <v>0</v>
      </c>
      <c r="G29" s="38"/>
      <c r="H29" s="39"/>
      <c r="I29" s="23">
        <f>$E$15*$E29*J$17*$E$16</f>
        <v>3864</v>
      </c>
      <c r="J29" s="18"/>
      <c r="K29" s="19">
        <f>I29-J29</f>
        <v>3864</v>
      </c>
      <c r="L29" s="23">
        <f>$E$15*$E29*M$17*$E$16</f>
        <v>3477.6000000000004</v>
      </c>
      <c r="M29" s="18"/>
      <c r="N29" s="19">
        <f>L29-M29</f>
        <v>3477.6000000000004</v>
      </c>
      <c r="O29" s="16"/>
      <c r="P29" s="83" t="s">
        <v>29</v>
      </c>
      <c r="Q29" s="84"/>
      <c r="R29" s="186"/>
      <c r="S29" s="3"/>
      <c r="T29" s="3"/>
    </row>
    <row r="30" spans="2:22" ht="12.75" customHeight="1">
      <c r="B30" s="139"/>
      <c r="C30" s="140"/>
      <c r="D30" s="13" t="s">
        <v>36</v>
      </c>
      <c r="E30" s="37">
        <v>2</v>
      </c>
      <c r="F30" s="45">
        <v>0</v>
      </c>
      <c r="G30" s="40"/>
      <c r="H30" s="41"/>
      <c r="I30" s="15">
        <f>$E$15*$E30*J$17*$E$16</f>
        <v>257.60000000000002</v>
      </c>
      <c r="J30" s="33">
        <f>I30</f>
        <v>257.60000000000002</v>
      </c>
      <c r="K30" s="14">
        <f>I30-J30</f>
        <v>0</v>
      </c>
      <c r="L30" s="15">
        <f>$E$15*$E30*M$17*$E$16</f>
        <v>231.84</v>
      </c>
      <c r="M30" s="33">
        <f>L30</f>
        <v>231.84</v>
      </c>
      <c r="N30" s="14">
        <f>L30-M30</f>
        <v>0</v>
      </c>
      <c r="O30" s="16"/>
      <c r="P30" s="86" t="s">
        <v>30</v>
      </c>
      <c r="Q30" s="87"/>
      <c r="R30" s="187"/>
      <c r="S30" s="3"/>
      <c r="T30" s="3"/>
    </row>
    <row r="31" spans="2:22" ht="12.75" customHeight="1" thickBot="1">
      <c r="B31" s="184"/>
      <c r="C31" s="185"/>
      <c r="D31" s="106" t="s">
        <v>7</v>
      </c>
      <c r="E31" s="107">
        <f>E29</f>
        <v>30</v>
      </c>
      <c r="F31" s="108">
        <f t="shared" ref="F31:N31" si="10">SUM(F29:F30)</f>
        <v>0</v>
      </c>
      <c r="G31" s="109">
        <f t="shared" si="10"/>
        <v>0</v>
      </c>
      <c r="H31" s="110">
        <f t="shared" si="10"/>
        <v>0</v>
      </c>
      <c r="I31" s="108">
        <f t="shared" si="10"/>
        <v>4121.6000000000004</v>
      </c>
      <c r="J31" s="109">
        <f t="shared" si="10"/>
        <v>257.60000000000002</v>
      </c>
      <c r="K31" s="110">
        <f t="shared" si="10"/>
        <v>3864</v>
      </c>
      <c r="L31" s="108">
        <f t="shared" si="10"/>
        <v>3709.4400000000005</v>
      </c>
      <c r="M31" s="109">
        <f t="shared" si="10"/>
        <v>231.84</v>
      </c>
      <c r="N31" s="110">
        <f t="shared" si="10"/>
        <v>3477.6000000000004</v>
      </c>
      <c r="O31" s="16"/>
      <c r="P31" s="89" t="s">
        <v>139</v>
      </c>
      <c r="Q31" s="90"/>
      <c r="R31" s="188"/>
      <c r="S31" s="3"/>
      <c r="T31" s="3"/>
    </row>
    <row r="32" spans="2:22" ht="17.25" customHeight="1" thickBot="1">
      <c r="B32" s="167" t="s">
        <v>18</v>
      </c>
      <c r="C32" s="168"/>
      <c r="D32" s="169"/>
      <c r="E32" s="28">
        <f>E22+E25+E28+E31</f>
        <v>99.5</v>
      </c>
      <c r="F32" s="29">
        <f t="shared" ref="F32:N32" si="11">F22+F25+F28+F31</f>
        <v>5328.26</v>
      </c>
      <c r="G32" s="30">
        <f t="shared" si="11"/>
        <v>924.1400000000001</v>
      </c>
      <c r="H32" s="31">
        <f t="shared" si="11"/>
        <v>4404.12</v>
      </c>
      <c r="I32" s="29">
        <f t="shared" si="11"/>
        <v>12944.400000000001</v>
      </c>
      <c r="J32" s="30">
        <f t="shared" si="11"/>
        <v>3348.8</v>
      </c>
      <c r="K32" s="31">
        <f t="shared" si="11"/>
        <v>9595.6</v>
      </c>
      <c r="L32" s="29">
        <f t="shared" si="11"/>
        <v>11765.880000000001</v>
      </c>
      <c r="M32" s="30">
        <f t="shared" si="11"/>
        <v>3129.84</v>
      </c>
      <c r="N32" s="31">
        <f t="shared" si="11"/>
        <v>8636.0400000000009</v>
      </c>
      <c r="O32" s="16"/>
      <c r="P32" s="3"/>
      <c r="Q32" s="3" t="s">
        <v>116</v>
      </c>
      <c r="R32" s="3"/>
      <c r="S32" s="3"/>
      <c r="T32" s="3"/>
    </row>
  </sheetData>
  <mergeCells count="41">
    <mergeCell ref="B32:D32"/>
    <mergeCell ref="B23:C25"/>
    <mergeCell ref="P23:R25"/>
    <mergeCell ref="B26:C28"/>
    <mergeCell ref="R26:R28"/>
    <mergeCell ref="B29:C31"/>
    <mergeCell ref="R29:R31"/>
    <mergeCell ref="B20:C22"/>
    <mergeCell ref="B11:C12"/>
    <mergeCell ref="F16:H16"/>
    <mergeCell ref="I16:K16"/>
    <mergeCell ref="L16:N16"/>
    <mergeCell ref="B17:D19"/>
    <mergeCell ref="E18:E19"/>
    <mergeCell ref="F18:F19"/>
    <mergeCell ref="G18:G19"/>
    <mergeCell ref="H18:H19"/>
    <mergeCell ref="I18:I19"/>
    <mergeCell ref="J18:J19"/>
    <mergeCell ref="K18:K19"/>
    <mergeCell ref="L18:L19"/>
    <mergeCell ref="M18:M19"/>
    <mergeCell ref="N18:N19"/>
    <mergeCell ref="B9:C10"/>
    <mergeCell ref="B6:D8"/>
    <mergeCell ref="E7:E8"/>
    <mergeCell ref="F7:F8"/>
    <mergeCell ref="G7:G8"/>
    <mergeCell ref="H7:H8"/>
    <mergeCell ref="I7:I8"/>
    <mergeCell ref="M1:N1"/>
    <mergeCell ref="Q1:R1"/>
    <mergeCell ref="S1:T1"/>
    <mergeCell ref="F5:H5"/>
    <mergeCell ref="I5:K5"/>
    <mergeCell ref="L5:N5"/>
    <mergeCell ref="J7:J8"/>
    <mergeCell ref="K7:K8"/>
    <mergeCell ref="L7:L8"/>
    <mergeCell ref="M7:M8"/>
    <mergeCell ref="N7:N8"/>
  </mergeCells>
  <phoneticPr fontId="5"/>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32"/>
  <sheetViews>
    <sheetView showGridLines="0" zoomScale="110" zoomScaleNormal="110" workbookViewId="0">
      <selection activeCell="M9" sqref="M9"/>
    </sheetView>
  </sheetViews>
  <sheetFormatPr defaultRowHeight="13.5"/>
  <cols>
    <col min="1" max="1" width="1.75" customWidth="1"/>
    <col min="4" max="4" width="15.375" customWidth="1"/>
    <col min="5" max="5" width="6.5" bestFit="1" customWidth="1"/>
    <col min="6" max="6" width="7.125" customWidth="1"/>
    <col min="7" max="7" width="6.375" bestFit="1" customWidth="1"/>
    <col min="8" max="8" width="8.125" customWidth="1"/>
    <col min="9" max="10" width="7.125" customWidth="1"/>
    <col min="11" max="11" width="7.875" customWidth="1"/>
    <col min="12" max="14" width="7.125" customWidth="1"/>
    <col min="15" max="15" width="1.25" customWidth="1"/>
    <col min="16" max="16" width="7.125" customWidth="1"/>
    <col min="17" max="17" width="11.125" bestFit="1" customWidth="1"/>
    <col min="18" max="18" width="38.625" customWidth="1"/>
    <col min="19" max="20" width="7.125" customWidth="1"/>
  </cols>
  <sheetData>
    <row r="1" spans="2:20">
      <c r="B1" s="1" t="s">
        <v>23</v>
      </c>
      <c r="C1" s="1"/>
      <c r="D1" s="2"/>
      <c r="E1" s="2"/>
      <c r="F1" s="3"/>
      <c r="G1" s="3"/>
      <c r="H1" s="3"/>
      <c r="I1" s="3"/>
      <c r="J1" s="3"/>
      <c r="K1" s="3"/>
      <c r="L1" s="3"/>
      <c r="M1" s="130"/>
      <c r="N1" s="130"/>
      <c r="O1" s="11"/>
      <c r="P1" s="3"/>
      <c r="Q1" s="130"/>
      <c r="R1" s="130"/>
      <c r="S1" s="130"/>
      <c r="T1" s="130"/>
    </row>
    <row r="2" spans="2:20">
      <c r="B2" s="1"/>
      <c r="C2" s="1"/>
      <c r="D2" s="2"/>
      <c r="E2" s="2"/>
      <c r="F2" s="3"/>
      <c r="G2" s="3"/>
      <c r="H2" s="3"/>
      <c r="I2" s="3"/>
      <c r="J2" s="3"/>
      <c r="K2" s="3"/>
      <c r="L2" s="3"/>
      <c r="M2" s="11"/>
      <c r="N2" s="11"/>
      <c r="O2" s="11"/>
      <c r="P2" s="3"/>
      <c r="Q2" s="11"/>
      <c r="R2" s="11"/>
      <c r="S2" s="11"/>
      <c r="T2" s="11"/>
    </row>
    <row r="3" spans="2:20">
      <c r="B3" s="1"/>
      <c r="C3" s="1"/>
      <c r="D3" s="74" t="s">
        <v>26</v>
      </c>
      <c r="E3" s="75">
        <v>7</v>
      </c>
      <c r="F3" s="3"/>
      <c r="G3" s="3"/>
      <c r="H3" s="3"/>
      <c r="I3" s="3"/>
      <c r="J3" s="3"/>
      <c r="K3" s="3"/>
      <c r="L3" s="3"/>
      <c r="M3" s="11"/>
      <c r="N3" s="11"/>
      <c r="O3" s="11"/>
      <c r="P3" s="3"/>
      <c r="Q3" s="11"/>
      <c r="R3" s="11"/>
      <c r="S3" s="11"/>
      <c r="T3" s="11"/>
    </row>
    <row r="4" spans="2:20" ht="14.25" thickBot="1">
      <c r="B4" s="1" t="s">
        <v>48</v>
      </c>
      <c r="C4" s="1"/>
      <c r="D4" s="74" t="s">
        <v>42</v>
      </c>
      <c r="E4" s="76">
        <v>2</v>
      </c>
      <c r="F4" s="3"/>
      <c r="G4" s="3"/>
      <c r="H4" s="3"/>
      <c r="I4" s="3"/>
      <c r="J4" s="3"/>
      <c r="K4" s="3"/>
      <c r="L4" s="3"/>
      <c r="M4" s="11"/>
      <c r="N4" s="11"/>
      <c r="O4" s="11"/>
      <c r="P4" s="3"/>
      <c r="Q4" s="11"/>
      <c r="R4" s="11"/>
      <c r="S4" s="11"/>
      <c r="T4" s="11"/>
    </row>
    <row r="5" spans="2:20" ht="14.25" customHeight="1" thickBot="1">
      <c r="B5" s="55" t="s">
        <v>45</v>
      </c>
      <c r="C5" s="4"/>
      <c r="D5" s="77" t="s">
        <v>131</v>
      </c>
      <c r="E5" s="105">
        <v>1</v>
      </c>
      <c r="F5" s="131" t="s">
        <v>0</v>
      </c>
      <c r="G5" s="132"/>
      <c r="H5" s="133"/>
      <c r="I5" s="134" t="s">
        <v>1</v>
      </c>
      <c r="J5" s="135"/>
      <c r="K5" s="136"/>
      <c r="L5" s="134" t="s">
        <v>2</v>
      </c>
      <c r="M5" s="135"/>
      <c r="N5" s="136"/>
      <c r="O5" s="32"/>
      <c r="P5" s="3"/>
      <c r="Q5" s="3"/>
      <c r="R5" s="3"/>
      <c r="S5" s="3"/>
      <c r="T5" s="3"/>
    </row>
    <row r="6" spans="2:20" ht="14.25" thickBot="1">
      <c r="B6" s="141" t="s">
        <v>22</v>
      </c>
      <c r="C6" s="142"/>
      <c r="D6" s="143"/>
      <c r="E6" s="12"/>
      <c r="F6" s="25" t="s">
        <v>24</v>
      </c>
      <c r="G6" s="5">
        <v>7</v>
      </c>
      <c r="H6" s="6" t="s">
        <v>3</v>
      </c>
      <c r="I6" s="7" t="s">
        <v>19</v>
      </c>
      <c r="J6" s="8">
        <v>19</v>
      </c>
      <c r="K6" s="9" t="s">
        <v>3</v>
      </c>
      <c r="L6" s="7" t="s">
        <v>20</v>
      </c>
      <c r="M6" s="8">
        <v>20</v>
      </c>
      <c r="N6" s="9" t="s">
        <v>3</v>
      </c>
      <c r="O6" s="11"/>
      <c r="P6" s="3"/>
      <c r="Q6" s="3"/>
      <c r="R6" s="3"/>
      <c r="S6" s="3"/>
      <c r="T6" s="3"/>
    </row>
    <row r="7" spans="2:20" ht="13.5" customHeight="1">
      <c r="B7" s="144"/>
      <c r="C7" s="145"/>
      <c r="D7" s="145"/>
      <c r="E7" s="148" t="s">
        <v>44</v>
      </c>
      <c r="F7" s="128" t="s">
        <v>4</v>
      </c>
      <c r="G7" s="150" t="s">
        <v>5</v>
      </c>
      <c r="H7" s="126" t="s">
        <v>6</v>
      </c>
      <c r="I7" s="128" t="s">
        <v>4</v>
      </c>
      <c r="J7" s="150" t="s">
        <v>5</v>
      </c>
      <c r="K7" s="152" t="s">
        <v>6</v>
      </c>
      <c r="L7" s="128" t="s">
        <v>4</v>
      </c>
      <c r="M7" s="150" t="s">
        <v>5</v>
      </c>
      <c r="N7" s="126" t="s">
        <v>6</v>
      </c>
      <c r="O7" s="32"/>
      <c r="P7" s="3"/>
      <c r="Q7" s="3"/>
      <c r="R7" s="3"/>
      <c r="S7" s="3"/>
      <c r="T7" s="3"/>
    </row>
    <row r="8" spans="2:20" ht="14.25" thickBot="1">
      <c r="B8" s="146"/>
      <c r="C8" s="147"/>
      <c r="D8" s="147"/>
      <c r="E8" s="149"/>
      <c r="F8" s="129"/>
      <c r="G8" s="151"/>
      <c r="H8" s="127"/>
      <c r="I8" s="129"/>
      <c r="J8" s="151"/>
      <c r="K8" s="127"/>
      <c r="L8" s="129"/>
      <c r="M8" s="151"/>
      <c r="N8" s="127"/>
      <c r="O8" s="32"/>
      <c r="P8" s="3" t="s">
        <v>132</v>
      </c>
      <c r="Q8" s="11"/>
      <c r="R8" s="3"/>
      <c r="S8" s="3"/>
      <c r="T8" s="3"/>
    </row>
    <row r="9" spans="2:20" ht="13.5" customHeight="1">
      <c r="B9" s="137" t="s">
        <v>8</v>
      </c>
      <c r="C9" s="138"/>
      <c r="D9" s="17" t="s">
        <v>14</v>
      </c>
      <c r="E9" s="26">
        <v>3</v>
      </c>
      <c r="F9" s="23">
        <f>(G$6-1)*$E$3*$E$4*$E$5*$E9</f>
        <v>252</v>
      </c>
      <c r="G9" s="18">
        <v>140.68</v>
      </c>
      <c r="H9" s="19">
        <f>F9-G9</f>
        <v>111.32</v>
      </c>
      <c r="I9" s="23">
        <f>(J$6-1)*$E$3*$E$4*$E$5*$E9</f>
        <v>756</v>
      </c>
      <c r="J9" s="18">
        <v>518.46</v>
      </c>
      <c r="K9" s="19">
        <f>I9-J9</f>
        <v>237.53999999999996</v>
      </c>
      <c r="L9" s="23">
        <f>(M$6-1)*$E$3*$E$4*$E$5*$E9</f>
        <v>798</v>
      </c>
      <c r="M9" s="18">
        <v>556.29999999999995</v>
      </c>
      <c r="N9" s="19">
        <f>L9-M9</f>
        <v>241.70000000000005</v>
      </c>
      <c r="O9" s="16"/>
      <c r="P9" s="3" t="s">
        <v>133</v>
      </c>
      <c r="R9" s="3"/>
      <c r="S9" s="3"/>
      <c r="T9" s="3"/>
    </row>
    <row r="10" spans="2:20" ht="13.5" customHeight="1" thickBot="1">
      <c r="B10" s="139"/>
      <c r="C10" s="140"/>
      <c r="D10" s="20" t="s">
        <v>15</v>
      </c>
      <c r="E10" s="51">
        <v>3</v>
      </c>
      <c r="F10" s="52">
        <f>(G$6-1)*$E$3*$E$4*$E$5*$E10</f>
        <v>252</v>
      </c>
      <c r="G10" s="53"/>
      <c r="H10" s="54"/>
      <c r="I10" s="52">
        <f>(J$6-1)*$E$3*$E$4*$E$5*$E10</f>
        <v>756</v>
      </c>
      <c r="J10" s="53"/>
      <c r="K10" s="54"/>
      <c r="L10" s="52">
        <f>(M$6-1)*$E$3*$E$4*$E$5*$E10</f>
        <v>798</v>
      </c>
      <c r="M10" s="53"/>
      <c r="N10" s="54"/>
      <c r="O10" s="16"/>
      <c r="P10" s="3" t="s">
        <v>134</v>
      </c>
      <c r="R10" s="3"/>
      <c r="S10" s="3"/>
      <c r="T10" s="3"/>
    </row>
    <row r="11" spans="2:20" ht="13.5" customHeight="1">
      <c r="B11" s="137" t="s">
        <v>9</v>
      </c>
      <c r="C11" s="138"/>
      <c r="D11" s="17" t="s">
        <v>47</v>
      </c>
      <c r="E11" s="97">
        <v>2</v>
      </c>
      <c r="F11" s="44">
        <f>G$6*$E$3*$E$4*$E$5*$E11</f>
        <v>196</v>
      </c>
      <c r="G11" s="38"/>
      <c r="H11" s="39">
        <f>F11-G11</f>
        <v>196</v>
      </c>
      <c r="I11" s="44">
        <f>J$6*$E$3*$E$4*$E$5*$E11</f>
        <v>532</v>
      </c>
      <c r="J11" s="38"/>
      <c r="K11" s="39">
        <f>I11-J11</f>
        <v>532</v>
      </c>
      <c r="L11" s="44">
        <f>M$6*$E$3*$E$4*$E$5*$E11</f>
        <v>560</v>
      </c>
      <c r="M11" s="38"/>
      <c r="N11" s="39"/>
      <c r="O11" s="16"/>
      <c r="P11" s="98" t="s">
        <v>135</v>
      </c>
      <c r="Q11" s="99"/>
      <c r="R11" s="100"/>
      <c r="S11" s="100"/>
      <c r="T11" s="101"/>
    </row>
    <row r="12" spans="2:20" ht="13.5" customHeight="1" thickBot="1">
      <c r="B12" s="159"/>
      <c r="C12" s="160"/>
      <c r="D12" s="94"/>
      <c r="E12" s="95"/>
      <c r="F12" s="46"/>
      <c r="G12" s="42"/>
      <c r="H12" s="43"/>
      <c r="I12" s="46"/>
      <c r="J12" s="42"/>
      <c r="K12" s="43"/>
      <c r="L12" s="46"/>
      <c r="M12" s="42"/>
      <c r="N12" s="43"/>
      <c r="O12" s="16"/>
      <c r="P12" s="104" t="s">
        <v>136</v>
      </c>
      <c r="Q12" s="102"/>
      <c r="R12" s="102"/>
      <c r="S12" s="102"/>
      <c r="T12" s="103"/>
    </row>
    <row r="13" spans="2:20" ht="13.5" customHeight="1">
      <c r="B13" s="49"/>
      <c r="C13" s="49"/>
      <c r="D13" s="32"/>
      <c r="E13" s="50"/>
      <c r="F13" s="16"/>
      <c r="G13" s="16"/>
      <c r="H13" s="16"/>
      <c r="I13" s="16"/>
      <c r="J13" s="16"/>
      <c r="K13" s="96">
        <f>K9/I9</f>
        <v>0.31420634920634916</v>
      </c>
      <c r="L13" s="16"/>
      <c r="M13" s="16"/>
      <c r="N13" s="96">
        <f>N9/L9</f>
        <v>0.30288220551378453</v>
      </c>
      <c r="O13" s="16"/>
    </row>
    <row r="14" spans="2:20" ht="13.5" customHeight="1">
      <c r="B14" s="49"/>
      <c r="C14" s="49"/>
      <c r="D14" s="32"/>
      <c r="E14" s="50"/>
      <c r="F14" s="16"/>
      <c r="G14" s="16"/>
      <c r="H14" s="16"/>
      <c r="I14" s="16"/>
      <c r="J14" s="16"/>
      <c r="K14" s="16"/>
      <c r="L14" s="16"/>
      <c r="M14" s="16"/>
      <c r="N14" s="16"/>
      <c r="O14" s="16"/>
      <c r="P14" s="3"/>
      <c r="Q14" s="3"/>
      <c r="R14" s="3"/>
      <c r="S14" s="3"/>
      <c r="T14" s="3"/>
    </row>
    <row r="15" spans="2:20" ht="13.5" customHeight="1" thickBot="1">
      <c r="B15" s="48"/>
      <c r="C15" s="48"/>
      <c r="D15" s="74" t="s">
        <v>26</v>
      </c>
      <c r="E15" s="75">
        <v>7</v>
      </c>
      <c r="F15" s="16"/>
      <c r="G15" s="16"/>
      <c r="H15" s="16"/>
      <c r="I15" s="16"/>
      <c r="J15" s="16"/>
      <c r="K15" s="16"/>
      <c r="L15" s="16"/>
      <c r="M15" s="16"/>
      <c r="N15" s="16"/>
      <c r="O15" s="16"/>
      <c r="P15" s="36"/>
      <c r="Q15" s="34"/>
      <c r="R15" s="35"/>
      <c r="S15" s="35"/>
      <c r="T15" s="35"/>
    </row>
    <row r="16" spans="2:20" ht="14.25" customHeight="1" thickBot="1">
      <c r="B16" s="55" t="s">
        <v>46</v>
      </c>
      <c r="C16" s="4"/>
      <c r="D16" s="79" t="s">
        <v>38</v>
      </c>
      <c r="E16" s="78">
        <v>0.92</v>
      </c>
      <c r="F16" s="161" t="s">
        <v>0</v>
      </c>
      <c r="G16" s="162"/>
      <c r="H16" s="163"/>
      <c r="I16" s="164" t="s">
        <v>1</v>
      </c>
      <c r="J16" s="165"/>
      <c r="K16" s="166"/>
      <c r="L16" s="164" t="s">
        <v>2</v>
      </c>
      <c r="M16" s="165"/>
      <c r="N16" s="166"/>
      <c r="O16" s="32"/>
      <c r="P16" s="3"/>
      <c r="R16" s="3"/>
      <c r="S16" s="3"/>
      <c r="T16" s="3"/>
    </row>
    <row r="17" spans="2:22" ht="14.25" thickBot="1">
      <c r="B17" s="141" t="s">
        <v>22</v>
      </c>
      <c r="C17" s="142"/>
      <c r="D17" s="143"/>
      <c r="E17" s="12"/>
      <c r="F17" s="25" t="s">
        <v>24</v>
      </c>
      <c r="G17" s="5">
        <v>7</v>
      </c>
      <c r="H17" s="6" t="s">
        <v>3</v>
      </c>
      <c r="I17" s="7" t="s">
        <v>19</v>
      </c>
      <c r="J17" s="8">
        <v>19</v>
      </c>
      <c r="K17" s="9" t="s">
        <v>3</v>
      </c>
      <c r="L17" s="7" t="s">
        <v>20</v>
      </c>
      <c r="M17" s="8">
        <v>20</v>
      </c>
      <c r="N17" s="9" t="s">
        <v>3</v>
      </c>
      <c r="O17" s="11"/>
      <c r="P17" s="3"/>
      <c r="Q17" s="3"/>
      <c r="R17" s="3"/>
      <c r="S17" s="3"/>
      <c r="T17" s="3"/>
    </row>
    <row r="18" spans="2:22" ht="13.5" customHeight="1" thickBot="1">
      <c r="B18" s="144"/>
      <c r="C18" s="145"/>
      <c r="D18" s="145"/>
      <c r="E18" s="148" t="s">
        <v>25</v>
      </c>
      <c r="F18" s="128" t="s">
        <v>4</v>
      </c>
      <c r="G18" s="150" t="s">
        <v>5</v>
      </c>
      <c r="H18" s="126" t="s">
        <v>6</v>
      </c>
      <c r="I18" s="128" t="s">
        <v>4</v>
      </c>
      <c r="J18" s="150" t="s">
        <v>5</v>
      </c>
      <c r="K18" s="152" t="s">
        <v>6</v>
      </c>
      <c r="L18" s="128" t="s">
        <v>4</v>
      </c>
      <c r="M18" s="150" t="s">
        <v>5</v>
      </c>
      <c r="N18" s="126" t="s">
        <v>6</v>
      </c>
      <c r="O18" s="32"/>
      <c r="P18" s="3"/>
      <c r="R18" s="3"/>
      <c r="S18" s="3"/>
      <c r="T18" s="3"/>
    </row>
    <row r="19" spans="2:22" ht="14.25" thickBot="1">
      <c r="B19" s="146"/>
      <c r="C19" s="147"/>
      <c r="D19" s="147"/>
      <c r="E19" s="149"/>
      <c r="F19" s="129"/>
      <c r="G19" s="151"/>
      <c r="H19" s="127"/>
      <c r="I19" s="129"/>
      <c r="J19" s="151"/>
      <c r="K19" s="127"/>
      <c r="L19" s="129"/>
      <c r="M19" s="151"/>
      <c r="N19" s="127"/>
      <c r="O19" s="32"/>
      <c r="P19" s="80" t="s">
        <v>34</v>
      </c>
      <c r="Q19" s="81" t="s">
        <v>35</v>
      </c>
      <c r="R19" s="82" t="s">
        <v>33</v>
      </c>
      <c r="S19" s="3"/>
      <c r="T19" s="3"/>
    </row>
    <row r="20" spans="2:22" ht="13.5" customHeight="1">
      <c r="B20" s="153" t="s">
        <v>21</v>
      </c>
      <c r="C20" s="154"/>
      <c r="D20" s="17" t="s">
        <v>10</v>
      </c>
      <c r="E20" s="26">
        <v>5.5</v>
      </c>
      <c r="F20" s="23">
        <f>$E$15*$E20*6*$E$3</f>
        <v>1617</v>
      </c>
      <c r="G20" s="18">
        <f>7980/60</f>
        <v>133</v>
      </c>
      <c r="H20" s="19">
        <f>F20-G20</f>
        <v>1484</v>
      </c>
      <c r="I20" s="23">
        <f>$E$15*$E20*J$17*$E$16</f>
        <v>672.98</v>
      </c>
      <c r="J20" s="18">
        <f>28314/60</f>
        <v>471.9</v>
      </c>
      <c r="K20" s="19">
        <f>I20-J20</f>
        <v>201.08000000000004</v>
      </c>
      <c r="L20" s="23">
        <f>$E$15*$E20*M$17*$E$16</f>
        <v>708.4</v>
      </c>
      <c r="M20" s="18">
        <f>28885/60</f>
        <v>481.41666666666669</v>
      </c>
      <c r="N20" s="19">
        <f>L20-M20</f>
        <v>226.98333333333329</v>
      </c>
      <c r="O20" s="16"/>
      <c r="P20" s="83" t="s">
        <v>28</v>
      </c>
      <c r="Q20" s="84" t="s">
        <v>118</v>
      </c>
      <c r="R20" s="85" t="s">
        <v>31</v>
      </c>
      <c r="S20" s="35"/>
      <c r="T20" s="35"/>
      <c r="V20" s="10"/>
    </row>
    <row r="21" spans="2:22" ht="13.5" customHeight="1">
      <c r="B21" s="155"/>
      <c r="C21" s="156"/>
      <c r="D21" s="20" t="s">
        <v>27</v>
      </c>
      <c r="E21" s="27">
        <v>3.5</v>
      </c>
      <c r="F21" s="47">
        <f>$E$15*$E21*6*$E$3</f>
        <v>1029</v>
      </c>
      <c r="G21" s="33">
        <f>F21</f>
        <v>1029</v>
      </c>
      <c r="H21" s="22">
        <f>F21-G21</f>
        <v>0</v>
      </c>
      <c r="I21" s="24">
        <f>$E$15*$E21*J$17*$E$16</f>
        <v>428.26</v>
      </c>
      <c r="J21" s="33">
        <f>I21</f>
        <v>428.26</v>
      </c>
      <c r="K21" s="22">
        <f>I21-J21</f>
        <v>0</v>
      </c>
      <c r="L21" s="24">
        <f>$E$15*$E21*M$17*$E$16</f>
        <v>450.8</v>
      </c>
      <c r="M21" s="33">
        <f>L21</f>
        <v>450.8</v>
      </c>
      <c r="N21" s="22">
        <f>L21-M21</f>
        <v>0</v>
      </c>
      <c r="O21" s="16"/>
      <c r="P21" s="86" t="s">
        <v>29</v>
      </c>
      <c r="Q21" s="87" t="s">
        <v>119</v>
      </c>
      <c r="R21" s="88" t="s">
        <v>32</v>
      </c>
      <c r="S21" s="35"/>
      <c r="T21" s="35"/>
      <c r="V21" s="10"/>
    </row>
    <row r="22" spans="2:22" ht="13.5" customHeight="1" thickBot="1">
      <c r="B22" s="157"/>
      <c r="C22" s="158"/>
      <c r="D22" s="106" t="s">
        <v>7</v>
      </c>
      <c r="E22" s="107">
        <f t="shared" ref="E22:N22" si="0">SUM(E20:E21)</f>
        <v>9</v>
      </c>
      <c r="F22" s="108">
        <f t="shared" si="0"/>
        <v>2646</v>
      </c>
      <c r="G22" s="109">
        <f t="shared" si="0"/>
        <v>1162</v>
      </c>
      <c r="H22" s="110">
        <f t="shared" si="0"/>
        <v>1484</v>
      </c>
      <c r="I22" s="108">
        <f t="shared" si="0"/>
        <v>1101.24</v>
      </c>
      <c r="J22" s="109">
        <f t="shared" si="0"/>
        <v>900.16</v>
      </c>
      <c r="K22" s="110">
        <f t="shared" si="0"/>
        <v>201.08000000000004</v>
      </c>
      <c r="L22" s="108">
        <f t="shared" si="0"/>
        <v>1159.2</v>
      </c>
      <c r="M22" s="109">
        <f t="shared" si="0"/>
        <v>932.2166666666667</v>
      </c>
      <c r="N22" s="110">
        <f t="shared" si="0"/>
        <v>226.98333333333329</v>
      </c>
      <c r="O22" s="16"/>
      <c r="P22" s="89" t="s">
        <v>30</v>
      </c>
      <c r="Q22" s="90" t="s">
        <v>120</v>
      </c>
      <c r="R22" s="91" t="s">
        <v>41</v>
      </c>
      <c r="S22" s="35"/>
      <c r="T22" s="35"/>
    </row>
    <row r="23" spans="2:22" ht="13.5" customHeight="1">
      <c r="B23" s="137" t="s">
        <v>49</v>
      </c>
      <c r="C23" s="138"/>
      <c r="D23" s="17" t="s">
        <v>50</v>
      </c>
      <c r="E23" s="26">
        <v>14</v>
      </c>
      <c r="F23" s="23">
        <f>$E$15*$E23*G$17*$E$16</f>
        <v>631.12</v>
      </c>
      <c r="G23" s="56">
        <f t="shared" ref="G23:G24" si="1">F23</f>
        <v>631.12</v>
      </c>
      <c r="H23" s="19">
        <f t="shared" ref="H23:H24" si="2">F23-G23</f>
        <v>0</v>
      </c>
      <c r="I23" s="23">
        <f t="shared" ref="I23:I24" si="3">$E$15*$E23*J$17*$E$16</f>
        <v>1713.04</v>
      </c>
      <c r="J23" s="56">
        <f t="shared" ref="J23:J24" si="4">I23</f>
        <v>1713.04</v>
      </c>
      <c r="K23" s="19">
        <f t="shared" ref="K23:K24" si="5">I23-J23</f>
        <v>0</v>
      </c>
      <c r="L23" s="23">
        <f t="shared" ref="L23:L24" si="6">$E$15*$E23*M$17*$E$16</f>
        <v>1803.2</v>
      </c>
      <c r="M23" s="56">
        <f t="shared" ref="M23:M24" si="7">L23</f>
        <v>1803.2</v>
      </c>
      <c r="N23" s="19">
        <f t="shared" ref="N23:N24" si="8">L23-M23</f>
        <v>0</v>
      </c>
      <c r="O23" s="16"/>
      <c r="P23" s="170" t="s">
        <v>102</v>
      </c>
      <c r="Q23" s="171"/>
      <c r="R23" s="172"/>
      <c r="S23" s="35"/>
      <c r="T23" s="35"/>
    </row>
    <row r="24" spans="2:22" ht="13.5" customHeight="1">
      <c r="B24" s="139"/>
      <c r="C24" s="140"/>
      <c r="D24" s="20" t="s">
        <v>51</v>
      </c>
      <c r="E24" s="27">
        <v>8</v>
      </c>
      <c r="F24" s="24">
        <f t="shared" ref="F24" si="9">$E$15*$E24*G$17*$E$16</f>
        <v>360.64000000000004</v>
      </c>
      <c r="G24" s="33">
        <f t="shared" si="1"/>
        <v>360.64000000000004</v>
      </c>
      <c r="H24" s="22">
        <f t="shared" si="2"/>
        <v>0</v>
      </c>
      <c r="I24" s="24">
        <f t="shared" si="3"/>
        <v>978.88</v>
      </c>
      <c r="J24" s="33">
        <f t="shared" si="4"/>
        <v>978.88</v>
      </c>
      <c r="K24" s="22">
        <f t="shared" si="5"/>
        <v>0</v>
      </c>
      <c r="L24" s="24">
        <f t="shared" si="6"/>
        <v>1030.4000000000001</v>
      </c>
      <c r="M24" s="33">
        <f t="shared" si="7"/>
        <v>1030.4000000000001</v>
      </c>
      <c r="N24" s="22">
        <f t="shared" si="8"/>
        <v>0</v>
      </c>
      <c r="O24" s="16"/>
      <c r="P24" s="173"/>
      <c r="Q24" s="174"/>
      <c r="R24" s="175"/>
      <c r="S24" s="35"/>
      <c r="T24" s="35"/>
    </row>
    <row r="25" spans="2:22" ht="13.5" customHeight="1" thickBot="1">
      <c r="B25" s="159"/>
      <c r="C25" s="160"/>
      <c r="D25" s="106" t="s">
        <v>16</v>
      </c>
      <c r="E25" s="107">
        <f>SUM(E23:E24)</f>
        <v>22</v>
      </c>
      <c r="F25" s="108">
        <f t="shared" ref="F25:N25" si="10">SUM(F23:F24)</f>
        <v>991.76</v>
      </c>
      <c r="G25" s="109">
        <f t="shared" si="10"/>
        <v>991.76</v>
      </c>
      <c r="H25" s="110">
        <f t="shared" si="10"/>
        <v>0</v>
      </c>
      <c r="I25" s="108">
        <f t="shared" si="10"/>
        <v>2691.92</v>
      </c>
      <c r="J25" s="109">
        <f t="shared" si="10"/>
        <v>2691.92</v>
      </c>
      <c r="K25" s="110">
        <f t="shared" si="10"/>
        <v>0</v>
      </c>
      <c r="L25" s="108">
        <f t="shared" si="10"/>
        <v>2833.6000000000004</v>
      </c>
      <c r="M25" s="109">
        <f t="shared" si="10"/>
        <v>2833.6000000000004</v>
      </c>
      <c r="N25" s="110">
        <f t="shared" si="10"/>
        <v>0</v>
      </c>
      <c r="O25" s="16"/>
      <c r="P25" s="176"/>
      <c r="Q25" s="177"/>
      <c r="R25" s="178"/>
      <c r="S25" s="35"/>
      <c r="T25" s="35"/>
    </row>
    <row r="26" spans="2:22" ht="13.5" customHeight="1">
      <c r="B26" s="137" t="s">
        <v>11</v>
      </c>
      <c r="C26" s="138"/>
      <c r="D26" s="17" t="s">
        <v>37</v>
      </c>
      <c r="E26" s="26">
        <v>21</v>
      </c>
      <c r="F26" s="23">
        <f>$E$15*$E26*G$17*$E$16</f>
        <v>946.68000000000006</v>
      </c>
      <c r="G26" s="18">
        <v>847.68079999999975</v>
      </c>
      <c r="H26" s="19">
        <f>F26-G26</f>
        <v>98.999200000000315</v>
      </c>
      <c r="I26" s="23">
        <f>$E$15*$E26*J$17*$E$16</f>
        <v>2569.56</v>
      </c>
      <c r="J26" s="18">
        <v>2097.1795000000006</v>
      </c>
      <c r="K26" s="19">
        <f>I26-J26</f>
        <v>472.3804999999993</v>
      </c>
      <c r="L26" s="23">
        <f>$E$15*$E26*M$17*$E$16</f>
        <v>2704.8</v>
      </c>
      <c r="M26" s="18">
        <v>2193.5383000000002</v>
      </c>
      <c r="N26" s="19">
        <f>L26-M26</f>
        <v>511.26170000000002</v>
      </c>
      <c r="O26" s="16"/>
      <c r="P26" s="83" t="s">
        <v>28</v>
      </c>
      <c r="Q26" s="92" t="s">
        <v>39</v>
      </c>
      <c r="R26" s="179" t="s">
        <v>117</v>
      </c>
      <c r="S26" s="3"/>
      <c r="T26" s="3"/>
    </row>
    <row r="27" spans="2:22" ht="13.5" customHeight="1">
      <c r="B27" s="139"/>
      <c r="C27" s="140"/>
      <c r="D27" s="20" t="s">
        <v>17</v>
      </c>
      <c r="E27" s="27">
        <v>18</v>
      </c>
      <c r="F27" s="24">
        <f>$E$15*$E27*G$17*$E$16</f>
        <v>811.44</v>
      </c>
      <c r="G27" s="21">
        <v>965.78500000000099</v>
      </c>
      <c r="H27" s="22">
        <f>F27-G27</f>
        <v>-154.34500000000094</v>
      </c>
      <c r="I27" s="24">
        <f>$E$15*$E27*J$17*$E$16</f>
        <v>2202.48</v>
      </c>
      <c r="J27" s="21">
        <v>2460.0622999999978</v>
      </c>
      <c r="K27" s="22">
        <f>I27-J27</f>
        <v>-257.58229999999776</v>
      </c>
      <c r="L27" s="24">
        <f>$E$15*$E27*M$17*$E$16</f>
        <v>2318.4</v>
      </c>
      <c r="M27" s="21">
        <v>2248.179733333332</v>
      </c>
      <c r="N27" s="22">
        <f>L27-M27</f>
        <v>70.220266666668067</v>
      </c>
      <c r="O27" s="16"/>
      <c r="P27" s="86" t="s">
        <v>29</v>
      </c>
      <c r="Q27" s="87" t="s">
        <v>120</v>
      </c>
      <c r="R27" s="180"/>
      <c r="S27" s="3"/>
      <c r="T27" s="3"/>
    </row>
    <row r="28" spans="2:22" ht="14.25" thickBot="1">
      <c r="B28" s="159"/>
      <c r="C28" s="160"/>
      <c r="D28" s="106" t="s">
        <v>7</v>
      </c>
      <c r="E28" s="107">
        <f t="shared" ref="E28:N28" si="11">SUM(E26:E27)</f>
        <v>39</v>
      </c>
      <c r="F28" s="108">
        <f t="shared" si="11"/>
        <v>1758.1200000000001</v>
      </c>
      <c r="G28" s="109">
        <f t="shared" si="11"/>
        <v>1813.4658000000009</v>
      </c>
      <c r="H28" s="110">
        <f t="shared" si="11"/>
        <v>-55.345800000000622</v>
      </c>
      <c r="I28" s="108">
        <f t="shared" si="11"/>
        <v>4772.04</v>
      </c>
      <c r="J28" s="109">
        <f t="shared" si="11"/>
        <v>4557.241799999998</v>
      </c>
      <c r="K28" s="110">
        <f t="shared" si="11"/>
        <v>214.79820000000154</v>
      </c>
      <c r="L28" s="108">
        <f t="shared" si="11"/>
        <v>5023.2000000000007</v>
      </c>
      <c r="M28" s="109">
        <f t="shared" si="11"/>
        <v>4441.7180333333326</v>
      </c>
      <c r="N28" s="110">
        <f t="shared" si="11"/>
        <v>581.48196666666809</v>
      </c>
      <c r="O28" s="16"/>
      <c r="P28" s="89" t="s">
        <v>30</v>
      </c>
      <c r="Q28" s="93" t="s">
        <v>121</v>
      </c>
      <c r="R28" s="181"/>
      <c r="S28" s="3"/>
      <c r="T28" s="3"/>
    </row>
    <row r="29" spans="2:22" ht="12.75" customHeight="1">
      <c r="B29" s="182" t="s">
        <v>12</v>
      </c>
      <c r="C29" s="183"/>
      <c r="D29" s="17" t="s">
        <v>13</v>
      </c>
      <c r="E29" s="26">
        <v>30</v>
      </c>
      <c r="F29" s="44">
        <v>0</v>
      </c>
      <c r="G29" s="38"/>
      <c r="H29" s="39"/>
      <c r="I29" s="23">
        <f>$E$15*$E29*J$17*$E$16</f>
        <v>3670.8</v>
      </c>
      <c r="J29" s="18">
        <v>3658.22</v>
      </c>
      <c r="K29" s="19">
        <f>I29-J29</f>
        <v>12.580000000000382</v>
      </c>
      <c r="L29" s="23">
        <f>$E$15*$E29*M$17*$E$16</f>
        <v>3864</v>
      </c>
      <c r="M29" s="18">
        <v>3443.74</v>
      </c>
      <c r="N29" s="19">
        <f>L29-M29</f>
        <v>420.26000000000022</v>
      </c>
      <c r="O29" s="16"/>
      <c r="P29" s="83" t="s">
        <v>28</v>
      </c>
      <c r="Q29" s="84" t="s">
        <v>40</v>
      </c>
      <c r="R29" s="186" t="s">
        <v>123</v>
      </c>
      <c r="S29" s="3"/>
      <c r="T29" s="3"/>
    </row>
    <row r="30" spans="2:22" ht="12.75" customHeight="1">
      <c r="B30" s="139"/>
      <c r="C30" s="140"/>
      <c r="D30" s="13" t="s">
        <v>36</v>
      </c>
      <c r="E30" s="37">
        <v>2</v>
      </c>
      <c r="F30" s="45">
        <v>0</v>
      </c>
      <c r="G30" s="40"/>
      <c r="H30" s="41"/>
      <c r="I30" s="15">
        <f>$E$15*$E30*J$17*$E$16</f>
        <v>244.72</v>
      </c>
      <c r="J30" s="33">
        <f>I30</f>
        <v>244.72</v>
      </c>
      <c r="K30" s="14">
        <f>I30-J30</f>
        <v>0</v>
      </c>
      <c r="L30" s="15">
        <f>$E$15*$E30*M$17*$E$16</f>
        <v>257.60000000000002</v>
      </c>
      <c r="M30" s="33">
        <f>L30</f>
        <v>257.60000000000002</v>
      </c>
      <c r="N30" s="14">
        <f>L30-M30</f>
        <v>0</v>
      </c>
      <c r="O30" s="16"/>
      <c r="P30" s="86" t="s">
        <v>29</v>
      </c>
      <c r="Q30" s="87" t="s">
        <v>43</v>
      </c>
      <c r="R30" s="187"/>
      <c r="S30" s="3"/>
      <c r="T30" s="3"/>
    </row>
    <row r="31" spans="2:22" ht="12.75" customHeight="1" thickBot="1">
      <c r="B31" s="184"/>
      <c r="C31" s="185"/>
      <c r="D31" s="106" t="s">
        <v>7</v>
      </c>
      <c r="E31" s="107">
        <f>E29</f>
        <v>30</v>
      </c>
      <c r="F31" s="108">
        <f t="shared" ref="F31:N31" si="12">SUM(F29:F30)</f>
        <v>0</v>
      </c>
      <c r="G31" s="109">
        <f t="shared" si="12"/>
        <v>0</v>
      </c>
      <c r="H31" s="110">
        <f t="shared" si="12"/>
        <v>0</v>
      </c>
      <c r="I31" s="108">
        <f t="shared" si="12"/>
        <v>3915.52</v>
      </c>
      <c r="J31" s="109">
        <f t="shared" si="12"/>
        <v>3902.9399999999996</v>
      </c>
      <c r="K31" s="110">
        <f t="shared" si="12"/>
        <v>12.580000000000382</v>
      </c>
      <c r="L31" s="108">
        <f t="shared" si="12"/>
        <v>4121.6000000000004</v>
      </c>
      <c r="M31" s="109">
        <f t="shared" si="12"/>
        <v>3701.3399999999997</v>
      </c>
      <c r="N31" s="110">
        <f t="shared" si="12"/>
        <v>420.26000000000022</v>
      </c>
      <c r="O31" s="16"/>
      <c r="P31" s="89" t="s">
        <v>30</v>
      </c>
      <c r="Q31" s="93" t="s">
        <v>122</v>
      </c>
      <c r="R31" s="188"/>
      <c r="S31" s="3"/>
      <c r="T31" s="3"/>
    </row>
    <row r="32" spans="2:22" ht="17.25" customHeight="1" thickBot="1">
      <c r="B32" s="167" t="s">
        <v>18</v>
      </c>
      <c r="C32" s="168"/>
      <c r="D32" s="169"/>
      <c r="E32" s="28">
        <f>E22+E25+E28+E31</f>
        <v>100</v>
      </c>
      <c r="F32" s="29">
        <f t="shared" ref="F32:N32" si="13">F22+F25+F28+F31</f>
        <v>5395.88</v>
      </c>
      <c r="G32" s="30">
        <f t="shared" si="13"/>
        <v>3967.2258000000011</v>
      </c>
      <c r="H32" s="31">
        <f t="shared" si="13"/>
        <v>1428.6541999999995</v>
      </c>
      <c r="I32" s="29">
        <f t="shared" si="13"/>
        <v>12480.720000000001</v>
      </c>
      <c r="J32" s="30">
        <f t="shared" si="13"/>
        <v>12052.261799999997</v>
      </c>
      <c r="K32" s="31">
        <f t="shared" si="13"/>
        <v>428.45820000000197</v>
      </c>
      <c r="L32" s="29">
        <f t="shared" si="13"/>
        <v>13137.6</v>
      </c>
      <c r="M32" s="30">
        <f t="shared" si="13"/>
        <v>11908.8747</v>
      </c>
      <c r="N32" s="31">
        <f t="shared" si="13"/>
        <v>1228.7253000000017</v>
      </c>
      <c r="O32" s="16"/>
      <c r="P32" s="3"/>
      <c r="Q32" s="3" t="s">
        <v>116</v>
      </c>
      <c r="R32" s="3"/>
      <c r="S32" s="3"/>
      <c r="T32" s="3"/>
    </row>
  </sheetData>
  <mergeCells count="41">
    <mergeCell ref="B32:D32"/>
    <mergeCell ref="R26:R28"/>
    <mergeCell ref="R29:R31"/>
    <mergeCell ref="F5:H5"/>
    <mergeCell ref="I5:K5"/>
    <mergeCell ref="B6:D8"/>
    <mergeCell ref="H7:H8"/>
    <mergeCell ref="I7:I8"/>
    <mergeCell ref="J7:J8"/>
    <mergeCell ref="K7:K8"/>
    <mergeCell ref="F7:F8"/>
    <mergeCell ref="G7:G8"/>
    <mergeCell ref="N18:N19"/>
    <mergeCell ref="B9:C10"/>
    <mergeCell ref="B26:C28"/>
    <mergeCell ref="B29:C31"/>
    <mergeCell ref="L18:L19"/>
    <mergeCell ref="M18:M19"/>
    <mergeCell ref="M1:N1"/>
    <mergeCell ref="Q1:R1"/>
    <mergeCell ref="S1:T1"/>
    <mergeCell ref="L5:N5"/>
    <mergeCell ref="N7:N8"/>
    <mergeCell ref="L7:L8"/>
    <mergeCell ref="M7:M8"/>
    <mergeCell ref="E7:E8"/>
    <mergeCell ref="B20:C22"/>
    <mergeCell ref="B11:C12"/>
    <mergeCell ref="B23:C25"/>
    <mergeCell ref="P23:R25"/>
    <mergeCell ref="F16:H16"/>
    <mergeCell ref="I16:K16"/>
    <mergeCell ref="L16:N16"/>
    <mergeCell ref="B17:D19"/>
    <mergeCell ref="E18:E19"/>
    <mergeCell ref="F18:F19"/>
    <mergeCell ref="G18:G19"/>
    <mergeCell ref="H18:H19"/>
    <mergeCell ref="I18:I19"/>
    <mergeCell ref="J18:J19"/>
    <mergeCell ref="K18:K19"/>
  </mergeCells>
  <phoneticPr fontId="5"/>
  <pageMargins left="0" right="0" top="0.74803149606299213" bottom="0.74803149606299213" header="0.31496062992125984" footer="0.31496062992125984"/>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61188-E2AE-4E12-B2C0-87A1A2891E53}">
  <dimension ref="A1:O25"/>
  <sheetViews>
    <sheetView zoomScale="48" zoomScaleNormal="48" workbookViewId="0">
      <selection activeCell="K27" sqref="K27"/>
    </sheetView>
  </sheetViews>
  <sheetFormatPr defaultColWidth="10" defaultRowHeight="24.75"/>
  <cols>
    <col min="1" max="1" width="2.875" style="59" customWidth="1"/>
    <col min="2" max="2" width="6.25" style="58" customWidth="1"/>
    <col min="3" max="4" width="24" style="59" customWidth="1"/>
    <col min="5" max="7" width="24" style="60" customWidth="1"/>
    <col min="8" max="10" width="24" style="59" customWidth="1"/>
    <col min="11" max="13" width="24" style="60" customWidth="1"/>
    <col min="14" max="15" width="24" style="59" customWidth="1"/>
    <col min="16" max="16" width="22.875" style="59" customWidth="1"/>
    <col min="17" max="16384" width="10" style="59"/>
  </cols>
  <sheetData>
    <row r="1" spans="1:15" ht="28.5">
      <c r="A1" s="57" t="s">
        <v>52</v>
      </c>
    </row>
    <row r="2" spans="1:15">
      <c r="B2" s="58" t="s">
        <v>53</v>
      </c>
      <c r="K2" s="59"/>
      <c r="L2" s="59"/>
      <c r="M2" s="59"/>
    </row>
    <row r="3" spans="1:15">
      <c r="C3" s="195" t="s">
        <v>54</v>
      </c>
      <c r="D3" s="196"/>
      <c r="E3" s="196"/>
      <c r="F3" s="196"/>
      <c r="G3" s="196"/>
      <c r="H3" s="196"/>
      <c r="I3" s="196"/>
      <c r="J3" s="197"/>
      <c r="K3" s="194" t="s">
        <v>55</v>
      </c>
      <c r="L3" s="194"/>
      <c r="M3" s="194"/>
      <c r="N3" s="194"/>
      <c r="O3" s="194"/>
    </row>
    <row r="4" spans="1:15">
      <c r="C4" s="189" t="s">
        <v>56</v>
      </c>
      <c r="D4" s="189" t="s">
        <v>57</v>
      </c>
      <c r="E4" s="62"/>
      <c r="F4" s="62"/>
      <c r="G4" s="62"/>
      <c r="H4" s="191" t="s">
        <v>58</v>
      </c>
      <c r="I4" s="192"/>
      <c r="J4" s="193"/>
      <c r="K4" s="189" t="s">
        <v>56</v>
      </c>
      <c r="L4" s="61" t="s">
        <v>57</v>
      </c>
      <c r="M4" s="61" t="s">
        <v>59</v>
      </c>
      <c r="N4" s="61" t="s">
        <v>59</v>
      </c>
      <c r="O4" s="61" t="s">
        <v>59</v>
      </c>
    </row>
    <row r="5" spans="1:15" ht="49.5">
      <c r="C5" s="190"/>
      <c r="D5" s="190"/>
      <c r="E5" s="61" t="s">
        <v>60</v>
      </c>
      <c r="F5" s="64" t="s">
        <v>61</v>
      </c>
      <c r="G5" s="61" t="s">
        <v>62</v>
      </c>
      <c r="H5" s="65" t="s">
        <v>63</v>
      </c>
      <c r="I5" s="65" t="s">
        <v>64</v>
      </c>
      <c r="J5" s="65" t="s">
        <v>65</v>
      </c>
      <c r="K5" s="190"/>
      <c r="L5" s="64" t="s">
        <v>66</v>
      </c>
      <c r="M5" s="61" t="s">
        <v>67</v>
      </c>
      <c r="N5" s="61" t="s">
        <v>68</v>
      </c>
      <c r="O5" s="64" t="s">
        <v>69</v>
      </c>
    </row>
    <row r="6" spans="1:15">
      <c r="C6" s="64" t="s">
        <v>70</v>
      </c>
      <c r="D6" s="66" t="s">
        <v>71</v>
      </c>
      <c r="E6" s="64" t="s">
        <v>72</v>
      </c>
      <c r="F6" s="64" t="s">
        <v>73</v>
      </c>
      <c r="G6" s="64" t="s">
        <v>74</v>
      </c>
      <c r="H6" s="67" t="s">
        <v>75</v>
      </c>
      <c r="I6" s="67" t="s">
        <v>76</v>
      </c>
      <c r="J6" s="67" t="s">
        <v>77</v>
      </c>
      <c r="K6" s="66" t="s">
        <v>78</v>
      </c>
      <c r="L6" s="68" t="s">
        <v>79</v>
      </c>
      <c r="M6" s="66" t="s">
        <v>80</v>
      </c>
      <c r="N6" s="68" t="s">
        <v>81</v>
      </c>
      <c r="O6" s="68" t="s">
        <v>82</v>
      </c>
    </row>
    <row r="7" spans="1:15">
      <c r="H7" s="60"/>
      <c r="I7" s="60"/>
      <c r="J7" s="60"/>
      <c r="K7" s="63"/>
      <c r="L7" s="69"/>
      <c r="M7" s="69"/>
      <c r="N7" s="69"/>
      <c r="O7" s="69"/>
    </row>
    <row r="8" spans="1:15">
      <c r="B8" s="58" t="s">
        <v>83</v>
      </c>
      <c r="H8" s="60"/>
      <c r="I8" s="60"/>
      <c r="J8" s="60"/>
      <c r="K8" s="70"/>
      <c r="L8" s="71"/>
      <c r="M8" s="71"/>
      <c r="N8" s="71"/>
      <c r="O8" s="71"/>
    </row>
    <row r="9" spans="1:15">
      <c r="B9" s="59"/>
      <c r="C9" s="195" t="s">
        <v>54</v>
      </c>
      <c r="D9" s="196"/>
      <c r="E9" s="196"/>
      <c r="F9" s="196"/>
      <c r="G9" s="196"/>
      <c r="H9" s="196"/>
      <c r="I9" s="196"/>
      <c r="J9" s="197"/>
      <c r="K9" s="194" t="s">
        <v>55</v>
      </c>
      <c r="L9" s="194"/>
      <c r="M9" s="194"/>
      <c r="N9" s="194"/>
      <c r="O9" s="194"/>
    </row>
    <row r="10" spans="1:15">
      <c r="C10" s="189" t="s">
        <v>56</v>
      </c>
      <c r="D10" s="189" t="s">
        <v>57</v>
      </c>
      <c r="E10" s="62"/>
      <c r="F10" s="62"/>
      <c r="G10" s="61"/>
      <c r="H10" s="191" t="s">
        <v>58</v>
      </c>
      <c r="I10" s="192"/>
      <c r="J10" s="193"/>
      <c r="K10" s="189" t="s">
        <v>56</v>
      </c>
      <c r="L10" s="61"/>
      <c r="M10" s="61"/>
      <c r="N10" s="61" t="s">
        <v>57</v>
      </c>
      <c r="O10" s="61"/>
    </row>
    <row r="11" spans="1:15" ht="49.5">
      <c r="C11" s="190"/>
      <c r="D11" s="190"/>
      <c r="E11" s="61" t="s">
        <v>60</v>
      </c>
      <c r="F11" s="64" t="s">
        <v>61</v>
      </c>
      <c r="G11" s="61" t="s">
        <v>62</v>
      </c>
      <c r="H11" s="65" t="s">
        <v>63</v>
      </c>
      <c r="I11" s="65" t="s">
        <v>64</v>
      </c>
      <c r="J11" s="65" t="s">
        <v>65</v>
      </c>
      <c r="K11" s="190"/>
      <c r="L11" s="64" t="s">
        <v>66</v>
      </c>
      <c r="M11" s="61" t="s">
        <v>67</v>
      </c>
      <c r="N11" s="61" t="s">
        <v>68</v>
      </c>
      <c r="O11" s="64" t="s">
        <v>69</v>
      </c>
    </row>
    <row r="12" spans="1:15">
      <c r="C12" s="64" t="s">
        <v>70</v>
      </c>
      <c r="D12" s="66" t="s">
        <v>84</v>
      </c>
      <c r="E12" s="64" t="s">
        <v>85</v>
      </c>
      <c r="F12" s="64" t="s">
        <v>86</v>
      </c>
      <c r="G12" s="64" t="s">
        <v>87</v>
      </c>
      <c r="H12" s="67" t="s">
        <v>88</v>
      </c>
      <c r="I12" s="67" t="s">
        <v>89</v>
      </c>
      <c r="J12" s="66" t="s">
        <v>90</v>
      </c>
      <c r="K12" s="66" t="s">
        <v>78</v>
      </c>
      <c r="L12" s="64" t="s">
        <v>91</v>
      </c>
      <c r="M12" s="66" t="s">
        <v>92</v>
      </c>
      <c r="N12" s="64" t="s">
        <v>93</v>
      </c>
      <c r="O12" s="64" t="s">
        <v>94</v>
      </c>
    </row>
    <row r="13" spans="1:15">
      <c r="H13" s="72"/>
      <c r="I13" s="72"/>
      <c r="J13" s="72"/>
      <c r="L13" s="59"/>
      <c r="M13" s="59"/>
    </row>
    <row r="14" spans="1:15">
      <c r="H14" s="73"/>
      <c r="I14" s="73"/>
      <c r="J14" s="73"/>
    </row>
    <row r="15" spans="1:15">
      <c r="C15" s="61" t="s">
        <v>95</v>
      </c>
      <c r="D15" s="61" t="s">
        <v>96</v>
      </c>
      <c r="F15" s="59"/>
      <c r="L15" s="59"/>
      <c r="M15" s="59"/>
    </row>
    <row r="16" spans="1:15">
      <c r="C16" s="194" t="s">
        <v>97</v>
      </c>
      <c r="D16" s="61" t="s">
        <v>98</v>
      </c>
      <c r="H16" s="60"/>
      <c r="I16" s="60"/>
      <c r="J16" s="60"/>
      <c r="L16" s="59"/>
      <c r="M16" s="59"/>
    </row>
    <row r="17" spans="1:15">
      <c r="C17" s="194"/>
      <c r="D17" s="194" t="s">
        <v>99</v>
      </c>
      <c r="O17" s="73"/>
    </row>
    <row r="18" spans="1:15">
      <c r="C18" s="61" t="s">
        <v>100</v>
      </c>
      <c r="D18" s="194"/>
      <c r="K18" s="59"/>
    </row>
    <row r="21" spans="1:15" ht="28.5">
      <c r="A21" s="57"/>
    </row>
    <row r="25" spans="1:15">
      <c r="N25" s="59" t="s">
        <v>101</v>
      </c>
    </row>
  </sheetData>
  <mergeCells count="14">
    <mergeCell ref="C9:J9"/>
    <mergeCell ref="K9:O9"/>
    <mergeCell ref="C3:J3"/>
    <mergeCell ref="K3:O3"/>
    <mergeCell ref="C4:C5"/>
    <mergeCell ref="D4:D5"/>
    <mergeCell ref="H4:J4"/>
    <mergeCell ref="K4:K5"/>
    <mergeCell ref="C10:C11"/>
    <mergeCell ref="D10:D11"/>
    <mergeCell ref="H10:J10"/>
    <mergeCell ref="K10:K11"/>
    <mergeCell ref="C16:C17"/>
    <mergeCell ref="D17:D18"/>
  </mergeCells>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3907-BC4F-44C6-9D02-D08A88ABFBEB}">
  <sheetPr codeName="Sheet_Cal"/>
  <dimension ref="A1:M71"/>
  <sheetViews>
    <sheetView zoomScale="85" zoomScaleNormal="85" workbookViewId="0">
      <pane xSplit="1" ySplit="1" topLeftCell="C2" activePane="bottomRight" state="frozen"/>
      <selection pane="topRight" activeCell="B1" sqref="B1"/>
      <selection pane="bottomLeft" activeCell="A2" sqref="A2"/>
      <selection pane="bottomRight" activeCell="M23" sqref="M23"/>
    </sheetView>
  </sheetViews>
  <sheetFormatPr defaultRowHeight="13.5"/>
  <cols>
    <col min="1" max="1" width="13" style="118" bestFit="1" customWidth="1"/>
    <col min="2" max="2" width="40.375" style="119" bestFit="1" customWidth="1"/>
    <col min="3" max="3" width="23.375" style="119" customWidth="1"/>
    <col min="4" max="4" width="12.25" style="119" bestFit="1" customWidth="1"/>
    <col min="5" max="5" width="12.25" style="119" customWidth="1"/>
    <col min="6" max="6" width="11.75" style="120" customWidth="1"/>
    <col min="7" max="7" width="12.75" style="120" bestFit="1" customWidth="1"/>
    <col min="8" max="9" width="12.75" style="121" bestFit="1" customWidth="1"/>
    <col min="10" max="10" width="12.75" style="122" bestFit="1" customWidth="1"/>
    <col min="11" max="11" width="10.625" style="123" customWidth="1"/>
    <col min="12" max="16384" width="9" style="124"/>
  </cols>
  <sheetData>
    <row r="1" spans="1:13">
      <c r="A1" s="118" t="s">
        <v>103</v>
      </c>
      <c r="B1" s="119" t="s">
        <v>104</v>
      </c>
      <c r="C1" s="119" t="s">
        <v>105</v>
      </c>
      <c r="D1" s="119" t="s">
        <v>106</v>
      </c>
      <c r="E1" s="119" t="s">
        <v>107</v>
      </c>
      <c r="F1" s="120" t="s">
        <v>108</v>
      </c>
      <c r="G1" s="120" t="s">
        <v>109</v>
      </c>
      <c r="H1" s="121" t="s">
        <v>111</v>
      </c>
      <c r="I1" s="121" t="s">
        <v>110</v>
      </c>
      <c r="J1" s="122" t="s">
        <v>112</v>
      </c>
      <c r="K1" s="123" t="s">
        <v>113</v>
      </c>
      <c r="L1" s="124" t="s">
        <v>114</v>
      </c>
    </row>
    <row r="2" spans="1:13">
      <c r="A2" s="118">
        <v>45161</v>
      </c>
      <c r="D2" s="119" t="s">
        <v>141</v>
      </c>
      <c r="E2" s="119">
        <v>1</v>
      </c>
      <c r="F2" s="120">
        <v>4.8090313492063501</v>
      </c>
      <c r="G2" s="120">
        <v>4.6861428571428601</v>
      </c>
      <c r="I2" s="121">
        <v>9.33286785714286</v>
      </c>
      <c r="J2" s="122">
        <v>5.6790746031746</v>
      </c>
      <c r="L2" s="124">
        <v>423</v>
      </c>
    </row>
    <row r="3" spans="1:13">
      <c r="A3" s="118">
        <v>45162</v>
      </c>
      <c r="C3" s="119" t="s">
        <v>142</v>
      </c>
      <c r="D3" s="119" t="s">
        <v>143</v>
      </c>
      <c r="E3" s="119">
        <v>1</v>
      </c>
      <c r="F3" s="120">
        <v>2.1861476190476199</v>
      </c>
      <c r="G3" s="120">
        <v>1.3047619047618999</v>
      </c>
      <c r="I3" s="121">
        <v>10.6719738095238</v>
      </c>
      <c r="J3" s="122">
        <v>6.7418317460317496</v>
      </c>
      <c r="L3" s="124">
        <v>160</v>
      </c>
    </row>
    <row r="4" spans="1:13">
      <c r="A4" s="118">
        <v>45163</v>
      </c>
      <c r="D4" s="119" t="s">
        <v>144</v>
      </c>
      <c r="E4" s="119">
        <v>1</v>
      </c>
      <c r="F4" s="120">
        <v>6.1014001984127004</v>
      </c>
      <c r="G4" s="120">
        <v>4.6861428571428601</v>
      </c>
      <c r="I4" s="121">
        <v>11.1273571428571</v>
      </c>
      <c r="J4" s="122">
        <v>10.8330052248677</v>
      </c>
      <c r="L4" s="124">
        <v>383</v>
      </c>
    </row>
    <row r="5" spans="1:13">
      <c r="A5" s="118">
        <v>45164</v>
      </c>
    </row>
    <row r="6" spans="1:13">
      <c r="A6" s="118">
        <v>45165</v>
      </c>
    </row>
    <row r="7" spans="1:13">
      <c r="A7" s="118">
        <v>45166</v>
      </c>
    </row>
    <row r="8" spans="1:13">
      <c r="A8" s="118">
        <v>45167</v>
      </c>
      <c r="D8" s="119" t="s">
        <v>145</v>
      </c>
      <c r="E8" s="119">
        <v>1</v>
      </c>
      <c r="F8" s="120">
        <v>6.5144968253968303</v>
      </c>
      <c r="G8" s="120">
        <v>1.3047619047618999</v>
      </c>
      <c r="I8" s="121">
        <v>8.8175039682539698</v>
      </c>
      <c r="J8" s="122">
        <v>9.7368198412698401</v>
      </c>
      <c r="L8" s="124">
        <v>412</v>
      </c>
    </row>
    <row r="9" spans="1:13">
      <c r="A9" s="118">
        <v>45168</v>
      </c>
      <c r="D9" s="119" t="s">
        <v>146</v>
      </c>
      <c r="E9" s="119">
        <v>2</v>
      </c>
      <c r="F9" s="120">
        <v>3.8276838095238102</v>
      </c>
      <c r="G9" s="120">
        <v>2.74782857142857</v>
      </c>
      <c r="I9" s="121">
        <v>11.1466130952381</v>
      </c>
      <c r="J9" s="122">
        <v>8.6391833333333405</v>
      </c>
      <c r="L9" s="124">
        <v>164</v>
      </c>
    </row>
    <row r="10" spans="1:13">
      <c r="A10" s="118">
        <v>45169</v>
      </c>
      <c r="D10" s="119" t="s">
        <v>147</v>
      </c>
      <c r="E10" s="119">
        <v>0</v>
      </c>
      <c r="F10" s="120">
        <v>3.7435301587301599</v>
      </c>
      <c r="G10" s="120">
        <v>1.13185714285714</v>
      </c>
      <c r="I10" s="121">
        <v>11.067749603174599</v>
      </c>
      <c r="J10" s="122">
        <v>7.5301753968253999</v>
      </c>
      <c r="L10" s="124">
        <v>186</v>
      </c>
      <c r="M10" s="125">
        <f>SUM(F2:K10)</f>
        <v>154.36794082010576</v>
      </c>
    </row>
    <row r="11" spans="1:13">
      <c r="A11" s="118">
        <v>45170</v>
      </c>
      <c r="D11" s="119" t="s">
        <v>148</v>
      </c>
      <c r="E11" s="119">
        <v>1</v>
      </c>
      <c r="F11" s="120">
        <v>3.7438925396825402</v>
      </c>
      <c r="G11" s="120">
        <v>4.6575714285714298</v>
      </c>
      <c r="H11" s="121">
        <v>2.1696380952381</v>
      </c>
      <c r="I11" s="121">
        <v>8.2259809523809508</v>
      </c>
      <c r="J11" s="122">
        <v>7.1479206349206397</v>
      </c>
      <c r="L11" s="124">
        <v>277</v>
      </c>
    </row>
    <row r="12" spans="1:13">
      <c r="A12" s="118">
        <v>45171</v>
      </c>
    </row>
    <row r="13" spans="1:13">
      <c r="A13" s="118">
        <v>45172</v>
      </c>
    </row>
    <row r="14" spans="1:13">
      <c r="A14" s="118">
        <v>45173</v>
      </c>
      <c r="D14" s="119" t="s">
        <v>149</v>
      </c>
      <c r="E14" s="119">
        <v>0</v>
      </c>
      <c r="F14" s="120">
        <v>5.14035715244838</v>
      </c>
      <c r="I14" s="121">
        <v>9.7411051587301607</v>
      </c>
      <c r="J14" s="122">
        <v>5.3085150793650797</v>
      </c>
      <c r="K14" s="123">
        <v>6</v>
      </c>
      <c r="L14" s="124">
        <v>316</v>
      </c>
    </row>
    <row r="15" spans="1:13">
      <c r="A15" s="118">
        <v>45174</v>
      </c>
      <c r="D15" s="119" t="s">
        <v>150</v>
      </c>
      <c r="E15" s="119">
        <v>1</v>
      </c>
      <c r="F15" s="120">
        <v>9.0458134920634894</v>
      </c>
      <c r="G15" s="120">
        <v>2.64961904761905</v>
      </c>
      <c r="I15" s="121">
        <v>9.8884234126984101</v>
      </c>
      <c r="J15" s="122">
        <v>7.6633611111111097</v>
      </c>
      <c r="L15" s="124">
        <v>415</v>
      </c>
    </row>
    <row r="16" spans="1:13">
      <c r="A16" s="118">
        <v>45175</v>
      </c>
      <c r="D16" s="119" t="s">
        <v>151</v>
      </c>
      <c r="E16" s="119">
        <v>1</v>
      </c>
      <c r="F16" s="120">
        <v>2.38764888888889</v>
      </c>
      <c r="G16" s="120">
        <v>1.3047619047618999</v>
      </c>
      <c r="I16" s="121">
        <v>9.4494480158730205</v>
      </c>
      <c r="J16" s="122">
        <v>9.1427976190476201</v>
      </c>
      <c r="L16" s="124">
        <v>128</v>
      </c>
    </row>
    <row r="17" spans="1:12">
      <c r="A17" s="118">
        <v>45176</v>
      </c>
      <c r="D17" s="119" t="s">
        <v>152</v>
      </c>
      <c r="E17" s="119">
        <v>1</v>
      </c>
      <c r="F17" s="120">
        <v>3.9454581349206399</v>
      </c>
      <c r="G17" s="120">
        <v>5.9909047619047602</v>
      </c>
      <c r="I17" s="121">
        <v>11.3344162698413</v>
      </c>
      <c r="J17" s="122">
        <v>9.2150849206349204</v>
      </c>
      <c r="L17" s="124">
        <v>400</v>
      </c>
    </row>
    <row r="18" spans="1:12">
      <c r="A18" s="118">
        <v>45177</v>
      </c>
      <c r="D18" s="119" t="s">
        <v>115</v>
      </c>
      <c r="E18" s="119">
        <v>0</v>
      </c>
      <c r="F18" s="120">
        <v>1.5548698412698401</v>
      </c>
      <c r="G18" s="120">
        <v>3.3903190476190499</v>
      </c>
      <c r="I18" s="121">
        <v>8.6342182539682604</v>
      </c>
      <c r="J18" s="122">
        <v>8.5929753968254001</v>
      </c>
      <c r="L18" s="124">
        <v>130</v>
      </c>
    </row>
    <row r="19" spans="1:12">
      <c r="A19" s="118">
        <v>45178</v>
      </c>
    </row>
    <row r="20" spans="1:12">
      <c r="A20" s="118">
        <v>45179</v>
      </c>
    </row>
    <row r="21" spans="1:12">
      <c r="A21" s="118">
        <v>45180</v>
      </c>
      <c r="D21" s="119" t="s">
        <v>153</v>
      </c>
      <c r="E21" s="119">
        <v>2</v>
      </c>
      <c r="F21" s="120">
        <v>4.5790441269841304</v>
      </c>
      <c r="I21" s="121">
        <v>12.1058448412698</v>
      </c>
      <c r="J21" s="122">
        <v>7.5301753968253999</v>
      </c>
      <c r="L21" s="124">
        <v>283</v>
      </c>
    </row>
    <row r="22" spans="1:12">
      <c r="A22" s="118">
        <v>45181</v>
      </c>
      <c r="D22" s="119" t="s">
        <v>154</v>
      </c>
      <c r="E22" s="119">
        <v>1</v>
      </c>
      <c r="F22" s="120">
        <v>1.55427936507937</v>
      </c>
      <c r="G22" s="120">
        <v>2.14549841269841</v>
      </c>
      <c r="I22" s="121">
        <v>5.5923079365079396</v>
      </c>
      <c r="J22" s="122">
        <v>6.1098499999999998</v>
      </c>
      <c r="L22" s="124">
        <v>94</v>
      </c>
    </row>
    <row r="23" spans="1:12">
      <c r="A23" s="118">
        <v>45182</v>
      </c>
      <c r="D23" s="119" t="s">
        <v>124</v>
      </c>
      <c r="E23" s="119">
        <v>1</v>
      </c>
      <c r="F23" s="120">
        <v>1.55363227513228</v>
      </c>
      <c r="G23" s="120">
        <v>4.6861428571428601</v>
      </c>
      <c r="I23" s="121">
        <v>8.3471146825396794</v>
      </c>
      <c r="J23" s="122">
        <v>7.3960687830687801</v>
      </c>
      <c r="L23" s="124">
        <v>117</v>
      </c>
    </row>
    <row r="24" spans="1:12">
      <c r="A24" s="118">
        <v>45183</v>
      </c>
      <c r="D24" s="119" t="s">
        <v>155</v>
      </c>
      <c r="E24" s="119">
        <v>0</v>
      </c>
      <c r="F24" s="120">
        <v>3.5282285714285702</v>
      </c>
      <c r="G24" s="120">
        <v>0.90476190476190499</v>
      </c>
      <c r="I24" s="121">
        <v>6.2629904761904802</v>
      </c>
      <c r="J24" s="122">
        <v>8.5961901455026499</v>
      </c>
      <c r="L24" s="124">
        <v>416</v>
      </c>
    </row>
    <row r="25" spans="1:12">
      <c r="A25" s="118">
        <v>45184</v>
      </c>
      <c r="B25" s="119" t="s">
        <v>156</v>
      </c>
      <c r="D25" s="119" t="s">
        <v>157</v>
      </c>
      <c r="E25" s="119">
        <v>2</v>
      </c>
      <c r="F25" s="120">
        <v>5.6161131746031696</v>
      </c>
      <c r="G25" s="120">
        <v>1.3047619047618999</v>
      </c>
      <c r="I25" s="121">
        <v>9.5751845238095203</v>
      </c>
      <c r="J25" s="122">
        <v>7.8319152777777798</v>
      </c>
      <c r="K25" s="123">
        <v>8</v>
      </c>
      <c r="L25" s="124">
        <v>603</v>
      </c>
    </row>
    <row r="26" spans="1:12">
      <c r="A26" s="118">
        <v>45185</v>
      </c>
    </row>
    <row r="27" spans="1:12">
      <c r="A27" s="118">
        <v>45186</v>
      </c>
    </row>
    <row r="28" spans="1:12">
      <c r="A28" s="118">
        <v>45187</v>
      </c>
    </row>
    <row r="29" spans="1:12">
      <c r="A29" s="118">
        <v>45188</v>
      </c>
      <c r="B29" s="119" t="s">
        <v>158</v>
      </c>
      <c r="D29" s="119" t="s">
        <v>125</v>
      </c>
      <c r="E29" s="119">
        <v>1</v>
      </c>
      <c r="F29" s="120">
        <v>2.4620547619047599</v>
      </c>
      <c r="G29" s="120">
        <v>5.4575714285714296</v>
      </c>
      <c r="H29" s="121">
        <v>1.54285714285714</v>
      </c>
      <c r="I29" s="121">
        <v>7.3915591269841299</v>
      </c>
      <c r="J29" s="122">
        <v>11.0490149470899</v>
      </c>
      <c r="K29" s="123">
        <v>2</v>
      </c>
      <c r="L29" s="124">
        <v>188</v>
      </c>
    </row>
    <row r="30" spans="1:12">
      <c r="A30" s="118">
        <v>45189</v>
      </c>
      <c r="D30" s="119" t="s">
        <v>159</v>
      </c>
      <c r="E30" s="119">
        <v>0</v>
      </c>
      <c r="F30" s="120">
        <v>3.5762222222222202</v>
      </c>
      <c r="H30" s="121">
        <v>1.3269142857142899</v>
      </c>
      <c r="I30" s="121">
        <v>9.8558000000000003</v>
      </c>
      <c r="J30" s="122">
        <v>7.7715753968254004</v>
      </c>
      <c r="L30" s="124">
        <v>207</v>
      </c>
    </row>
    <row r="31" spans="1:12">
      <c r="A31" s="118">
        <v>45190</v>
      </c>
      <c r="D31" s="119" t="s">
        <v>126</v>
      </c>
      <c r="E31" s="119">
        <v>2</v>
      </c>
      <c r="F31" s="120">
        <v>6.3547968253968303</v>
      </c>
      <c r="G31" s="120">
        <v>1.3047619047618999</v>
      </c>
      <c r="H31" s="121">
        <v>0.77142857142857102</v>
      </c>
      <c r="I31" s="121">
        <v>11.0458670634921</v>
      </c>
      <c r="J31" s="122">
        <v>15.709723809523799</v>
      </c>
      <c r="L31" s="124">
        <v>338</v>
      </c>
    </row>
    <row r="32" spans="1:12">
      <c r="A32" s="118">
        <v>45191</v>
      </c>
      <c r="D32" s="119" t="s">
        <v>160</v>
      </c>
      <c r="E32" s="119">
        <v>1</v>
      </c>
      <c r="F32" s="120">
        <v>3.1688253968254001</v>
      </c>
      <c r="G32" s="120">
        <v>2.7879238095238099</v>
      </c>
      <c r="H32" s="121">
        <v>2.78929523809524</v>
      </c>
      <c r="I32" s="121">
        <v>27.0132597883598</v>
      </c>
      <c r="J32" s="122">
        <v>9.3462677248677206</v>
      </c>
      <c r="L32" s="124">
        <v>348</v>
      </c>
    </row>
    <row r="33" spans="1:13">
      <c r="A33" s="118">
        <v>45192</v>
      </c>
    </row>
    <row r="34" spans="1:13">
      <c r="A34" s="118">
        <v>45193</v>
      </c>
    </row>
    <row r="35" spans="1:13">
      <c r="A35" s="118">
        <v>45194</v>
      </c>
      <c r="D35" s="119" t="s">
        <v>161</v>
      </c>
      <c r="E35" s="119">
        <v>4</v>
      </c>
      <c r="F35" s="120">
        <v>11.4709140740741</v>
      </c>
      <c r="G35" s="120">
        <v>1.3047619047618999</v>
      </c>
      <c r="H35" s="121">
        <v>1.2019936507936499</v>
      </c>
      <c r="I35" s="121">
        <v>12.8005813492064</v>
      </c>
      <c r="J35" s="122">
        <v>15.4646412698413</v>
      </c>
      <c r="L35" s="124">
        <v>743</v>
      </c>
    </row>
    <row r="36" spans="1:13">
      <c r="A36" s="118">
        <v>45195</v>
      </c>
      <c r="D36" s="119" t="s">
        <v>162</v>
      </c>
      <c r="E36" s="119">
        <v>1</v>
      </c>
      <c r="F36" s="120">
        <v>5.2522764021163999</v>
      </c>
      <c r="G36" s="120">
        <v>4.1589650793650801</v>
      </c>
      <c r="H36" s="121">
        <v>2.09834285714286</v>
      </c>
      <c r="I36" s="121">
        <v>15.9291563492064</v>
      </c>
      <c r="J36" s="122">
        <v>6.4905468253968301</v>
      </c>
      <c r="L36" s="124">
        <v>402</v>
      </c>
    </row>
    <row r="37" spans="1:13">
      <c r="A37" s="118">
        <v>45196</v>
      </c>
      <c r="D37" s="119" t="s">
        <v>163</v>
      </c>
      <c r="E37" s="119">
        <v>2</v>
      </c>
      <c r="F37" s="120">
        <v>8.1534412698412702</v>
      </c>
      <c r="G37" s="120">
        <v>0.90476190476190499</v>
      </c>
      <c r="I37" s="121">
        <v>14.037439285714299</v>
      </c>
      <c r="J37" s="122">
        <v>8.1056496031745997</v>
      </c>
      <c r="L37" s="124">
        <v>277</v>
      </c>
    </row>
    <row r="38" spans="1:13">
      <c r="A38" s="118">
        <v>45197</v>
      </c>
      <c r="D38" s="119" t="s">
        <v>130</v>
      </c>
      <c r="E38" s="119">
        <v>2</v>
      </c>
      <c r="F38" s="120">
        <v>7.2289691798941798</v>
      </c>
      <c r="G38" s="120">
        <v>14.5819293650794</v>
      </c>
      <c r="I38" s="121">
        <v>13.7349642857143</v>
      </c>
      <c r="J38" s="122">
        <v>8.0939750000000004</v>
      </c>
      <c r="L38" s="124">
        <v>364</v>
      </c>
    </row>
    <row r="39" spans="1:13">
      <c r="A39" s="118">
        <v>45198</v>
      </c>
      <c r="D39" s="119" t="s">
        <v>164</v>
      </c>
      <c r="E39" s="119">
        <v>1</v>
      </c>
      <c r="F39" s="120">
        <v>1.2253968253968299</v>
      </c>
      <c r="G39" s="120">
        <v>3.1142857142857099</v>
      </c>
      <c r="H39" s="121">
        <v>2.1696380952381</v>
      </c>
      <c r="I39" s="121">
        <v>8.9161146825396802</v>
      </c>
      <c r="J39" s="122">
        <v>4.8292015873015899</v>
      </c>
      <c r="L39" s="124">
        <v>56</v>
      </c>
    </row>
    <row r="40" spans="1:13">
      <c r="A40" s="118">
        <v>45199</v>
      </c>
      <c r="M40" s="125">
        <f>SUM(F11:K40)</f>
        <v>573.53887182176106</v>
      </c>
    </row>
    <row r="41" spans="1:13">
      <c r="A41" s="118">
        <v>45200</v>
      </c>
    </row>
    <row r="42" spans="1:13">
      <c r="A42" s="118">
        <v>45201</v>
      </c>
      <c r="D42" s="119" t="s">
        <v>165</v>
      </c>
      <c r="E42" s="119">
        <v>2</v>
      </c>
      <c r="F42" s="120">
        <v>2.5337980952381001</v>
      </c>
      <c r="G42" s="120">
        <v>3.3813809523809502</v>
      </c>
      <c r="I42" s="121">
        <v>8.3714646825396795</v>
      </c>
      <c r="J42" s="122">
        <v>7.3471634920634896</v>
      </c>
      <c r="K42" s="123">
        <v>8</v>
      </c>
      <c r="L42" s="124">
        <v>562</v>
      </c>
    </row>
    <row r="43" spans="1:13">
      <c r="A43" s="118">
        <v>45202</v>
      </c>
      <c r="D43" s="119" t="s">
        <v>166</v>
      </c>
      <c r="E43" s="119">
        <v>1</v>
      </c>
      <c r="F43" s="120">
        <v>1.4361555555555601</v>
      </c>
      <c r="G43" s="120">
        <v>2.64961904761905</v>
      </c>
      <c r="I43" s="121">
        <v>10.5730595238095</v>
      </c>
      <c r="J43" s="122">
        <v>6.9573424603174603</v>
      </c>
      <c r="K43" s="123">
        <v>8</v>
      </c>
      <c r="L43" s="124">
        <v>209</v>
      </c>
    </row>
    <row r="44" spans="1:13">
      <c r="A44" s="118">
        <v>45203</v>
      </c>
      <c r="D44" s="119" t="s">
        <v>167</v>
      </c>
      <c r="E44" s="119">
        <v>1</v>
      </c>
      <c r="F44" s="120">
        <v>1.1255525396825401</v>
      </c>
      <c r="I44" s="121">
        <v>12.144488095238099</v>
      </c>
      <c r="J44" s="122">
        <v>8.8336873015873003</v>
      </c>
      <c r="K44" s="123">
        <v>8</v>
      </c>
      <c r="L44" s="124">
        <v>106</v>
      </c>
    </row>
    <row r="45" spans="1:13">
      <c r="A45" s="118">
        <v>45204</v>
      </c>
      <c r="D45" s="119" t="s">
        <v>168</v>
      </c>
      <c r="E45" s="119">
        <v>0</v>
      </c>
      <c r="F45" s="120">
        <v>6.5933246031746</v>
      </c>
      <c r="G45" s="120">
        <v>2.98710793650794</v>
      </c>
      <c r="I45" s="121">
        <v>10.559607539682499</v>
      </c>
      <c r="J45" s="122">
        <v>7.3471634920634896</v>
      </c>
      <c r="K45" s="123">
        <v>8</v>
      </c>
      <c r="L45" s="124">
        <v>527</v>
      </c>
    </row>
    <row r="46" spans="1:13">
      <c r="A46" s="118">
        <v>45205</v>
      </c>
      <c r="C46" s="119" t="s">
        <v>169</v>
      </c>
      <c r="D46" s="119" t="s">
        <v>170</v>
      </c>
      <c r="E46" s="119">
        <v>0</v>
      </c>
      <c r="F46" s="120">
        <v>3.77261111111111</v>
      </c>
      <c r="G46" s="120">
        <v>2.0761904761904799</v>
      </c>
      <c r="I46" s="121">
        <v>2.93353888888889</v>
      </c>
      <c r="J46" s="122">
        <v>3.7550301587301602</v>
      </c>
      <c r="K46" s="123">
        <v>8</v>
      </c>
      <c r="L46" s="124">
        <v>239</v>
      </c>
    </row>
    <row r="47" spans="1:13">
      <c r="A47" s="118">
        <v>45206</v>
      </c>
    </row>
    <row r="48" spans="1:13">
      <c r="A48" s="118">
        <v>45207</v>
      </c>
    </row>
    <row r="49" spans="1:12">
      <c r="A49" s="118">
        <v>45208</v>
      </c>
    </row>
    <row r="50" spans="1:12">
      <c r="A50" s="118">
        <v>45209</v>
      </c>
      <c r="C50" s="119" t="s">
        <v>171</v>
      </c>
      <c r="D50" s="119" t="s">
        <v>172</v>
      </c>
      <c r="E50" s="119">
        <v>0</v>
      </c>
      <c r="F50" s="120">
        <v>0.91559873015872995</v>
      </c>
      <c r="G50" s="120">
        <v>4.6861428571428601</v>
      </c>
      <c r="I50" s="121">
        <v>11.9021714285714</v>
      </c>
      <c r="J50" s="122">
        <v>7.3471634920634896</v>
      </c>
      <c r="L50" s="124">
        <v>120</v>
      </c>
    </row>
    <row r="51" spans="1:12">
      <c r="A51" s="118">
        <v>45210</v>
      </c>
      <c r="D51" s="119" t="s">
        <v>173</v>
      </c>
      <c r="E51" s="119">
        <v>1</v>
      </c>
      <c r="F51" s="120">
        <v>4.1213079365079404</v>
      </c>
      <c r="G51" s="120">
        <v>3.1543809523809498</v>
      </c>
      <c r="H51" s="121">
        <v>0.77142857142857102</v>
      </c>
      <c r="I51" s="121">
        <v>1.5931464285714301</v>
      </c>
      <c r="J51" s="122">
        <v>5.8550698412698399</v>
      </c>
      <c r="L51" s="124">
        <v>241</v>
      </c>
    </row>
    <row r="52" spans="1:12">
      <c r="A52" s="118">
        <v>45211</v>
      </c>
      <c r="D52" s="119" t="s">
        <v>174</v>
      </c>
      <c r="E52" s="119">
        <v>1</v>
      </c>
      <c r="F52" s="120">
        <v>5.9547333333333299</v>
      </c>
      <c r="H52" s="121">
        <v>1.3269142857142899</v>
      </c>
      <c r="I52" s="121">
        <v>8.5508373015873005</v>
      </c>
      <c r="J52" s="122">
        <v>6.6557920634920604</v>
      </c>
      <c r="L52" s="124">
        <v>364</v>
      </c>
    </row>
    <row r="53" spans="1:12">
      <c r="A53" s="118">
        <v>45212</v>
      </c>
      <c r="D53" s="119" t="s">
        <v>175</v>
      </c>
      <c r="E53" s="119">
        <v>0</v>
      </c>
      <c r="F53" s="120">
        <v>3.1488317460317501</v>
      </c>
      <c r="G53" s="120">
        <v>6.1292095238095197</v>
      </c>
      <c r="H53" s="121">
        <v>0.77142857142857102</v>
      </c>
      <c r="I53" s="121">
        <v>10.3936869047619</v>
      </c>
      <c r="J53" s="122">
        <v>4.6462396825396803</v>
      </c>
      <c r="L53" s="124">
        <v>137</v>
      </c>
    </row>
    <row r="54" spans="1:12">
      <c r="A54" s="118">
        <v>45213</v>
      </c>
    </row>
    <row r="55" spans="1:12">
      <c r="A55" s="118">
        <v>45214</v>
      </c>
    </row>
    <row r="56" spans="1:12">
      <c r="A56" s="118">
        <v>45215</v>
      </c>
      <c r="D56" s="119" t="s">
        <v>127</v>
      </c>
      <c r="E56" s="119">
        <v>2</v>
      </c>
      <c r="F56" s="120">
        <v>3.3256095238095198</v>
      </c>
      <c r="H56" s="121">
        <v>0.77142857142857102</v>
      </c>
      <c r="I56" s="121">
        <v>11.0056468253968</v>
      </c>
      <c r="J56" s="122">
        <v>7.74142486772487</v>
      </c>
      <c r="L56" s="124">
        <v>296</v>
      </c>
    </row>
    <row r="57" spans="1:12">
      <c r="A57" s="118">
        <v>45216</v>
      </c>
      <c r="D57" s="119" t="s">
        <v>176</v>
      </c>
      <c r="E57" s="119">
        <v>1</v>
      </c>
      <c r="F57" s="120">
        <v>6.4841487698412701</v>
      </c>
      <c r="G57" s="120">
        <v>0.77758412698412704</v>
      </c>
      <c r="H57" s="121">
        <v>1.2019936507936499</v>
      </c>
      <c r="I57" s="121">
        <v>1.79493452380952</v>
      </c>
      <c r="J57" s="122">
        <v>5.5332613095238097</v>
      </c>
      <c r="L57" s="124">
        <v>549</v>
      </c>
    </row>
    <row r="58" spans="1:12">
      <c r="A58" s="118">
        <v>45217</v>
      </c>
      <c r="D58" s="119" t="s">
        <v>177</v>
      </c>
      <c r="E58" s="119">
        <v>1</v>
      </c>
      <c r="F58" s="120">
        <v>3.0920285714285698</v>
      </c>
      <c r="G58" s="120">
        <v>2.0761904761904799</v>
      </c>
      <c r="I58" s="121">
        <v>12.227027777777799</v>
      </c>
      <c r="J58" s="122">
        <v>13.6403693121693</v>
      </c>
      <c r="L58" s="124">
        <v>170</v>
      </c>
    </row>
    <row r="59" spans="1:12">
      <c r="A59" s="118">
        <v>45218</v>
      </c>
      <c r="D59" s="119" t="s">
        <v>178</v>
      </c>
      <c r="E59" s="119">
        <v>2</v>
      </c>
      <c r="F59" s="120">
        <v>6.0349365079365098</v>
      </c>
      <c r="G59" s="120">
        <v>5.1909047619047604</v>
      </c>
      <c r="H59" s="121">
        <v>2.1696380952381</v>
      </c>
      <c r="I59" s="121">
        <v>5.6370456349206304</v>
      </c>
      <c r="J59" s="122">
        <v>8.0706179232804196</v>
      </c>
      <c r="L59" s="124">
        <v>343</v>
      </c>
    </row>
    <row r="60" spans="1:12">
      <c r="A60" s="118">
        <v>45219</v>
      </c>
      <c r="D60" s="119" t="s">
        <v>179</v>
      </c>
      <c r="E60" s="119">
        <v>2</v>
      </c>
      <c r="F60" s="120">
        <v>4.8967999999999998</v>
      </c>
      <c r="G60" s="120">
        <v>1.3448571428571401</v>
      </c>
      <c r="I60" s="121">
        <v>12.227027777777799</v>
      </c>
      <c r="J60" s="122">
        <v>19.472357142857099</v>
      </c>
      <c r="L60" s="124">
        <v>415</v>
      </c>
    </row>
    <row r="61" spans="1:12">
      <c r="A61" s="118">
        <v>45220</v>
      </c>
    </row>
    <row r="62" spans="1:12">
      <c r="A62" s="118">
        <v>45221</v>
      </c>
    </row>
    <row r="63" spans="1:12">
      <c r="A63" s="118">
        <v>45222</v>
      </c>
      <c r="D63" s="119" t="s">
        <v>128</v>
      </c>
      <c r="E63" s="119">
        <v>0</v>
      </c>
      <c r="F63" s="120">
        <v>1.52555253968254</v>
      </c>
      <c r="I63" s="121">
        <v>3.77920317460317</v>
      </c>
      <c r="J63" s="122">
        <v>7.9633245370370398</v>
      </c>
      <c r="L63" s="124">
        <v>28</v>
      </c>
    </row>
    <row r="64" spans="1:12">
      <c r="A64" s="118">
        <v>45223</v>
      </c>
      <c r="D64" s="119" t="s">
        <v>129</v>
      </c>
      <c r="E64" s="119">
        <v>1</v>
      </c>
      <c r="F64" s="120">
        <v>2.9435301587301601</v>
      </c>
      <c r="G64" s="120">
        <v>5.5909047619047598</v>
      </c>
      <c r="H64" s="121">
        <v>0.77142857142857102</v>
      </c>
      <c r="I64" s="121">
        <v>11.7339146825397</v>
      </c>
      <c r="J64" s="122">
        <v>4.2157880952380999</v>
      </c>
      <c r="L64" s="124">
        <v>203</v>
      </c>
    </row>
    <row r="65" spans="1:13">
      <c r="A65" s="118">
        <v>45224</v>
      </c>
      <c r="B65" s="119" t="s">
        <v>180</v>
      </c>
      <c r="D65" s="119" t="s">
        <v>181</v>
      </c>
      <c r="E65" s="119">
        <v>0</v>
      </c>
      <c r="F65" s="120">
        <v>6.9270793650793596</v>
      </c>
      <c r="H65" s="121">
        <v>1.3269142857142899</v>
      </c>
      <c r="I65" s="121">
        <v>4.7716341269841296</v>
      </c>
      <c r="J65" s="122">
        <v>5.8813269841269804</v>
      </c>
      <c r="K65" s="123">
        <v>2</v>
      </c>
      <c r="L65" s="124">
        <v>396</v>
      </c>
    </row>
    <row r="66" spans="1:13">
      <c r="A66" s="118">
        <v>45225</v>
      </c>
      <c r="D66" s="119" t="s">
        <v>182</v>
      </c>
      <c r="E66" s="119">
        <v>1</v>
      </c>
      <c r="F66" s="120">
        <v>8.6089082010582008</v>
      </c>
      <c r="G66" s="120">
        <v>1.3047619047618999</v>
      </c>
      <c r="H66" s="121">
        <v>0.77142857142857102</v>
      </c>
      <c r="I66" s="121">
        <v>12.451375000000001</v>
      </c>
      <c r="J66" s="122">
        <v>8.2677984126984096</v>
      </c>
      <c r="L66" s="124">
        <v>646</v>
      </c>
      <c r="M66" s="125">
        <f>SUM(F41:K66)</f>
        <v>458.85307626984121</v>
      </c>
    </row>
    <row r="67" spans="1:13">
      <c r="A67" s="118">
        <v>45226</v>
      </c>
    </row>
    <row r="68" spans="1:13">
      <c r="A68" s="118">
        <v>45227</v>
      </c>
    </row>
    <row r="69" spans="1:13">
      <c r="A69" s="118">
        <v>45228</v>
      </c>
    </row>
    <row r="70" spans="1:13">
      <c r="A70" s="118">
        <v>45229</v>
      </c>
    </row>
    <row r="71" spans="1:13">
      <c r="A71" s="118">
        <v>45230</v>
      </c>
    </row>
  </sheetData>
  <phoneticPr fontId="5"/>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FC8BC07E3BBA34EB92D3ED2768D585A" ma:contentTypeVersion="18" ma:contentTypeDescription="新しいドキュメントを作成します。" ma:contentTypeScope="" ma:versionID="6448ab97ff154a9b57c31f88aa65a4c6">
  <xsd:schema xmlns:xsd="http://www.w3.org/2001/XMLSchema" xmlns:xs="http://www.w3.org/2001/XMLSchema" xmlns:p="http://schemas.microsoft.com/office/2006/metadata/properties" xmlns:ns2="ea180fb7-6417-4417-bcc2-1a1988547c9d" xmlns:ns3="a7e61ba0-4c47-4710-ac4c-031e401f92bd" targetNamespace="http://schemas.microsoft.com/office/2006/metadata/properties" ma:root="true" ma:fieldsID="6cef2ced9b3848fd3c059a9736d94822" ns2:_="" ns3:_="">
    <xsd:import namespace="ea180fb7-6417-4417-bcc2-1a1988547c9d"/>
    <xsd:import namespace="a7e61ba0-4c47-4710-ac4c-031e401f92bd"/>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DateTaken"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180fb7-6417-4417-bcc2-1a1988547c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053ac32-7e03-4b82-88d1-ba6959e72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e61ba0-4c47-4710-ac4c-031e401f92bd"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17" nillable="true" ma:displayName="Taxonomy Catch All Column" ma:hidden="true" ma:list="{bb655bd8-43ec-4458-8694-0c5137fe8b12}" ma:internalName="TaxCatchAll" ma:showField="CatchAllData" ma:web="a7e61ba0-4c47-4710-ac4c-031e401f92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180fb7-6417-4417-bcc2-1a1988547c9d">
      <Terms xmlns="http://schemas.microsoft.com/office/infopath/2007/PartnerControls"/>
    </lcf76f155ced4ddcb4097134ff3c332f>
    <TaxCatchAll xmlns="a7e61ba0-4c47-4710-ac4c-031e401f92bd" xsi:nil="true"/>
  </documentManagement>
</p:properties>
</file>

<file path=customXml/itemProps1.xml><?xml version="1.0" encoding="utf-8"?>
<ds:datastoreItem xmlns:ds="http://schemas.openxmlformats.org/officeDocument/2006/customXml" ds:itemID="{CBD9DDA2-195E-4ABA-830D-1798B53F254A}"/>
</file>

<file path=customXml/itemProps2.xml><?xml version="1.0" encoding="utf-8"?>
<ds:datastoreItem xmlns:ds="http://schemas.openxmlformats.org/officeDocument/2006/customXml" ds:itemID="{3626A8D8-E4AF-409B-A4B3-2ADB395B57FA}"/>
</file>

<file path=customXml/itemProps3.xml><?xml version="1.0" encoding="utf-8"?>
<ds:datastoreItem xmlns:ds="http://schemas.openxmlformats.org/officeDocument/2006/customXml" ds:itemID="{95672290-43D2-44A2-B4E9-C8A79F0808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８月報告シ-ト </vt:lpstr>
      <vt:lpstr>7月報告シ-ト </vt:lpstr>
      <vt:lpstr>生産１課配置</vt:lpstr>
      <vt:lpstr>生産1課_SMT負荷計算(8-21BOSS)</vt:lpstr>
      <vt:lpstr>'7月報告シ-ト '!Print_Area</vt:lpstr>
    </vt:vector>
  </TitlesOfParts>
  <Manager/>
  <Company>日本光電工業株式会社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福田智子</dc:creator>
  <cp:keywords/>
  <dc:description/>
  <cp:lastModifiedBy>内田 寿治</cp:lastModifiedBy>
  <cp:revision/>
  <dcterms:created xsi:type="dcterms:W3CDTF">2020-09-24T05:15:39Z</dcterms:created>
  <dcterms:modified xsi:type="dcterms:W3CDTF">2023-08-23T05:30:27Z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0x010100AFC8BC07E3BBA34EB92D3ED2768D585A</vt:lpwstr>
  </property>
</Properties>
</file>