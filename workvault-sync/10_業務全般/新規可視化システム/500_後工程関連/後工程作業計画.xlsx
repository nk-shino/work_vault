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"/>
    </mc:Choice>
  </mc:AlternateContent>
  <xr:revisionPtr revIDLastSave="2570" documentId="8_{A8DBA808-486F-4491-8BF1-65DF6F241A38}" xr6:coauthVersionLast="47" xr6:coauthVersionMax="47" xr10:uidLastSave="{1098D014-71DB-40D2-91B4-248F634E674B}"/>
  <bookViews>
    <workbookView xWindow="-120" yWindow="-120" windowWidth="24240" windowHeight="17790" activeTab="2" xr2:uid="{000C9CF2-D6FF-4F71-B1E1-CC8243ACCE33}"/>
  </bookViews>
  <sheets>
    <sheet name="データ入力" sheetId="7" r:id="rId1"/>
    <sheet name="印刷_1勤" sheetId="1" r:id="rId2"/>
    <sheet name="印刷_2勤" sheetId="8" r:id="rId3"/>
    <sheet name="履歴_AOI" sheetId="3" r:id="rId4"/>
    <sheet name="履歴_目視" sheetId="4" r:id="rId5"/>
    <sheet name="原紙" sheetId="5" r:id="rId6"/>
  </sheets>
  <definedNames>
    <definedName name="_xlnm._FilterDatabase" localSheetId="0" hidden="1">データ入力!#REF!</definedName>
    <definedName name="_xlnm._FilterDatabase" localSheetId="1" hidden="1">印刷_1勤!#REF!</definedName>
    <definedName name="_xlnm._FilterDatabase" localSheetId="2" hidden="1">印刷_2勤!#REF!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8" l="1"/>
  <c r="J31" i="8"/>
  <c r="I32" i="8" s="1"/>
  <c r="J32" i="8" s="1"/>
  <c r="I33" i="8" s="1"/>
  <c r="J33" i="8" s="1"/>
  <c r="I34" i="8" s="1"/>
  <c r="J34" i="8" s="1"/>
  <c r="J18" i="8"/>
  <c r="I19" i="8" s="1"/>
  <c r="J19" i="8" s="1"/>
  <c r="I20" i="8" s="1"/>
  <c r="J20" i="8" s="1"/>
  <c r="I21" i="8" s="1"/>
  <c r="J21" i="8" s="1"/>
  <c r="I22" i="8" s="1"/>
  <c r="J22" i="8" s="1"/>
  <c r="I23" i="8" s="1"/>
  <c r="J23" i="8" s="1"/>
  <c r="I24" i="8" s="1"/>
  <c r="J24" i="8" s="1"/>
  <c r="J6" i="8"/>
  <c r="I7" i="8" s="1"/>
  <c r="J7" i="8" s="1"/>
  <c r="I8" i="8" s="1"/>
  <c r="J8" i="8" s="1"/>
  <c r="I9" i="8" s="1"/>
  <c r="J9" i="8" s="1"/>
  <c r="I10" i="8" s="1"/>
  <c r="J10" i="8" s="1"/>
  <c r="I11" i="8" s="1"/>
  <c r="J11" i="8" s="1"/>
  <c r="E375" i="4"/>
  <c r="E374" i="4"/>
  <c r="E373" i="4"/>
  <c r="E372" i="4"/>
  <c r="E371" i="4"/>
  <c r="E370" i="4"/>
  <c r="E369" i="4"/>
  <c r="E368" i="4"/>
  <c r="E367" i="4"/>
  <c r="E366" i="4"/>
  <c r="E365" i="4"/>
  <c r="E364" i="4"/>
  <c r="H359" i="4"/>
  <c r="G360" i="4" s="1"/>
  <c r="H360" i="4" s="1"/>
  <c r="G361" i="4" s="1"/>
  <c r="H361" i="4" s="1"/>
  <c r="G362" i="4" s="1"/>
  <c r="H362" i="4" s="1"/>
  <c r="G363" i="4" s="1"/>
  <c r="H363" i="4" s="1"/>
  <c r="G364" i="4" s="1"/>
  <c r="H364" i="4" s="1"/>
  <c r="G365" i="4" s="1"/>
  <c r="H365" i="4" s="1"/>
  <c r="G366" i="4" s="1"/>
  <c r="H366" i="4" s="1"/>
  <c r="G367" i="4" s="1"/>
  <c r="H367" i="4" s="1"/>
  <c r="G368" i="4" s="1"/>
  <c r="H368" i="4" s="1"/>
  <c r="G369" i="4" s="1"/>
  <c r="H369" i="4" s="1"/>
  <c r="G370" i="4" s="1"/>
  <c r="H370" i="4" s="1"/>
  <c r="G371" i="4" s="1"/>
  <c r="H371" i="4" s="1"/>
  <c r="G372" i="4" s="1"/>
  <c r="H372" i="4" s="1"/>
  <c r="G373" i="4" s="1"/>
  <c r="H373" i="4" s="1"/>
  <c r="G374" i="4" s="1"/>
  <c r="H374" i="4" s="1"/>
  <c r="G375" i="4" s="1"/>
  <c r="H375" i="4" s="1"/>
  <c r="I507" i="3"/>
  <c r="H508" i="3" s="1"/>
  <c r="I508" i="3" s="1"/>
  <c r="H509" i="3" s="1"/>
  <c r="I509" i="3" s="1"/>
  <c r="I505" i="3"/>
  <c r="H506" i="3" s="1"/>
  <c r="I506" i="3" s="1"/>
  <c r="I501" i="3"/>
  <c r="H502" i="3" s="1"/>
  <c r="I502" i="3" s="1"/>
  <c r="H503" i="3" s="1"/>
  <c r="I503" i="3" s="1"/>
  <c r="H504" i="3" s="1"/>
  <c r="I504" i="3" s="1"/>
  <c r="I500" i="3"/>
  <c r="I499" i="3"/>
  <c r="I498" i="3"/>
  <c r="I497" i="3"/>
  <c r="I496" i="3"/>
  <c r="I495" i="3"/>
  <c r="I493" i="3"/>
  <c r="H494" i="3" s="1"/>
  <c r="I494" i="3" s="1"/>
  <c r="H493" i="3"/>
  <c r="I492" i="3"/>
  <c r="I83" i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I59" i="1"/>
  <c r="J59" i="1" s="1"/>
  <c r="I60" i="1" s="1"/>
  <c r="J60" i="1" s="1"/>
  <c r="I61" i="1" s="1"/>
  <c r="J61" i="1" s="1"/>
  <c r="I62" i="1" s="1"/>
  <c r="J62" i="1" s="1"/>
  <c r="I63" i="1" s="1"/>
  <c r="J63" i="1" s="1"/>
  <c r="I64" i="1" s="1"/>
  <c r="J64" i="1" s="1"/>
  <c r="I65" i="1" s="1"/>
  <c r="J65" i="1" s="1"/>
  <c r="I66" i="1" s="1"/>
  <c r="J66" i="1" s="1"/>
  <c r="I67" i="1" s="1"/>
  <c r="J67" i="1" s="1"/>
  <c r="I68" i="1" s="1"/>
  <c r="J68" i="1" s="1"/>
  <c r="I69" i="1" s="1"/>
  <c r="J69" i="1" s="1"/>
  <c r="I70" i="1" s="1"/>
  <c r="J70" i="1" s="1"/>
  <c r="I71" i="1" s="1"/>
  <c r="J71" i="1" s="1"/>
  <c r="I72" i="1" s="1"/>
  <c r="J72" i="1" s="1"/>
  <c r="I73" i="1" s="1"/>
  <c r="J73" i="1" s="1"/>
  <c r="I74" i="1" s="1"/>
  <c r="J74" i="1" s="1"/>
  <c r="I75" i="1" s="1"/>
  <c r="J75" i="1" s="1"/>
  <c r="I76" i="1" s="1"/>
  <c r="J76" i="1" s="1"/>
  <c r="J58" i="1"/>
  <c r="J33" i="1"/>
  <c r="I34" i="1" s="1"/>
  <c r="J34" i="1" s="1"/>
  <c r="I35" i="1" s="1"/>
  <c r="J35" i="1" s="1"/>
  <c r="I36" i="1" s="1"/>
  <c r="J36" i="1" s="1"/>
  <c r="I37" i="1" s="1"/>
  <c r="J37" i="1" s="1"/>
  <c r="I38" i="1" s="1"/>
  <c r="J38" i="1" s="1"/>
  <c r="I39" i="1" s="1"/>
  <c r="J39" i="1" s="1"/>
  <c r="I40" i="1" s="1"/>
  <c r="J40" i="1" s="1"/>
  <c r="I41" i="1" s="1"/>
  <c r="J41" i="1" s="1"/>
  <c r="I42" i="1" s="1"/>
  <c r="J42" i="1" s="1"/>
  <c r="I43" i="1" s="1"/>
  <c r="J43" i="1" s="1"/>
  <c r="I44" i="1" s="1"/>
  <c r="J44" i="1" s="1"/>
  <c r="I45" i="1" s="1"/>
  <c r="J45" i="1" s="1"/>
  <c r="I46" i="1" s="1"/>
  <c r="J46" i="1" s="1"/>
  <c r="I47" i="1" s="1"/>
  <c r="J47" i="1" s="1"/>
  <c r="I48" i="1" s="1"/>
  <c r="J48" i="1" s="1"/>
  <c r="I49" i="1" s="1"/>
  <c r="J49" i="1" s="1"/>
  <c r="I50" i="1" s="1"/>
  <c r="J50" i="1" s="1"/>
  <c r="I51" i="1" s="1"/>
  <c r="J51" i="1" s="1"/>
  <c r="J6" i="1"/>
  <c r="I7" i="1" s="1"/>
  <c r="J7" i="1" s="1"/>
  <c r="I8" i="1" s="1"/>
  <c r="J8" i="1" s="1"/>
  <c r="I9" i="1" s="1"/>
  <c r="J9" i="1" s="1"/>
  <c r="I10" i="1" s="1"/>
  <c r="J10" i="1" s="1"/>
  <c r="I11" i="1" s="1"/>
  <c r="J11" i="1" s="1"/>
  <c r="I12" i="1" s="1"/>
  <c r="J12" i="1" s="1"/>
  <c r="I13" i="1" s="1"/>
  <c r="J13" i="1" s="1"/>
  <c r="I14" i="1" s="1"/>
  <c r="J14" i="1" s="1"/>
  <c r="I15" i="1" s="1"/>
  <c r="J15" i="1" s="1"/>
  <c r="I16" i="1" s="1"/>
  <c r="J16" i="1" s="1"/>
  <c r="I17" i="1" s="1"/>
  <c r="J17" i="1" s="1"/>
  <c r="I18" i="1" s="1"/>
  <c r="J18" i="1" s="1"/>
  <c r="I19" i="1" s="1"/>
  <c r="J19" i="1" s="1"/>
  <c r="I20" i="1" s="1"/>
  <c r="J20" i="1" s="1"/>
  <c r="I21" i="1" s="1"/>
  <c r="J21" i="1" s="1"/>
  <c r="I22" i="1" s="1"/>
  <c r="J22" i="1" s="1"/>
  <c r="I23" i="1" s="1"/>
  <c r="J23" i="1" s="1"/>
  <c r="I24" i="1" s="1"/>
  <c r="J24" i="1" s="1"/>
  <c r="I25" i="1" s="1"/>
  <c r="J25" i="1" s="1"/>
  <c r="I26" i="1" s="1"/>
  <c r="J26" i="1" s="1"/>
  <c r="H42" i="8" l="1"/>
  <c r="I42" i="8" s="1"/>
  <c r="I83" i="5"/>
  <c r="J33" i="5"/>
  <c r="J58" i="5"/>
  <c r="I59" i="5" s="1"/>
  <c r="J59" i="5" s="1"/>
  <c r="I60" i="5" s="1"/>
  <c r="J60" i="5" s="1"/>
  <c r="I61" i="5" s="1"/>
  <c r="J61" i="5" s="1"/>
  <c r="I62" i="5" s="1"/>
  <c r="J62" i="5" s="1"/>
  <c r="I63" i="5" s="1"/>
  <c r="J63" i="5" s="1"/>
  <c r="I64" i="5" s="1"/>
  <c r="J64" i="5" s="1"/>
  <c r="I65" i="5" s="1"/>
  <c r="J65" i="5" s="1"/>
  <c r="I66" i="5" s="1"/>
  <c r="J66" i="5" s="1"/>
  <c r="I67" i="5" s="1"/>
  <c r="J67" i="5" s="1"/>
  <c r="I68" i="5" s="1"/>
  <c r="J68" i="5" s="1"/>
  <c r="I69" i="5" s="1"/>
  <c r="J69" i="5" s="1"/>
  <c r="I70" i="5" s="1"/>
  <c r="J70" i="5" s="1"/>
  <c r="I71" i="5" s="1"/>
  <c r="J71" i="5" s="1"/>
  <c r="I72" i="5" s="1"/>
  <c r="J72" i="5" s="1"/>
  <c r="I73" i="5" s="1"/>
  <c r="J73" i="5" s="1"/>
  <c r="I74" i="5" s="1"/>
  <c r="J74" i="5" s="1"/>
  <c r="I75" i="5" s="1"/>
  <c r="J75" i="5" s="1"/>
  <c r="I76" i="5" s="1"/>
  <c r="J76" i="5" s="1"/>
  <c r="H43" i="8" l="1"/>
  <c r="I43" i="8" s="1"/>
  <c r="H84" i="5"/>
  <c r="I84" i="5" s="1"/>
  <c r="H85" i="5" s="1"/>
  <c r="I85" i="5" s="1"/>
  <c r="H86" i="5" s="1"/>
  <c r="I86" i="5" s="1"/>
  <c r="H87" i="5" s="1"/>
  <c r="I87" i="5" s="1"/>
  <c r="H88" i="5" s="1"/>
  <c r="I88" i="5" s="1"/>
  <c r="H89" i="5" s="1"/>
  <c r="I89" i="5" s="1"/>
  <c r="H90" i="5" s="1"/>
  <c r="I90" i="5" s="1"/>
  <c r="H91" i="5" s="1"/>
  <c r="I91" i="5" s="1"/>
  <c r="H92" i="5" s="1"/>
  <c r="I92" i="5" s="1"/>
  <c r="H93" i="5" s="1"/>
  <c r="I93" i="5" s="1"/>
  <c r="H94" i="5" s="1"/>
  <c r="I94" i="5" s="1"/>
  <c r="H95" i="5" s="1"/>
  <c r="I95" i="5" s="1"/>
  <c r="H96" i="5" s="1"/>
  <c r="I96" i="5" s="1"/>
  <c r="H97" i="5" s="1"/>
  <c r="I97" i="5" s="1"/>
  <c r="H98" i="5" s="1"/>
  <c r="I98" i="5" s="1"/>
  <c r="J6" i="5"/>
  <c r="I7" i="5" s="1"/>
  <c r="J7" i="5" s="1"/>
  <c r="I8" i="5" s="1"/>
  <c r="J8" i="5" s="1"/>
  <c r="I9" i="5" s="1"/>
  <c r="J9" i="5" s="1"/>
  <c r="I10" i="5" s="1"/>
  <c r="J10" i="5" s="1"/>
  <c r="I11" i="5" s="1"/>
  <c r="J11" i="5" s="1"/>
  <c r="I12" i="5" s="1"/>
  <c r="J12" i="5" s="1"/>
  <c r="I13" i="5" s="1"/>
  <c r="J13" i="5" s="1"/>
  <c r="I14" i="5" s="1"/>
  <c r="J14" i="5" s="1"/>
  <c r="I15" i="5" s="1"/>
  <c r="J15" i="5" s="1"/>
  <c r="I16" i="5" s="1"/>
  <c r="J16" i="5" s="1"/>
  <c r="I17" i="5" s="1"/>
  <c r="J17" i="5" s="1"/>
  <c r="I18" i="5" s="1"/>
  <c r="J18" i="5" s="1"/>
  <c r="H44" i="8" l="1"/>
  <c r="I44" i="8" s="1"/>
  <c r="H45" i="8" s="1"/>
  <c r="I45" i="8" s="1"/>
  <c r="H46" i="8" s="1"/>
  <c r="I46" i="8" s="1"/>
  <c r="H47" i="8" s="1"/>
  <c r="I47" i="8" s="1"/>
  <c r="H48" i="8" s="1"/>
  <c r="I48" i="8" s="1"/>
  <c r="H49" i="8" s="1"/>
  <c r="I49" i="8" s="1"/>
  <c r="H50" i="8" s="1"/>
  <c r="I50" i="8" s="1"/>
  <c r="H51" i="8" s="1"/>
  <c r="I51" i="8" s="1"/>
  <c r="I34" i="5"/>
  <c r="J34" i="5" s="1"/>
  <c r="I35" i="5" s="1"/>
  <c r="J35" i="5" s="1"/>
  <c r="I36" i="5" s="1"/>
  <c r="J36" i="5" s="1"/>
  <c r="I37" i="5" s="1"/>
  <c r="J37" i="5" s="1"/>
  <c r="I38" i="5" s="1"/>
  <c r="J38" i="5" s="1"/>
  <c r="I39" i="5" s="1"/>
  <c r="J39" i="5" s="1"/>
  <c r="I40" i="5" s="1"/>
  <c r="J40" i="5" s="1"/>
  <c r="I41" i="5" s="1"/>
  <c r="J41" i="5" s="1"/>
  <c r="I42" i="5" s="1"/>
  <c r="J42" i="5" s="1"/>
  <c r="I43" i="5" s="1"/>
  <c r="J43" i="5" s="1"/>
  <c r="I44" i="5" s="1"/>
  <c r="J44" i="5" s="1"/>
  <c r="I45" i="5" s="1"/>
  <c r="J45" i="5" s="1"/>
  <c r="I46" i="5" s="1"/>
  <c r="J46" i="5" s="1"/>
  <c r="I47" i="5" s="1"/>
  <c r="J47" i="5" s="1"/>
  <c r="I48" i="5" s="1"/>
  <c r="J48" i="5" s="1"/>
  <c r="I49" i="5" s="1"/>
  <c r="J49" i="5" s="1"/>
  <c r="I50" i="5" s="1"/>
  <c r="J50" i="5" s="1"/>
  <c r="I51" i="5" s="1"/>
  <c r="J51" i="5" s="1"/>
  <c r="I19" i="5" l="1"/>
  <c r="J19" i="5" l="1"/>
  <c r="I20" i="5" s="1"/>
  <c r="J20" i="5" l="1"/>
  <c r="I21" i="5" s="1"/>
  <c r="J21" i="5" l="1"/>
  <c r="I22" i="5" s="1"/>
  <c r="J22" i="5" l="1"/>
  <c r="I23" i="5" s="1"/>
  <c r="J23" i="5" l="1"/>
  <c r="I24" i="5" s="1"/>
  <c r="J24" i="5" l="1"/>
  <c r="I25" i="5" s="1"/>
  <c r="J25" i="5" l="1"/>
  <c r="I26" i="5" s="1"/>
  <c r="J26" i="5" l="1"/>
</calcChain>
</file>

<file path=xl/sharedStrings.xml><?xml version="1.0" encoding="utf-8"?>
<sst xmlns="http://schemas.openxmlformats.org/spreadsheetml/2006/main" count="3303" uniqueCount="508">
  <si>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</si>
  <si>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</si>
  <si>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</si>
  <si>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</si>
  <si>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SMT終了からの経過時間</t>
    <rPh sb="3" eb="5">
      <t>シュウリョウ</t>
    </rPh>
    <rPh sb="8" eb="12">
      <t>ケイカジカン</t>
    </rPh>
    <phoneticPr fontId="1"/>
  </si>
  <si>
    <t>AOI工数</t>
    <rPh sb="3" eb="5">
      <t>コウスウ</t>
    </rPh>
    <phoneticPr fontId="1"/>
  </si>
  <si>
    <t>目視工数</t>
    <rPh sb="0" eb="2">
      <t>モクシ</t>
    </rPh>
    <rPh sb="2" eb="4">
      <t>コウスウ</t>
    </rPh>
    <phoneticPr fontId="1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</si>
  <si>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</si>
  <si>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</si>
  <si>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UR-0475</t>
  </si>
  <si>
    <t>Line-2</t>
  </si>
  <si>
    <t>―</t>
  </si>
  <si>
    <t>UR-0493</t>
  </si>
  <si>
    <t>UR-0558-01</t>
  </si>
  <si>
    <t>Line-3</t>
  </si>
  <si>
    <t>UR-0605</t>
  </si>
  <si>
    <t>マスタ未登録</t>
  </si>
  <si>
    <t>SMT終了予定時刻</t>
    <rPh sb="3" eb="7">
      <t>シュウリョウヨテイ</t>
    </rPh>
    <rPh sb="7" eb="9">
      <t>ジコク</t>
    </rPh>
    <phoneticPr fontId="2"/>
  </si>
  <si>
    <t>UR-05091-03</t>
  </si>
  <si>
    <t>UT-09061-03</t>
  </si>
  <si>
    <t>Line-1</t>
  </si>
  <si>
    <t>UR-06101-01</t>
  </si>
  <si>
    <t>URS-45353</t>
  </si>
  <si>
    <t>UR-0608</t>
  </si>
  <si>
    <t>UR-0552</t>
  </si>
  <si>
    <t>UR-0563</t>
  </si>
  <si>
    <t>TypeID</t>
  </si>
  <si>
    <t>orderNumber</t>
  </si>
  <si>
    <t>AOI終了予定時刻</t>
    <rPh sb="3" eb="5">
      <t>シュウリョウ</t>
    </rPh>
    <rPh sb="5" eb="9">
      <t>ヨテイジコク</t>
    </rPh>
    <phoneticPr fontId="1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</si>
  <si>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</si>
  <si>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</si>
  <si>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URS-42144-02</t>
  </si>
  <si>
    <t>UR-4341-02</t>
  </si>
  <si>
    <t>UR-0541</t>
  </si>
  <si>
    <t>UR-0488-01</t>
  </si>
  <si>
    <t>UR-0559-05</t>
  </si>
  <si>
    <t>あ</t>
    <phoneticPr fontId="1"/>
  </si>
  <si>
    <t>UR-0598</t>
  </si>
  <si>
    <t>UR-4207-01</t>
  </si>
  <si>
    <t>URS-42511</t>
  </si>
  <si>
    <t>UR-4349-01</t>
  </si>
  <si>
    <t>URS-4215</t>
  </si>
  <si>
    <t>UR-4488</t>
  </si>
  <si>
    <t>UR-4329-03</t>
  </si>
  <si>
    <t>UR-0481-01</t>
  </si>
  <si>
    <t>UR-0521</t>
  </si>
  <si>
    <t>UR-0511</t>
  </si>
  <si>
    <t>UR-0596</t>
  </si>
  <si>
    <t>Line-1</t>
    <phoneticPr fontId="2"/>
  </si>
  <si>
    <t>仕掛</t>
    <rPh sb="0" eb="2">
      <t>シカカリ</t>
    </rPh>
    <phoneticPr fontId="1"/>
  </si>
  <si>
    <t>Line-2</t>
    <phoneticPr fontId="2"/>
  </si>
  <si>
    <t>Line-3</t>
    <phoneticPr fontId="2"/>
  </si>
  <si>
    <t>UT-0965</t>
  </si>
  <si>
    <t>UR-0544</t>
  </si>
  <si>
    <t>UR-0547</t>
  </si>
  <si>
    <t>UT-0966</t>
  </si>
  <si>
    <t>UR-0548</t>
  </si>
  <si>
    <t>UR-4346</t>
  </si>
  <si>
    <t>UR-42952</t>
  </si>
  <si>
    <t>UR-0550</t>
  </si>
  <si>
    <t>UR-0551</t>
  </si>
  <si>
    <t>UR-0509-02</t>
  </si>
  <si>
    <t>URS-4013</t>
  </si>
  <si>
    <t>UR-0480</t>
  </si>
  <si>
    <t>UR-0489</t>
  </si>
  <si>
    <t>仕掛</t>
    <rPh sb="0" eb="2">
      <t>シカカリ</t>
    </rPh>
    <phoneticPr fontId="2"/>
  </si>
  <si>
    <t>UR-0520</t>
  </si>
  <si>
    <t>UR-0562</t>
  </si>
  <si>
    <t>URS-0584</t>
  </si>
  <si>
    <t>URS-4017</t>
  </si>
  <si>
    <t>UTS-0855</t>
  </si>
  <si>
    <t>UT-2507-01</t>
  </si>
  <si>
    <t>UR-0483</t>
  </si>
  <si>
    <t>UR-0523</t>
  </si>
  <si>
    <t>UR-0486</t>
  </si>
  <si>
    <t>UT-0986</t>
  </si>
  <si>
    <t>UT-1026</t>
  </si>
  <si>
    <t>URS-4532</t>
  </si>
  <si>
    <t>UT-0997</t>
  </si>
  <si>
    <t>UT-2508</t>
  </si>
  <si>
    <t>UR-4421-01</t>
  </si>
  <si>
    <t>UR-05972</t>
  </si>
  <si>
    <t>URS-42982</t>
  </si>
  <si>
    <t>URS-4289</t>
  </si>
  <si>
    <t>UR-05971</t>
  </si>
  <si>
    <t>UR-0505</t>
  </si>
  <si>
    <t>UT-0931-01</t>
  </si>
  <si>
    <t>UT-0996</t>
  </si>
  <si>
    <t>UT-0998</t>
  </si>
  <si>
    <t>UT-09992</t>
  </si>
  <si>
    <t>UT-09994</t>
  </si>
  <si>
    <t>URS-0540</t>
  </si>
  <si>
    <t>UR-0618</t>
  </si>
  <si>
    <t>URS-0542</t>
  </si>
  <si>
    <t>UR-0601</t>
  </si>
  <si>
    <t>UR-06194</t>
  </si>
  <si>
    <t>UR-0600</t>
  </si>
  <si>
    <t>UR-4424</t>
  </si>
  <si>
    <t>UR-43014</t>
  </si>
  <si>
    <t>UR-4377</t>
  </si>
  <si>
    <t>UR-4469</t>
  </si>
  <si>
    <t>UTS-07801</t>
  </si>
  <si>
    <t>UT-0948</t>
  </si>
  <si>
    <t>仕掛</t>
  </si>
  <si>
    <t>UR-0519</t>
  </si>
  <si>
    <t>UR-42143-02</t>
  </si>
  <si>
    <t>UR-0476</t>
  </si>
  <si>
    <t>UT-0781</t>
  </si>
  <si>
    <t>UT-0780</t>
  </si>
  <si>
    <t>UT-0816</t>
  </si>
  <si>
    <t>URS-36822</t>
  </si>
  <si>
    <t>UR-0553</t>
  </si>
  <si>
    <t>UR-4543</t>
  </si>
  <si>
    <t>URS-4533</t>
  </si>
  <si>
    <t>UT-1009</t>
  </si>
  <si>
    <t>URS-0578</t>
  </si>
  <si>
    <t>URS-0543</t>
  </si>
  <si>
    <t>URS-4530</t>
  </si>
  <si>
    <t>UR-43351-02</t>
  </si>
  <si>
    <t>UR-4207-02</t>
  </si>
  <si>
    <t>UR-43721</t>
  </si>
  <si>
    <t>UR-0554</t>
  </si>
  <si>
    <t>URS-0595</t>
  </si>
  <si>
    <t>UT-0972-02</t>
  </si>
  <si>
    <t>UT-0987-01</t>
  </si>
  <si>
    <t>UR-0388</t>
  </si>
  <si>
    <t>UT-0992-01</t>
  </si>
  <si>
    <t>UR-4461</t>
  </si>
  <si>
    <t>UR-4577</t>
  </si>
  <si>
    <t>←マスタ未登録</t>
    <rPh sb="4" eb="7">
      <t>ミ</t>
    </rPh>
    <phoneticPr fontId="2"/>
  </si>
  <si>
    <t>UTS-0918</t>
  </si>
  <si>
    <t>UR-0382</t>
  </si>
  <si>
    <t>211976035</t>
  </si>
  <si>
    <t>211972950</t>
  </si>
  <si>
    <t>211976037</t>
  </si>
  <si>
    <t>211976039</t>
  </si>
  <si>
    <t>URS-42881</t>
  </si>
  <si>
    <t>211976046</t>
  </si>
  <si>
    <t>UT-0932-03</t>
  </si>
  <si>
    <t>130007761</t>
  </si>
  <si>
    <t>UR-0396-01</t>
  </si>
  <si>
    <t>130007764</t>
  </si>
  <si>
    <t>UT-0935-01</t>
  </si>
  <si>
    <t>130007762</t>
  </si>
  <si>
    <t>UT-09351-01</t>
  </si>
  <si>
    <t>130007763</t>
  </si>
  <si>
    <t>UR-0451-01</t>
  </si>
  <si>
    <t>130007765</t>
  </si>
  <si>
    <t>UR-4338-03</t>
  </si>
  <si>
    <t>URS-0430</t>
  </si>
  <si>
    <t>211976593</t>
  </si>
  <si>
    <t>UR-0625</t>
  </si>
  <si>
    <t>211977231</t>
  </si>
  <si>
    <t>UR-0388-01</t>
  </si>
  <si>
    <t>130007769</t>
  </si>
  <si>
    <t>UT-09331-02</t>
  </si>
  <si>
    <t>130007766</t>
  </si>
  <si>
    <t>211977227</t>
  </si>
  <si>
    <t>211977269</t>
  </si>
  <si>
    <t>211977230</t>
  </si>
  <si>
    <t>211973424</t>
  </si>
  <si>
    <t>211977229</t>
  </si>
  <si>
    <t>UT-09361-02</t>
  </si>
  <si>
    <t>130007768</t>
  </si>
  <si>
    <t>211977228</t>
  </si>
  <si>
    <t>UT-0936-03</t>
  </si>
  <si>
    <t>130007767</t>
  </si>
  <si>
    <t>211977247</t>
  </si>
  <si>
    <t>211977226</t>
  </si>
  <si>
    <t>UT-0988</t>
  </si>
  <si>
    <t>211974568</t>
  </si>
  <si>
    <t>211977237</t>
  </si>
  <si>
    <t>211977266</t>
  </si>
  <si>
    <t>211977233</t>
  </si>
  <si>
    <t>211977238</t>
  </si>
  <si>
    <t>UR-0432-01</t>
  </si>
  <si>
    <t>130007771</t>
  </si>
  <si>
    <t>仕掛</t>
    <rPh sb="0" eb="2">
      <t>シカカリ</t>
    </rPh>
    <phoneticPr fontId="2"/>
  </si>
  <si>
    <t>UR-0591</t>
  </si>
  <si>
    <t>211977786</t>
  </si>
  <si>
    <t>211977779</t>
  </si>
  <si>
    <t>211977782</t>
  </si>
  <si>
    <t>211971201</t>
  </si>
  <si>
    <t>211977789</t>
  </si>
  <si>
    <t>UR-0490</t>
  </si>
  <si>
    <t>211975042</t>
  </si>
  <si>
    <t>211973425</t>
  </si>
  <si>
    <t>211977826</t>
  </si>
  <si>
    <t>211974056</t>
  </si>
  <si>
    <t>211977790</t>
  </si>
  <si>
    <t>211974057</t>
  </si>
  <si>
    <t>211977780</t>
  </si>
  <si>
    <t>211977800</t>
  </si>
  <si>
    <t>211977809</t>
  </si>
  <si>
    <t>UR-4487</t>
  </si>
  <si>
    <t>211977794</t>
  </si>
  <si>
    <t>211977781</t>
  </si>
  <si>
    <t>211978311</t>
  </si>
  <si>
    <t>211977839</t>
  </si>
  <si>
    <t>211975579</t>
  </si>
  <si>
    <t>URS-43013</t>
  </si>
  <si>
    <t>211978173</t>
  </si>
  <si>
    <t>UTS-0817-01</t>
  </si>
  <si>
    <t>211978336</t>
  </si>
  <si>
    <t>UT-1007</t>
  </si>
  <si>
    <t>211978330</t>
  </si>
  <si>
    <t>UT-1011</t>
  </si>
  <si>
    <t>211978331</t>
  </si>
  <si>
    <t>UR-4368</t>
  </si>
  <si>
    <t>211978314</t>
  </si>
  <si>
    <t>UTS-0879</t>
  </si>
  <si>
    <t>211978337</t>
  </si>
  <si>
    <t>211978332</t>
  </si>
  <si>
    <t>211978333</t>
  </si>
  <si>
    <t>UR-0610-01</t>
  </si>
  <si>
    <t>110012102</t>
  </si>
  <si>
    <t>211978310</t>
  </si>
  <si>
    <t>211977905</t>
  </si>
  <si>
    <t>URS-0576</t>
  </si>
  <si>
    <t>211978788</t>
  </si>
  <si>
    <t>UTS-0818-01</t>
  </si>
  <si>
    <t>211978800</t>
  </si>
  <si>
    <t>211978773</t>
  </si>
  <si>
    <t>211975580</t>
  </si>
  <si>
    <t>211978821</t>
  </si>
  <si>
    <t>211978777</t>
  </si>
  <si>
    <t>211978787</t>
  </si>
  <si>
    <t>211978775</t>
  </si>
  <si>
    <t>UT-1008</t>
  </si>
  <si>
    <t>211978795</t>
  </si>
  <si>
    <t>211978772</t>
  </si>
  <si>
    <t>UR-4425</t>
  </si>
  <si>
    <t>211978783</t>
  </si>
  <si>
    <t>211978776</t>
  </si>
  <si>
    <t>UR-4523</t>
  </si>
  <si>
    <t>211978785</t>
  </si>
  <si>
    <t>211978820</t>
  </si>
  <si>
    <t>UT-0909</t>
  </si>
  <si>
    <t>211978794</t>
  </si>
  <si>
    <t>211978774</t>
  </si>
  <si>
    <t>211972932</t>
  </si>
  <si>
    <t>UR-0611</t>
  </si>
  <si>
    <t>211978779</t>
  </si>
  <si>
    <t>211978778</t>
  </si>
  <si>
    <t>211977906</t>
  </si>
  <si>
    <t>1号機</t>
    <rPh sb="1" eb="3">
      <t>ゴウキ</t>
    </rPh>
    <phoneticPr fontId="2"/>
  </si>
  <si>
    <t>2号機</t>
    <rPh sb="1" eb="3">
      <t>ゴウキ</t>
    </rPh>
    <phoneticPr fontId="2"/>
  </si>
  <si>
    <t>211979396</t>
  </si>
  <si>
    <t>211977907</t>
  </si>
  <si>
    <t>211979272</t>
  </si>
  <si>
    <t>211976125</t>
  </si>
  <si>
    <t>211979397</t>
  </si>
  <si>
    <t>211975581</t>
  </si>
  <si>
    <t>UTS-0808-01</t>
  </si>
  <si>
    <t>211979419</t>
  </si>
  <si>
    <t>211979422</t>
  </si>
  <si>
    <t>211979405</t>
  </si>
  <si>
    <t>211979395</t>
  </si>
  <si>
    <t>211979393</t>
  </si>
  <si>
    <t>211979418</t>
  </si>
  <si>
    <t>211979394</t>
  </si>
  <si>
    <t>211979426</t>
  </si>
  <si>
    <t>211979404</t>
  </si>
  <si>
    <t>211979449</t>
  </si>
  <si>
    <t>211977837</t>
  </si>
  <si>
    <t>211979423</t>
  </si>
  <si>
    <t>URS-42883</t>
  </si>
  <si>
    <t>211979414</t>
  </si>
  <si>
    <t>C-UR-4545</t>
  </si>
  <si>
    <t>120006221</t>
  </si>
  <si>
    <t>211977838</t>
  </si>
  <si>
    <t>211979897</t>
  </si>
  <si>
    <t>211979919</t>
  </si>
  <si>
    <t>211979900</t>
  </si>
  <si>
    <t>211979923</t>
  </si>
  <si>
    <t>UT-1027</t>
  </si>
  <si>
    <t>211979922</t>
  </si>
  <si>
    <t>211979941</t>
  </si>
  <si>
    <t>211975582</t>
  </si>
  <si>
    <t>211977908</t>
  </si>
  <si>
    <t>211979898</t>
  </si>
  <si>
    <t>UR-4435</t>
  </si>
  <si>
    <t>211979909</t>
  </si>
  <si>
    <t>211979905</t>
  </si>
  <si>
    <t>211979904</t>
  </si>
  <si>
    <t>211979903</t>
  </si>
  <si>
    <t>URS-0594</t>
  </si>
  <si>
    <t>211979911</t>
  </si>
  <si>
    <t>211976126</t>
  </si>
  <si>
    <t>211979901</t>
  </si>
  <si>
    <t>211979902</t>
  </si>
  <si>
    <t>211979906</t>
  </si>
  <si>
    <t>211979899</t>
  </si>
  <si>
    <t>211976127</t>
  </si>
  <si>
    <t>211980505</t>
  </si>
  <si>
    <t>211980502</t>
  </si>
  <si>
    <t>UR-0617-01</t>
  </si>
  <si>
    <t>211980507</t>
  </si>
  <si>
    <t>211980529</t>
  </si>
  <si>
    <t>211980506</t>
  </si>
  <si>
    <t>URS-4273</t>
  </si>
  <si>
    <t>211980522</t>
  </si>
  <si>
    <t>211980500</t>
  </si>
  <si>
    <t>211977840</t>
  </si>
  <si>
    <t>211980523</t>
  </si>
  <si>
    <t>211980504</t>
  </si>
  <si>
    <t>211978380</t>
  </si>
  <si>
    <t>211980499</t>
  </si>
  <si>
    <t>211976128</t>
  </si>
  <si>
    <t>URS-0577</t>
  </si>
  <si>
    <t>211981013</t>
  </si>
  <si>
    <t>211978407</t>
  </si>
  <si>
    <t>211980555</t>
  </si>
  <si>
    <t>211980995</t>
  </si>
  <si>
    <t>211978924</t>
  </si>
  <si>
    <t>211980999</t>
  </si>
  <si>
    <t>211981010</t>
  </si>
  <si>
    <t>211981029</t>
  </si>
  <si>
    <t>211980994</t>
  </si>
  <si>
    <t>211980996</t>
  </si>
  <si>
    <t>211980997</t>
  </si>
  <si>
    <t>211981442</t>
  </si>
  <si>
    <t>211981456</t>
  </si>
  <si>
    <t>211981448</t>
  </si>
  <si>
    <t>211981438</t>
  </si>
  <si>
    <t>211981432</t>
  </si>
  <si>
    <t>211975043</t>
  </si>
  <si>
    <t>211981431</t>
  </si>
  <si>
    <t>211980556</t>
  </si>
  <si>
    <t>UTS-0967-01</t>
  </si>
  <si>
    <t>211981416</t>
  </si>
  <si>
    <t>211981457</t>
  </si>
  <si>
    <t>211981433</t>
  </si>
  <si>
    <t>211978379</t>
  </si>
  <si>
    <t>211981452</t>
  </si>
  <si>
    <t>211978921</t>
  </si>
  <si>
    <t>110012121</t>
  </si>
  <si>
    <t>211980557</t>
  </si>
  <si>
    <t>211973514</t>
  </si>
  <si>
    <t>211982138</t>
  </si>
  <si>
    <t>211982150</t>
  </si>
  <si>
    <t>URS-0419</t>
  </si>
  <si>
    <t>211982122</t>
  </si>
  <si>
    <t>211982135</t>
  </si>
  <si>
    <t>211982134</t>
  </si>
  <si>
    <t>211978922</t>
  </si>
  <si>
    <t>URS-4531</t>
  </si>
  <si>
    <t>211982149</t>
  </si>
  <si>
    <t>211978925</t>
  </si>
  <si>
    <t>211982678</t>
  </si>
  <si>
    <t>211982659</t>
  </si>
  <si>
    <t>211982656</t>
  </si>
  <si>
    <t>211982655</t>
  </si>
  <si>
    <t>211982654</t>
  </si>
  <si>
    <t>211982685</t>
  </si>
  <si>
    <t>211982657</t>
  </si>
  <si>
    <t>211982633</t>
  </si>
  <si>
    <t>211982630</t>
  </si>
  <si>
    <t>UT-1010</t>
  </si>
  <si>
    <t>211982632</t>
  </si>
  <si>
    <t>UR-42721</t>
  </si>
  <si>
    <t>211982661</t>
  </si>
  <si>
    <t>211982666</t>
  </si>
  <si>
    <t>211982658</t>
  </si>
  <si>
    <t>211982660</t>
  </si>
  <si>
    <t>211982677</t>
  </si>
  <si>
    <t>UR-43511</t>
  </si>
  <si>
    <t>211982662</t>
  </si>
  <si>
    <t>211980558</t>
  </si>
  <si>
    <t>211978923</t>
  </si>
  <si>
    <t>211982664</t>
  </si>
  <si>
    <t>211977901</t>
  </si>
  <si>
    <t>UR-0559-06</t>
    <phoneticPr fontId="2"/>
  </si>
  <si>
    <t>UR-0559-06</t>
  </si>
  <si>
    <t>211983197</t>
  </si>
  <si>
    <t>211983188</t>
  </si>
  <si>
    <t>URS-4272</t>
  </si>
  <si>
    <t>211983143</t>
  </si>
  <si>
    <t>211983182</t>
  </si>
  <si>
    <t>URS-0386-01</t>
  </si>
  <si>
    <t>211983187</t>
  </si>
  <si>
    <t>UR-06191</t>
  </si>
  <si>
    <t>211983174</t>
  </si>
  <si>
    <t>211983175</t>
  </si>
  <si>
    <t>211983173</t>
  </si>
  <si>
    <t>URS-0437-01</t>
  </si>
  <si>
    <t>211983216</t>
  </si>
  <si>
    <t>211981792</t>
  </si>
  <si>
    <t>211983205</t>
  </si>
  <si>
    <t>211980559</t>
  </si>
  <si>
    <t>211983194</t>
  </si>
  <si>
    <t>211983171</t>
  </si>
  <si>
    <t>UR-0524</t>
  </si>
  <si>
    <t>211983172</t>
  </si>
  <si>
    <t>211979990</t>
  </si>
  <si>
    <t>211983168</t>
  </si>
  <si>
    <t>211983178</t>
  </si>
  <si>
    <t>211983177</t>
  </si>
  <si>
    <t>211981790</t>
  </si>
  <si>
    <t>211983170</t>
  </si>
  <si>
    <t>211983142</t>
  </si>
  <si>
    <t>211980561</t>
  </si>
  <si>
    <t>3号機</t>
    <rPh sb="1" eb="3">
      <t>ゴウキ</t>
    </rPh>
    <phoneticPr fontId="2"/>
  </si>
  <si>
    <t>211983774</t>
  </si>
  <si>
    <t>211983769</t>
  </si>
  <si>
    <t>211983767</t>
  </si>
  <si>
    <t>211983777</t>
  </si>
  <si>
    <t>211983766</t>
  </si>
  <si>
    <t>211981793</t>
  </si>
  <si>
    <t>211983768</t>
  </si>
  <si>
    <t>211980560</t>
  </si>
  <si>
    <t>URS-0614</t>
  </si>
  <si>
    <t>211985382</t>
  </si>
  <si>
    <t>URS-0615</t>
  </si>
  <si>
    <t>211985383</t>
  </si>
  <si>
    <t>URS-0431</t>
  </si>
  <si>
    <t>211985381</t>
  </si>
  <si>
    <t>211985908</t>
  </si>
  <si>
    <t>211985887</t>
  </si>
  <si>
    <t>UT-0986-01</t>
  </si>
  <si>
    <t>130007821</t>
  </si>
  <si>
    <t>211985882</t>
  </si>
  <si>
    <t>211985879</t>
  </si>
  <si>
    <t>211985884</t>
  </si>
  <si>
    <t>211985913</t>
  </si>
  <si>
    <t>211985886</t>
  </si>
  <si>
    <t>211983860</t>
  </si>
  <si>
    <t>211985890</t>
  </si>
  <si>
    <t>211985891</t>
  </si>
  <si>
    <t>211985895</t>
  </si>
  <si>
    <t>211985905</t>
  </si>
  <si>
    <t>211985904</t>
  </si>
  <si>
    <t>211985881</t>
  </si>
  <si>
    <t>211985883</t>
  </si>
  <si>
    <t>211986407</t>
  </si>
  <si>
    <t>211986372</t>
  </si>
  <si>
    <t>211986396</t>
  </si>
  <si>
    <t>211986374</t>
  </si>
  <si>
    <t>211983861</t>
  </si>
  <si>
    <t>211986393</t>
  </si>
  <si>
    <t>211986375</t>
  </si>
  <si>
    <t>211984954</t>
  </si>
  <si>
    <t>UR-4348</t>
  </si>
  <si>
    <t>211986379</t>
  </si>
  <si>
    <t>211986365</t>
  </si>
  <si>
    <t>211986368</t>
  </si>
  <si>
    <t>211986358</t>
  </si>
  <si>
    <t>211986367</t>
  </si>
  <si>
    <t>211986366</t>
  </si>
  <si>
    <t>211986364</t>
  </si>
  <si>
    <t>211986369</t>
  </si>
  <si>
    <t>211986370</t>
  </si>
  <si>
    <t>211986371</t>
  </si>
  <si>
    <t>UR-0610-01</t>
    <phoneticPr fontId="2"/>
  </si>
  <si>
    <t>211986373</t>
  </si>
  <si>
    <t>211987047</t>
  </si>
  <si>
    <t>211987043</t>
  </si>
  <si>
    <t>211987044</t>
  </si>
  <si>
    <t>211987078</t>
  </si>
  <si>
    <t>211983862</t>
  </si>
  <si>
    <t>URS-0429</t>
  </si>
  <si>
    <t>211987055</t>
  </si>
  <si>
    <t>211987042</t>
  </si>
  <si>
    <t>URS-0580</t>
  </si>
  <si>
    <t>211987057</t>
  </si>
  <si>
    <t>211981121</t>
  </si>
  <si>
    <t>211987064</t>
  </si>
  <si>
    <t>211987048</t>
  </si>
  <si>
    <t>211987049</t>
  </si>
  <si>
    <t>211987045</t>
  </si>
  <si>
    <t>211987038</t>
  </si>
  <si>
    <t>211984404</t>
  </si>
  <si>
    <t>211987037</t>
  </si>
  <si>
    <t>211984952</t>
  </si>
  <si>
    <t>211987039</t>
  </si>
  <si>
    <t>211987041</t>
  </si>
  <si>
    <t>211987046</t>
  </si>
  <si>
    <t>211991317</t>
  </si>
  <si>
    <t>211991318</t>
  </si>
  <si>
    <t>211991315</t>
  </si>
  <si>
    <t>211987189</t>
  </si>
  <si>
    <t>211987269</t>
  </si>
  <si>
    <t>211991312</t>
  </si>
  <si>
    <t>UT-0970-01</t>
  </si>
  <si>
    <t>211991338</t>
  </si>
  <si>
    <t>211991306</t>
  </si>
  <si>
    <t>211991332</t>
  </si>
  <si>
    <t>211991324</t>
  </si>
  <si>
    <t>UTS-0831</t>
  </si>
  <si>
    <t>211991343</t>
  </si>
  <si>
    <t>211991340</t>
  </si>
  <si>
    <t>211991309</t>
  </si>
  <si>
    <t>211991310</t>
  </si>
  <si>
    <t>211991311</t>
  </si>
  <si>
    <t>211991308</t>
  </si>
  <si>
    <t>211983868</t>
  </si>
  <si>
    <t>211990105</t>
  </si>
  <si>
    <t>211983866</t>
  </si>
  <si>
    <t>211990122</t>
  </si>
  <si>
    <t>211987188</t>
  </si>
  <si>
    <t>211988563</t>
  </si>
  <si>
    <t>211984956</t>
  </si>
  <si>
    <t>211990829</t>
  </si>
  <si>
    <t>211991314</t>
  </si>
  <si>
    <t>211991316</t>
  </si>
  <si>
    <t>211987940</t>
  </si>
  <si>
    <t>211988564</t>
  </si>
  <si>
    <t>仕掛</t>
    <rPh sb="0" eb="2">
      <t>シカカリ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</si>
</sst>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&quot;h&quot;"/>
    <numFmt numFmtId="177" formatCode="hh:mm"/>
    <numFmt numFmtId="178" formatCode="[h]&quot;時&quot;&quot;間&quot;mm&quot;分&quot;"/>
  </numFmts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3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20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0" fillId="2" borderId="0" xfId="0" applyFill="1">
      <alignment vertical="center"/>
    </xf>
    <xf numFmtId="176" fontId="0" fillId="4" borderId="1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7" fontId="3" fillId="0" borderId="1" xfId="0" applyNumberFormat="1" applyFon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5" fillId="0" borderId="1" xfId="0" applyNumberFormat="1" applyFont="1" applyBorder="1">
      <alignment vertical="center"/>
    </xf>
    <xf numFmtId="177" fontId="5" fillId="0" borderId="0" xfId="0" applyNumberFormat="1" applyFont="1">
      <alignment vertical="center"/>
    </xf>
    <xf numFmtId="177" fontId="5" fillId="0" borderId="1" xfId="0" applyNumberFormat="1" applyFont="1" applyBorder="1" applyAlignment="1">
      <alignment horizontal="right" vertical="center"/>
    </xf>
    <xf numFmtId="20" fontId="0" fillId="0" borderId="2" xfId="0" applyNumberFormat="1" applyBorder="1">
      <alignment vertical="center"/>
    </xf>
    <xf numFmtId="20" fontId="0" fillId="2" borderId="2" xfId="0" applyNumberFormat="1" applyFill="1" applyBorder="1">
      <alignment vertical="center"/>
    </xf>
    <xf numFmtId="0" fontId="0" fillId="0" borderId="2" xfId="0" applyBorder="1">
      <alignment vertical="center"/>
    </xf>
    <xf numFmtId="177" fontId="3" fillId="5" borderId="1" xfId="0" applyNumberFormat="1" applyFont="1" applyFill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374AC0F-B8E3-479B-9153-5426692DBAA3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28</xdr:row>
      <xdr:rowOff>0</xdr:rowOff>
    </xdr:from>
    <xdr:to>
      <xdr:col>6</xdr:col>
      <xdr:colOff>0</xdr:colOff>
      <xdr:row>30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C5569E9-B459-451B-9BAF-A73B2C4E164F}"/>
            </a:ext>
          </a:extLst>
        </xdr:cNvPr>
        <xdr:cNvSpPr txBox="1"/>
      </xdr:nvSpPr>
      <xdr:spPr>
        <a:xfrm>
          <a:off x="780222" y="666750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16565</xdr:colOff>
      <xdr:row>77</xdr:row>
      <xdr:rowOff>124240</xdr:rowOff>
    </xdr:from>
    <xdr:to>
      <xdr:col>5</xdr:col>
      <xdr:colOff>0</xdr:colOff>
      <xdr:row>79</xdr:row>
      <xdr:rowOff>223632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7D80B5A-1E68-46D2-BE1C-1334BFF7A868}"/>
            </a:ext>
          </a:extLst>
        </xdr:cNvPr>
        <xdr:cNvSpPr txBox="1"/>
      </xdr:nvSpPr>
      <xdr:spPr>
        <a:xfrm>
          <a:off x="702365" y="1845986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53</xdr:row>
      <xdr:rowOff>0</xdr:rowOff>
    </xdr:from>
    <xdr:to>
      <xdr:col>6</xdr:col>
      <xdr:colOff>0</xdr:colOff>
      <xdr:row>55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9BBD09F-CC7B-47CE-B2D5-6747656F77CB}"/>
            </a:ext>
          </a:extLst>
        </xdr:cNvPr>
        <xdr:cNvSpPr txBox="1"/>
      </xdr:nvSpPr>
      <xdr:spPr>
        <a:xfrm>
          <a:off x="780222" y="126206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6338100-A837-4D52-81AA-E7C5D97E1120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13</xdr:row>
      <xdr:rowOff>0</xdr:rowOff>
    </xdr:from>
    <xdr:to>
      <xdr:col>6</xdr:col>
      <xdr:colOff>0</xdr:colOff>
      <xdr:row>15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E7052EC-BAA5-43AB-803B-AC4EB0B49481}"/>
            </a:ext>
          </a:extLst>
        </xdr:cNvPr>
        <xdr:cNvSpPr txBox="1"/>
      </xdr:nvSpPr>
      <xdr:spPr>
        <a:xfrm>
          <a:off x="780222" y="666750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16565</xdr:colOff>
      <xdr:row>35</xdr:row>
      <xdr:rowOff>124240</xdr:rowOff>
    </xdr:from>
    <xdr:to>
      <xdr:col>5</xdr:col>
      <xdr:colOff>0</xdr:colOff>
      <xdr:row>37</xdr:row>
      <xdr:rowOff>223632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F2A6237-A699-4450-9B9F-24E586A57F58}"/>
            </a:ext>
          </a:extLst>
        </xdr:cNvPr>
        <xdr:cNvSpPr txBox="1"/>
      </xdr:nvSpPr>
      <xdr:spPr>
        <a:xfrm>
          <a:off x="702365" y="1845986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26</xdr:row>
      <xdr:rowOff>0</xdr:rowOff>
    </xdr:from>
    <xdr:to>
      <xdr:col>6</xdr:col>
      <xdr:colOff>0</xdr:colOff>
      <xdr:row>28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ACB3C42-2130-49E9-AF3B-1438D46C30E6}"/>
            </a:ext>
          </a:extLst>
        </xdr:cNvPr>
        <xdr:cNvSpPr txBox="1"/>
      </xdr:nvSpPr>
      <xdr:spPr>
        <a:xfrm>
          <a:off x="780222" y="126206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0B2736A-CE62-455C-8D43-AC51CF429E78}"/>
            </a:ext>
          </a:extLst>
        </xdr:cNvPr>
        <xdr:cNvSpPr txBox="1"/>
      </xdr:nvSpPr>
      <xdr:spPr>
        <a:xfrm>
          <a:off x="934278" y="207065"/>
          <a:ext cx="57808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28</xdr:row>
      <xdr:rowOff>0</xdr:rowOff>
    </xdr:from>
    <xdr:to>
      <xdr:col>6</xdr:col>
      <xdr:colOff>0</xdr:colOff>
      <xdr:row>30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D81F81B-397E-422C-B9E3-D92D22C9F4D7}"/>
            </a:ext>
          </a:extLst>
        </xdr:cNvPr>
        <xdr:cNvSpPr txBox="1"/>
      </xdr:nvSpPr>
      <xdr:spPr>
        <a:xfrm>
          <a:off x="780222" y="8810625"/>
          <a:ext cx="57825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16565</xdr:colOff>
      <xdr:row>77</xdr:row>
      <xdr:rowOff>124240</xdr:rowOff>
    </xdr:from>
    <xdr:to>
      <xdr:col>5</xdr:col>
      <xdr:colOff>0</xdr:colOff>
      <xdr:row>79</xdr:row>
      <xdr:rowOff>223632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9DDFD82-EC0E-4EE3-8215-F4819F1C0198}"/>
            </a:ext>
          </a:extLst>
        </xdr:cNvPr>
        <xdr:cNvSpPr txBox="1"/>
      </xdr:nvSpPr>
      <xdr:spPr>
        <a:xfrm>
          <a:off x="702365" y="124240"/>
          <a:ext cx="35934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53</xdr:row>
      <xdr:rowOff>0</xdr:rowOff>
    </xdr:from>
    <xdr:to>
      <xdr:col>6</xdr:col>
      <xdr:colOff>0</xdr:colOff>
      <xdr:row>55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F475157-6F2E-4F30-A5B3-CB7741493B69}"/>
            </a:ext>
          </a:extLst>
        </xdr:cNvPr>
        <xdr:cNvSpPr txBox="1"/>
      </xdr:nvSpPr>
      <xdr:spPr>
        <a:xfrm>
          <a:off x="780222" y="666750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FECC-AE18-4371-B6F4-2D2BB673487A}">
  <dimension ref="A1:G81"/>
  <sheetViews>
    <sheetView topLeftCell="A61" workbookViewId="0">
      <selection activeCell="A74" sqref="A74:G76"/>
    </sheetView>
  </sheetViews>
  <sheetFormatPr defaultRowHeight="18.75"/>
  <cols>
    <col min="1" max="1" width="13.125" style="4" bestFit="1" customWidth="1"/>
    <col min="2" max="2" width="10.5" style="4" bestFit="1" customWidth="1"/>
    <col min="3" max="3" width="5.25" style="4" bestFit="1" customWidth="1"/>
    <col min="4" max="4" width="7.125" style="4" bestFit="1" customWidth="1"/>
    <col min="5" max="5" width="23.75" style="6" bestFit="1" customWidth="1"/>
    <col min="6" max="7" width="13" style="1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" t="s">
        <v>5</v>
      </c>
      <c r="G1" s="1" t="s">
        <v>6</v>
      </c>
    </row>
    <row r="2" spans="1:7">
      <c r="A2" s="4" t="s">
        <v>281</v>
      </c>
      <c r="B2" s="4" t="s">
        <v>339</v>
      </c>
      <c r="C2" s="4">
        <v>96</v>
      </c>
      <c r="D2" s="4" t="s">
        <v>20</v>
      </c>
      <c r="E2" s="6">
        <v>0.7937620370357763</v>
      </c>
      <c r="F2" s="1">
        <v>0.41666666666666674</v>
      </c>
      <c r="G2" s="1" t="s">
        <v>11</v>
      </c>
    </row>
    <row r="3" spans="1:7">
      <c r="A3" s="4" t="s">
        <v>71</v>
      </c>
      <c r="B3" s="4" t="s">
        <v>340</v>
      </c>
      <c r="C3" s="4">
        <v>48</v>
      </c>
      <c r="D3" s="4" t="s">
        <v>20</v>
      </c>
      <c r="E3" s="6">
        <v>0.76475740740715992</v>
      </c>
      <c r="F3" s="1">
        <v>1.0952380952380953</v>
      </c>
      <c r="G3" s="1">
        <v>0.4844178509099975</v>
      </c>
    </row>
    <row r="4" spans="1:7">
      <c r="A4" s="4" t="s">
        <v>59</v>
      </c>
      <c r="B4" s="4" t="s">
        <v>344</v>
      </c>
      <c r="C4" s="4">
        <v>48</v>
      </c>
      <c r="D4" s="4" t="s">
        <v>20</v>
      </c>
      <c r="E4" s="6">
        <v>0.62414398147666361</v>
      </c>
      <c r="F4" s="1">
        <v>2.1238095238095238</v>
      </c>
      <c r="G4" s="1">
        <v>3.5714285714285716</v>
      </c>
    </row>
    <row r="5" spans="1:7">
      <c r="A5" s="4" t="s">
        <v>46</v>
      </c>
      <c r="B5" s="4" t="s">
        <v>349</v>
      </c>
      <c r="C5" s="4">
        <v>448</v>
      </c>
      <c r="D5" s="4" t="s">
        <v>14</v>
      </c>
      <c r="E5" s="6">
        <v>0.14053287036949769</v>
      </c>
      <c r="F5" s="1">
        <v>0.25003382192148432</v>
      </c>
      <c r="G5" s="1">
        <v>0.27538584713378622</v>
      </c>
    </row>
    <row r="6" spans="1:7">
      <c r="A6" s="4" t="s">
        <v>73</v>
      </c>
      <c r="B6" s="4" t="s">
        <v>351</v>
      </c>
      <c r="C6" s="4">
        <v>48</v>
      </c>
      <c r="D6" s="4" t="s">
        <v>20</v>
      </c>
      <c r="E6" s="6">
        <v>0.10684074073651573</v>
      </c>
      <c r="F6" s="1">
        <v>1.4298245614035088</v>
      </c>
      <c r="G6" s="1">
        <v>1.275689223057644</v>
      </c>
    </row>
    <row r="7" spans="1:7">
      <c r="A7" s="4" t="s">
        <v>35</v>
      </c>
      <c r="B7" s="4" t="s">
        <v>354</v>
      </c>
      <c r="C7" s="4">
        <v>48</v>
      </c>
      <c r="D7" s="4" t="s">
        <v>14</v>
      </c>
      <c r="E7" s="6">
        <v>6.4259722217684612E-2</v>
      </c>
      <c r="F7" s="1">
        <v>0.67878561904761914</v>
      </c>
      <c r="G7" s="1">
        <v>0.66262704761904767</v>
      </c>
    </row>
    <row r="8" spans="1:7">
      <c r="A8" s="4" t="s">
        <v>25</v>
      </c>
      <c r="B8" s="4" t="s">
        <v>355</v>
      </c>
      <c r="C8" s="4">
        <v>48</v>
      </c>
      <c r="D8" s="4" t="s">
        <v>20</v>
      </c>
      <c r="E8" s="6">
        <v>5.7616203703219071E-2</v>
      </c>
      <c r="F8" s="1">
        <v>0.580952380952381</v>
      </c>
      <c r="G8" s="1" t="s">
        <v>11</v>
      </c>
    </row>
    <row r="9" spans="1:7">
      <c r="A9" s="4" t="s">
        <v>275</v>
      </c>
      <c r="B9" s="4" t="s">
        <v>356</v>
      </c>
      <c r="C9" s="4">
        <v>24</v>
      </c>
      <c r="D9" s="4" t="s">
        <v>20</v>
      </c>
      <c r="E9" s="6">
        <v>5.7581481480156071E-2</v>
      </c>
      <c r="F9" s="1">
        <v>0.30734610917537747</v>
      </c>
      <c r="G9" s="1" t="s">
        <v>11</v>
      </c>
    </row>
    <row r="12" spans="1:7">
      <c r="A12" s="4" t="s">
        <v>15</v>
      </c>
      <c r="B12" s="4" t="s">
        <v>350</v>
      </c>
      <c r="C12" s="4">
        <v>36</v>
      </c>
      <c r="D12" s="4" t="s">
        <v>10</v>
      </c>
      <c r="E12" s="6">
        <v>0.12734652777726296</v>
      </c>
      <c r="F12" s="1">
        <v>0.52834467119047612</v>
      </c>
      <c r="G12" s="1">
        <v>0.23820952380952384</v>
      </c>
    </row>
    <row r="13" spans="1:7">
      <c r="A13" s="4" t="s">
        <v>106</v>
      </c>
      <c r="B13" s="4" t="s">
        <v>352</v>
      </c>
      <c r="C13" s="4">
        <v>60</v>
      </c>
      <c r="D13" s="4" t="s">
        <v>10</v>
      </c>
      <c r="E13" s="6">
        <v>0.10195324074447853</v>
      </c>
      <c r="F13" s="1">
        <v>0.24850645386359674</v>
      </c>
      <c r="G13" s="1" t="s">
        <v>11</v>
      </c>
    </row>
    <row r="14" spans="1:7">
      <c r="A14" s="4" t="s">
        <v>9</v>
      </c>
      <c r="B14" s="4" t="s">
        <v>353</v>
      </c>
      <c r="C14" s="4">
        <v>48</v>
      </c>
      <c r="D14" s="4" t="s">
        <v>10</v>
      </c>
      <c r="E14" s="6">
        <v>7.1385879629815463E-2</v>
      </c>
      <c r="F14" s="1">
        <v>0.26879181424635967</v>
      </c>
      <c r="G14" s="1" t="s">
        <v>11</v>
      </c>
    </row>
    <row r="15" spans="1:7">
      <c r="A15" s="4" t="s">
        <v>64</v>
      </c>
      <c r="B15" s="4" t="s">
        <v>357</v>
      </c>
      <c r="C15" s="4">
        <v>48</v>
      </c>
      <c r="D15" s="4" t="s">
        <v>10</v>
      </c>
      <c r="E15" s="6">
        <v>4.6293287035950925E-2</v>
      </c>
      <c r="F15" s="1">
        <v>1.1933611768060515</v>
      </c>
      <c r="G15" s="1">
        <v>0.90150790855264284</v>
      </c>
    </row>
    <row r="20" spans="1:7">
      <c r="A20" s="4" t="s">
        <v>275</v>
      </c>
      <c r="B20" s="4" t="s">
        <v>356</v>
      </c>
      <c r="C20" s="4">
        <v>24</v>
      </c>
      <c r="D20" s="4" t="s">
        <v>20</v>
      </c>
      <c r="E20" s="6">
        <v>0.17721018518932397</v>
      </c>
      <c r="F20" s="1">
        <v>0.30734610917537747</v>
      </c>
      <c r="G20" s="1" t="s">
        <v>11</v>
      </c>
    </row>
    <row r="21" spans="1:7">
      <c r="A21" s="4" t="s">
        <v>358</v>
      </c>
      <c r="B21" s="4" t="s">
        <v>359</v>
      </c>
      <c r="C21" s="4">
        <v>24</v>
      </c>
      <c r="D21" s="4" t="s">
        <v>20</v>
      </c>
      <c r="E21" s="6">
        <v>0.14988379629357951</v>
      </c>
      <c r="F21" s="1">
        <v>0.24283854166666669</v>
      </c>
      <c r="G21" s="1" t="s">
        <v>11</v>
      </c>
    </row>
    <row r="22" spans="1:7">
      <c r="A22" s="4" t="s">
        <v>91</v>
      </c>
      <c r="B22" s="4" t="s">
        <v>362</v>
      </c>
      <c r="C22" s="4">
        <v>24</v>
      </c>
      <c r="D22" s="4" t="s">
        <v>20</v>
      </c>
      <c r="E22" s="6">
        <v>0.10041620370611781</v>
      </c>
      <c r="F22" s="1">
        <v>1.0666666666666669</v>
      </c>
      <c r="G22" s="1" t="s">
        <v>11</v>
      </c>
    </row>
    <row r="23" spans="1:7">
      <c r="A23" s="4" t="s">
        <v>119</v>
      </c>
      <c r="B23" s="4" t="s">
        <v>364</v>
      </c>
      <c r="C23" s="4">
        <v>180</v>
      </c>
      <c r="D23" s="4" t="s">
        <v>20</v>
      </c>
      <c r="E23" s="6">
        <v>5.7325925925397314E-2</v>
      </c>
      <c r="F23" s="1">
        <v>0.31522763660778846</v>
      </c>
      <c r="G23" s="1" t="s">
        <v>11</v>
      </c>
    </row>
    <row r="24" spans="1:7">
      <c r="A24" s="4" t="s">
        <v>366</v>
      </c>
      <c r="B24" s="4" t="s">
        <v>367</v>
      </c>
      <c r="C24" s="4">
        <v>72</v>
      </c>
      <c r="D24" s="4" t="s">
        <v>20</v>
      </c>
      <c r="E24" s="6">
        <v>1.4339814813865814E-2</v>
      </c>
      <c r="F24" s="1">
        <v>0.28637566137566139</v>
      </c>
      <c r="G24" s="1" t="s">
        <v>11</v>
      </c>
    </row>
    <row r="26" spans="1:7">
      <c r="A26" s="4" t="s">
        <v>64</v>
      </c>
      <c r="B26" s="4" t="s">
        <v>357</v>
      </c>
      <c r="C26" s="4">
        <v>48</v>
      </c>
      <c r="D26" s="4" t="s">
        <v>10</v>
      </c>
      <c r="E26" s="6">
        <v>7.7962499999557622E-2</v>
      </c>
      <c r="F26" s="1">
        <v>1.1933611768060515</v>
      </c>
      <c r="G26" s="1">
        <v>0.90150790855264284</v>
      </c>
    </row>
    <row r="27" spans="1:7">
      <c r="A27" s="4" t="s">
        <v>360</v>
      </c>
      <c r="B27" s="4" t="s">
        <v>361</v>
      </c>
      <c r="C27" s="4">
        <v>36</v>
      </c>
      <c r="D27" s="4" t="s">
        <v>20</v>
      </c>
      <c r="E27" s="6">
        <v>0.14076342592306901</v>
      </c>
      <c r="F27" s="1">
        <v>0.26911976911904761</v>
      </c>
      <c r="G27" s="1" t="s">
        <v>11</v>
      </c>
    </row>
    <row r="28" spans="1:7">
      <c r="A28" s="4" t="s">
        <v>178</v>
      </c>
      <c r="B28" s="4" t="s">
        <v>363</v>
      </c>
      <c r="C28" s="4">
        <v>12</v>
      </c>
      <c r="D28" s="4" t="s">
        <v>20</v>
      </c>
      <c r="E28" s="6">
        <v>8.2187037034600507E-2</v>
      </c>
      <c r="F28" s="1">
        <v>1.2</v>
      </c>
      <c r="G28" s="1" t="s">
        <v>11</v>
      </c>
    </row>
    <row r="29" spans="1:7">
      <c r="A29" s="4" t="s">
        <v>119</v>
      </c>
      <c r="B29" s="4" t="s">
        <v>365</v>
      </c>
      <c r="C29" s="4">
        <v>180</v>
      </c>
      <c r="D29" s="4" t="s">
        <v>20</v>
      </c>
      <c r="E29" s="6">
        <v>3.1689351853856351E-2</v>
      </c>
      <c r="F29" s="1">
        <v>0.31522763660778846</v>
      </c>
      <c r="G29" s="1" t="s">
        <v>11</v>
      </c>
    </row>
    <row r="35" spans="1:7">
      <c r="A35" s="4" t="s">
        <v>18</v>
      </c>
      <c r="B35" s="4" t="s">
        <v>368</v>
      </c>
      <c r="C35" s="4">
        <v>288</v>
      </c>
      <c r="D35" s="4" t="s">
        <v>14</v>
      </c>
      <c r="E35" s="6">
        <v>45587.719675925924</v>
      </c>
      <c r="F35" s="1">
        <v>2.428571428571427</v>
      </c>
      <c r="G35" s="1">
        <v>1.9523809523809526</v>
      </c>
    </row>
    <row r="36" spans="1:7">
      <c r="A36" s="4" t="s">
        <v>21</v>
      </c>
      <c r="B36" s="4" t="s">
        <v>369</v>
      </c>
      <c r="C36" s="4">
        <v>48</v>
      </c>
      <c r="D36" s="4" t="s">
        <v>14</v>
      </c>
      <c r="E36" s="6">
        <v>45587.787615740737</v>
      </c>
      <c r="F36" s="1">
        <v>0.75420015367682192</v>
      </c>
      <c r="G36" s="1">
        <v>0.84665545241210305</v>
      </c>
    </row>
    <row r="37" spans="1:7">
      <c r="A37" s="4" t="s">
        <v>127</v>
      </c>
      <c r="B37" s="4" t="s">
        <v>370</v>
      </c>
      <c r="C37" s="4">
        <v>192</v>
      </c>
      <c r="D37" s="4" t="s">
        <v>20</v>
      </c>
      <c r="E37" s="6">
        <v>45587.79173611111</v>
      </c>
      <c r="F37" s="1">
        <v>0.49226190476190484</v>
      </c>
      <c r="G37" s="1">
        <v>4.7523809523809533</v>
      </c>
    </row>
    <row r="38" spans="1:7">
      <c r="A38" s="4" t="s">
        <v>31</v>
      </c>
      <c r="B38" s="4" t="s">
        <v>371</v>
      </c>
      <c r="C38" s="4">
        <v>260</v>
      </c>
      <c r="D38" s="4" t="s">
        <v>20</v>
      </c>
      <c r="E38" s="6">
        <v>45587.974432870367</v>
      </c>
      <c r="F38" s="1">
        <v>1.4575464963854177</v>
      </c>
      <c r="G38" s="1">
        <v>1.0154901426365026</v>
      </c>
    </row>
    <row r="39" spans="1:7">
      <c r="A39" s="4" t="s">
        <v>366</v>
      </c>
      <c r="B39" s="4" t="s">
        <v>367</v>
      </c>
      <c r="C39" s="4">
        <v>72</v>
      </c>
      <c r="D39" s="4" t="s">
        <v>20</v>
      </c>
      <c r="E39" s="6">
        <v>45587.718611111108</v>
      </c>
      <c r="F39" s="1">
        <v>0.28637566137566139</v>
      </c>
      <c r="G39" s="1" t="s">
        <v>11</v>
      </c>
    </row>
    <row r="45" spans="1:7">
      <c r="A45" s="4" t="s">
        <v>204</v>
      </c>
      <c r="B45" s="4" t="s">
        <v>417</v>
      </c>
      <c r="C45" s="4">
        <v>24</v>
      </c>
      <c r="D45" s="4" t="s">
        <v>20</v>
      </c>
      <c r="E45" s="6">
        <v>0.767526455026455</v>
      </c>
      <c r="F45" s="1">
        <v>1.3929333333333334</v>
      </c>
    </row>
    <row r="46" spans="1:7">
      <c r="A46" s="4" t="s">
        <v>21</v>
      </c>
      <c r="B46" s="4" t="s">
        <v>424</v>
      </c>
      <c r="C46" s="4">
        <v>48</v>
      </c>
      <c r="D46" s="4" t="s">
        <v>14</v>
      </c>
      <c r="E46" s="6">
        <v>0.78142500640320089</v>
      </c>
      <c r="F46" s="1">
        <v>0.84665545241210305</v>
      </c>
    </row>
    <row r="47" spans="1:7">
      <c r="A47" s="4" t="s">
        <v>373</v>
      </c>
      <c r="B47" s="4" t="s">
        <v>425</v>
      </c>
      <c r="C47" s="4">
        <v>48</v>
      </c>
      <c r="D47" s="4" t="s">
        <v>14</v>
      </c>
      <c r="E47" s="6">
        <v>0.80970774053018502</v>
      </c>
      <c r="F47" s="1">
        <v>0.66262704761904767</v>
      </c>
    </row>
    <row r="48" spans="1:7">
      <c r="A48" s="4" t="s">
        <v>44</v>
      </c>
      <c r="B48" s="4" t="s">
        <v>421</v>
      </c>
      <c r="C48" s="4">
        <v>60</v>
      </c>
      <c r="D48" s="4" t="s">
        <v>10</v>
      </c>
      <c r="E48" s="6">
        <v>0.82619213581683315</v>
      </c>
      <c r="F48" s="1">
        <v>2.2697923545381169</v>
      </c>
    </row>
    <row r="49" spans="1:7">
      <c r="A49" s="4" t="s">
        <v>18</v>
      </c>
      <c r="B49" s="4" t="s">
        <v>426</v>
      </c>
      <c r="C49" s="4">
        <v>288</v>
      </c>
      <c r="D49" s="4" t="s">
        <v>14</v>
      </c>
      <c r="E49" s="6">
        <v>0.91089821672066118</v>
      </c>
      <c r="F49" s="1">
        <v>1.9523809523809526</v>
      </c>
    </row>
    <row r="50" spans="1:7">
      <c r="A50" s="4" t="s">
        <v>18</v>
      </c>
      <c r="B50" s="4" t="s">
        <v>426</v>
      </c>
      <c r="C50" s="4">
        <v>288</v>
      </c>
      <c r="D50" s="4" t="s">
        <v>14</v>
      </c>
      <c r="E50" s="6">
        <v>0.91089821672066118</v>
      </c>
      <c r="F50" s="1">
        <v>1.9523809523809526</v>
      </c>
    </row>
    <row r="51" spans="1:7">
      <c r="A51" s="4" t="s">
        <v>72</v>
      </c>
      <c r="B51" s="4" t="s">
        <v>433</v>
      </c>
      <c r="C51" s="4">
        <v>60</v>
      </c>
      <c r="D51" s="4" t="s">
        <v>10</v>
      </c>
      <c r="E51" s="6">
        <v>0.91822524387104565</v>
      </c>
      <c r="F51" s="1">
        <v>1.1620117710005353</v>
      </c>
    </row>
    <row r="52" spans="1:7">
      <c r="A52" s="4" t="s">
        <v>41</v>
      </c>
      <c r="B52" s="4" t="s">
        <v>431</v>
      </c>
      <c r="C52" s="4">
        <v>240</v>
      </c>
      <c r="D52" s="4" t="s">
        <v>20</v>
      </c>
      <c r="E52" s="6">
        <v>45601.986491402116</v>
      </c>
      <c r="F52" s="1">
        <v>0.2904761904761905</v>
      </c>
    </row>
    <row r="55" spans="1:7">
      <c r="A55" s="4" t="s">
        <v>21</v>
      </c>
      <c r="B55" s="4" t="s">
        <v>434</v>
      </c>
      <c r="C55" s="4">
        <v>48</v>
      </c>
      <c r="D55" s="4" t="s">
        <v>14</v>
      </c>
      <c r="E55" s="6">
        <v>0.16509606481849914</v>
      </c>
      <c r="F55" s="1">
        <v>0.75420015367682192</v>
      </c>
      <c r="G55" s="1">
        <v>0.84665545241210305</v>
      </c>
    </row>
    <row r="56" spans="1:7">
      <c r="A56" s="4" t="s">
        <v>373</v>
      </c>
      <c r="B56" s="4" t="s">
        <v>435</v>
      </c>
      <c r="C56" s="4">
        <v>48</v>
      </c>
      <c r="D56" s="4" t="s">
        <v>14</v>
      </c>
      <c r="E56" s="6">
        <v>0.1362303240748588</v>
      </c>
      <c r="F56" s="1">
        <v>0.67878561904761914</v>
      </c>
      <c r="G56" s="1">
        <v>0.66262704761904767</v>
      </c>
    </row>
    <row r="57" spans="1:7">
      <c r="A57" s="4" t="s">
        <v>18</v>
      </c>
      <c r="B57" s="4" t="s">
        <v>438</v>
      </c>
      <c r="C57" s="4">
        <v>288</v>
      </c>
      <c r="D57" s="4" t="s">
        <v>14</v>
      </c>
      <c r="E57" s="6">
        <v>3.6994212961872108E-2</v>
      </c>
      <c r="F57" s="1">
        <v>2.428571428571427</v>
      </c>
      <c r="G57" s="1">
        <v>1.9523809523809526</v>
      </c>
    </row>
    <row r="58" spans="1:7">
      <c r="A58" s="4" t="s">
        <v>102</v>
      </c>
      <c r="B58" s="4" t="s">
        <v>439</v>
      </c>
      <c r="C58" s="4">
        <v>12</v>
      </c>
      <c r="D58" s="4" t="s">
        <v>20</v>
      </c>
      <c r="E58" s="6">
        <v>2.3626157410035376E-2</v>
      </c>
      <c r="F58" s="1">
        <v>0.26190476190476192</v>
      </c>
      <c r="G58" s="1">
        <v>0.23812380952380954</v>
      </c>
    </row>
    <row r="59" spans="1:7">
      <c r="A59" s="4" t="s">
        <v>70</v>
      </c>
      <c r="B59" s="4" t="s">
        <v>436</v>
      </c>
      <c r="C59" s="4">
        <v>12</v>
      </c>
      <c r="D59" s="4" t="s">
        <v>20</v>
      </c>
      <c r="E59" s="6">
        <v>7.2827546297048684E-2</v>
      </c>
      <c r="F59" s="1">
        <v>0.30078520770010131</v>
      </c>
      <c r="G59" s="1" t="s">
        <v>11</v>
      </c>
    </row>
    <row r="60" spans="1:7">
      <c r="A60" s="4" t="s">
        <v>296</v>
      </c>
      <c r="B60" s="4" t="s">
        <v>437</v>
      </c>
      <c r="C60" s="4">
        <v>96</v>
      </c>
      <c r="D60" s="4" t="s">
        <v>20</v>
      </c>
      <c r="E60" s="6">
        <v>4.7584490741428453E-2</v>
      </c>
      <c r="F60" s="1">
        <v>0.65272019097876666</v>
      </c>
      <c r="G60" s="1" t="s">
        <v>11</v>
      </c>
    </row>
    <row r="61" spans="1:7">
      <c r="A61" s="4" t="s">
        <v>92</v>
      </c>
      <c r="B61" s="4" t="s">
        <v>440</v>
      </c>
      <c r="C61" s="4">
        <v>80</v>
      </c>
      <c r="D61" s="4" t="s">
        <v>20</v>
      </c>
      <c r="E61" s="6">
        <v>1.1809027775598224E-2</v>
      </c>
      <c r="F61" s="1">
        <v>0.2510460251046025</v>
      </c>
      <c r="G61" s="1" t="s">
        <v>11</v>
      </c>
    </row>
    <row r="64" spans="1:7">
      <c r="A64" s="4" t="s">
        <v>102</v>
      </c>
      <c r="B64" s="4" t="s">
        <v>439</v>
      </c>
      <c r="C64" s="4">
        <v>12</v>
      </c>
      <c r="D64" s="4" t="s">
        <v>20</v>
      </c>
      <c r="E64" s="18">
        <v>0.76091269841269837</v>
      </c>
      <c r="F64" s="1">
        <v>0.26190476190476192</v>
      </c>
      <c r="G64" s="1">
        <v>0.23812380952380954</v>
      </c>
    </row>
    <row r="65" spans="1:7">
      <c r="A65" s="4" t="s">
        <v>21</v>
      </c>
      <c r="B65" s="4" t="s">
        <v>434</v>
      </c>
      <c r="C65" s="4">
        <v>48</v>
      </c>
      <c r="D65" s="4" t="s">
        <v>14</v>
      </c>
      <c r="E65" s="18">
        <v>0.78142500640320089</v>
      </c>
      <c r="F65" s="1">
        <v>0.75420015367682192</v>
      </c>
      <c r="G65" s="1">
        <v>0.84665545241210305</v>
      </c>
    </row>
    <row r="66" spans="1:7">
      <c r="A66" s="4" t="s">
        <v>373</v>
      </c>
      <c r="B66" s="4" t="s">
        <v>435</v>
      </c>
      <c r="C66" s="4">
        <v>48</v>
      </c>
      <c r="D66" s="4" t="s">
        <v>14</v>
      </c>
      <c r="E66" s="18">
        <v>0.80970774053018502</v>
      </c>
      <c r="F66" s="1">
        <v>0.67878561904761914</v>
      </c>
      <c r="G66" s="1">
        <v>0.66262704761904767</v>
      </c>
    </row>
    <row r="67" spans="1:7">
      <c r="A67" s="4" t="s">
        <v>44</v>
      </c>
      <c r="B67" s="4" t="s">
        <v>444</v>
      </c>
      <c r="C67" s="4">
        <v>60</v>
      </c>
      <c r="D67" s="4" t="s">
        <v>10</v>
      </c>
      <c r="E67" s="18">
        <v>0.82619213581683315</v>
      </c>
      <c r="F67" s="1">
        <v>1.8286112596039952</v>
      </c>
      <c r="G67" s="1">
        <v>2.2697923545381169</v>
      </c>
    </row>
    <row r="68" spans="1:7">
      <c r="A68" s="4" t="s">
        <v>18</v>
      </c>
      <c r="B68" s="4" t="s">
        <v>438</v>
      </c>
      <c r="C68" s="4">
        <v>288</v>
      </c>
      <c r="D68" s="4" t="s">
        <v>14</v>
      </c>
      <c r="E68" s="18">
        <v>0.91089821672066118</v>
      </c>
      <c r="F68" s="1">
        <v>2.428571428571427</v>
      </c>
      <c r="G68" s="1">
        <v>1.9523809523809526</v>
      </c>
    </row>
    <row r="69" spans="1:7">
      <c r="A69" s="4" t="s">
        <v>64</v>
      </c>
      <c r="B69" s="4" t="s">
        <v>448</v>
      </c>
      <c r="C69" s="4">
        <v>48</v>
      </c>
      <c r="D69" s="4" t="s">
        <v>10</v>
      </c>
      <c r="E69" s="18">
        <v>45603.009804400892</v>
      </c>
      <c r="F69" s="1">
        <v>1.1933611768060515</v>
      </c>
      <c r="G69" s="1">
        <v>0.90150790855264284</v>
      </c>
    </row>
    <row r="70" spans="1:7">
      <c r="A70" s="4" t="s">
        <v>31</v>
      </c>
      <c r="B70" s="4" t="s">
        <v>441</v>
      </c>
      <c r="C70" s="4">
        <v>400</v>
      </c>
      <c r="D70" s="4" t="s">
        <v>20</v>
      </c>
      <c r="E70" s="18">
        <v>45603.048981791078</v>
      </c>
      <c r="F70" s="1">
        <v>2.1141740970032066</v>
      </c>
      <c r="G70" s="1">
        <v>1.4340873989279523</v>
      </c>
    </row>
    <row r="74" spans="1:7">
      <c r="A74" s="4" t="s">
        <v>214</v>
      </c>
      <c r="B74" s="4" t="s">
        <v>477</v>
      </c>
      <c r="C74" s="4">
        <v>48</v>
      </c>
      <c r="D74" s="4" t="s">
        <v>14</v>
      </c>
      <c r="E74" s="26">
        <v>8.7906134263903368E-2</v>
      </c>
      <c r="F74" s="1">
        <v>0.79487179487179527</v>
      </c>
      <c r="G74" s="1">
        <v>0.80952380952380953</v>
      </c>
    </row>
    <row r="75" spans="1:7">
      <c r="A75" s="4" t="s">
        <v>21</v>
      </c>
      <c r="B75" s="4" t="s">
        <v>478</v>
      </c>
      <c r="C75" s="4">
        <v>48</v>
      </c>
      <c r="D75" s="4" t="s">
        <v>14</v>
      </c>
      <c r="E75" s="26">
        <v>6.9075115745363291E-2</v>
      </c>
      <c r="F75" s="1">
        <v>0.75420015367682192</v>
      </c>
      <c r="G75" s="1">
        <v>0.84665545241210305</v>
      </c>
    </row>
    <row r="76" spans="1:7">
      <c r="A76" s="4" t="s">
        <v>373</v>
      </c>
      <c r="B76" s="4" t="s">
        <v>479</v>
      </c>
      <c r="C76" s="4">
        <v>48</v>
      </c>
      <c r="D76" s="4" t="s">
        <v>14</v>
      </c>
      <c r="E76" s="26">
        <v>4.1482523149170447E-2</v>
      </c>
      <c r="F76" s="1">
        <v>0.67878561904761914</v>
      </c>
      <c r="G76" s="1">
        <v>0.66262704761904767</v>
      </c>
    </row>
    <row r="77" spans="1:7">
      <c r="A77" s="4" t="s">
        <v>34</v>
      </c>
      <c r="B77" s="4" t="s">
        <v>480</v>
      </c>
      <c r="C77" s="4">
        <v>60</v>
      </c>
      <c r="D77" s="4" t="s">
        <v>10</v>
      </c>
      <c r="E77" s="26">
        <v>2.3681597223912831E-2</v>
      </c>
      <c r="F77" s="1">
        <v>0.60442083169355953</v>
      </c>
      <c r="G77" s="1">
        <v>0.50964187327823696</v>
      </c>
    </row>
    <row r="78" spans="1:7">
      <c r="A78" s="4" t="s">
        <v>97</v>
      </c>
      <c r="B78" s="4" t="s">
        <v>481</v>
      </c>
      <c r="C78" s="4">
        <v>96</v>
      </c>
      <c r="D78" s="4" t="s">
        <v>20</v>
      </c>
      <c r="E78" s="26">
        <v>1.5672337962314487E-2</v>
      </c>
      <c r="F78" s="1">
        <v>3.2485481997677121</v>
      </c>
      <c r="G78" s="1" t="s">
        <v>11</v>
      </c>
    </row>
    <row r="79" spans="1:7">
      <c r="A79" s="4" t="s">
        <v>85</v>
      </c>
      <c r="B79" s="4" t="s">
        <v>482</v>
      </c>
      <c r="C79" s="4">
        <v>48</v>
      </c>
      <c r="D79" s="4" t="s">
        <v>10</v>
      </c>
      <c r="E79" s="26">
        <v>1.3970949075883254E-2</v>
      </c>
      <c r="F79" s="1">
        <v>0.25685527019796683</v>
      </c>
      <c r="G79" s="1" t="s">
        <v>11</v>
      </c>
    </row>
    <row r="80" spans="1:7">
      <c r="A80" s="4" t="s">
        <v>483</v>
      </c>
      <c r="B80" s="4" t="s">
        <v>484</v>
      </c>
      <c r="C80" s="4">
        <v>30</v>
      </c>
      <c r="D80" s="4" t="s">
        <v>20</v>
      </c>
      <c r="E80" s="26">
        <v>6.1584490758832544E-3</v>
      </c>
      <c r="F80" s="1" t="s">
        <v>16</v>
      </c>
      <c r="G80" s="1" t="s">
        <v>11</v>
      </c>
    </row>
    <row r="81" spans="1:7">
      <c r="A81" s="4" t="s">
        <v>9</v>
      </c>
      <c r="B81" s="4" t="s">
        <v>485</v>
      </c>
      <c r="C81" s="4">
        <v>48</v>
      </c>
      <c r="D81" s="4" t="s">
        <v>10</v>
      </c>
      <c r="E81" s="26">
        <v>5.5797453751438297E-3</v>
      </c>
      <c r="F81" s="1">
        <v>0.26879181424635967</v>
      </c>
      <c r="G81" s="1" t="s">
        <v>11</v>
      </c>
    </row>
  </sheetData>
  <sortState xmlns:xlrd2="http://schemas.microsoft.com/office/spreadsheetml/2017/richdata2" ref="A64:G70">
    <sortCondition ref="E64:E70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E050-3D80-4ADB-AB84-5F4AE3F69EDC}">
  <sheetPr>
    <pageSetUpPr fitToPage="1"/>
  </sheetPr>
  <dimension ref="B2:L98"/>
  <sheetViews>
    <sheetView zoomScaleNormal="100" zoomScaleSheetLayoutView="85" workbookViewId="0">
      <selection activeCell="C14" sqref="C14"/>
    </sheetView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0" customWidth="1"/>
    <col min="7" max="7" width="9" style="2"/>
    <col min="8" max="8" width="13" style="2" bestFit="1" customWidth="1"/>
    <col min="9" max="9" width="20.625" bestFit="1" customWidth="1"/>
    <col min="10" max="10" width="20.625" customWidth="1"/>
    <col min="11" max="12" width="14.5" customWidth="1"/>
  </cols>
  <sheetData>
    <row r="2" spans="2:12">
      <c r="H2" s="16"/>
      <c r="I2" t="s">
        <v>129</v>
      </c>
    </row>
    <row r="4" spans="2:12">
      <c r="I4" s="3"/>
      <c r="J4" s="3"/>
      <c r="K4" s="3"/>
      <c r="L4" s="3"/>
    </row>
    <row r="5" spans="2:12">
      <c r="B5" s="4" t="s">
        <v>0</v>
      </c>
      <c r="C5" s="4" t="s">
        <v>1</v>
      </c>
      <c r="D5" s="4" t="s">
        <v>2</v>
      </c>
      <c r="E5" s="4" t="s">
        <v>3</v>
      </c>
      <c r="F5" s="7" t="s">
        <v>17</v>
      </c>
      <c r="G5" s="1" t="s">
        <v>5</v>
      </c>
      <c r="H5" s="1" t="s">
        <v>6</v>
      </c>
      <c r="I5" s="4" t="s">
        <v>7</v>
      </c>
      <c r="J5" s="4" t="s">
        <v>8</v>
      </c>
    </row>
    <row r="6" spans="2:12">
      <c r="B6" s="4"/>
      <c r="C6" s="4"/>
      <c r="D6" s="4"/>
      <c r="E6" s="4"/>
      <c r="F6" s="7"/>
      <c r="G6" s="1"/>
      <c r="H6" s="1"/>
      <c r="I6" s="5">
        <v>0.75</v>
      </c>
      <c r="J6" s="5">
        <f t="shared" ref="J6:J26" si="0">I6+G6/24</f>
        <v>0.75</v>
      </c>
      <c r="K6" s="3"/>
      <c r="L6" s="3"/>
    </row>
    <row r="7" spans="2:12">
      <c r="B7" s="4"/>
      <c r="C7" s="4"/>
      <c r="D7" s="4"/>
      <c r="E7" s="4"/>
      <c r="F7" s="7"/>
      <c r="G7" s="1"/>
      <c r="H7" s="1"/>
      <c r="I7" s="5">
        <f t="shared" ref="I7:I26" si="1">J6</f>
        <v>0.75</v>
      </c>
      <c r="J7" s="5">
        <f t="shared" si="0"/>
        <v>0.75</v>
      </c>
      <c r="K7" s="3"/>
      <c r="L7" s="3"/>
    </row>
    <row r="8" spans="2:12">
      <c r="B8" s="4"/>
      <c r="C8" s="4"/>
      <c r="D8" s="4"/>
      <c r="E8" s="4"/>
      <c r="F8" s="7"/>
      <c r="G8" s="1"/>
      <c r="H8" s="1"/>
      <c r="I8" s="5">
        <f t="shared" si="1"/>
        <v>0.75</v>
      </c>
      <c r="J8" s="5">
        <f t="shared" si="0"/>
        <v>0.75</v>
      </c>
      <c r="K8" s="3"/>
      <c r="L8" s="3"/>
    </row>
    <row r="9" spans="2:12">
      <c r="B9" s="4"/>
      <c r="C9" s="4"/>
      <c r="D9" s="4"/>
      <c r="E9" s="4"/>
      <c r="F9" s="7"/>
      <c r="G9" s="1"/>
      <c r="H9" s="1"/>
      <c r="I9" s="5">
        <f t="shared" si="1"/>
        <v>0.75</v>
      </c>
      <c r="J9" s="5">
        <f t="shared" si="0"/>
        <v>0.75</v>
      </c>
      <c r="K9" s="3"/>
      <c r="L9" s="3"/>
    </row>
    <row r="10" spans="2:12">
      <c r="B10" s="4"/>
      <c r="C10" s="4"/>
      <c r="D10" s="4"/>
      <c r="E10" s="4"/>
      <c r="F10" s="7"/>
      <c r="G10" s="1"/>
      <c r="H10" s="1"/>
      <c r="I10" s="5">
        <f>J9</f>
        <v>0.75</v>
      </c>
      <c r="J10" s="5">
        <f t="shared" si="0"/>
        <v>0.75</v>
      </c>
      <c r="K10" s="3"/>
      <c r="L10" s="3"/>
    </row>
    <row r="11" spans="2:12">
      <c r="B11" s="4"/>
      <c r="C11" s="4"/>
      <c r="D11" s="4"/>
      <c r="E11" s="4"/>
      <c r="F11" s="7"/>
      <c r="G11" s="1"/>
      <c r="H11" s="1"/>
      <c r="I11" s="5">
        <f t="shared" si="1"/>
        <v>0.75</v>
      </c>
      <c r="J11" s="5">
        <f t="shared" si="0"/>
        <v>0.75</v>
      </c>
      <c r="K11" s="3"/>
      <c r="L11" s="3"/>
    </row>
    <row r="12" spans="2:12">
      <c r="B12" s="4"/>
      <c r="C12" s="4"/>
      <c r="D12" s="4"/>
      <c r="E12" s="4"/>
      <c r="F12" s="7"/>
      <c r="G12" s="1"/>
      <c r="H12" s="1"/>
      <c r="I12" s="5">
        <f t="shared" si="1"/>
        <v>0.75</v>
      </c>
      <c r="J12" s="5">
        <f t="shared" si="0"/>
        <v>0.75</v>
      </c>
      <c r="K12" s="3"/>
      <c r="L12" s="3"/>
    </row>
    <row r="13" spans="2:12">
      <c r="B13" s="4"/>
      <c r="C13" s="4"/>
      <c r="D13" s="4"/>
      <c r="E13" s="4"/>
      <c r="F13" s="7"/>
      <c r="G13" s="1"/>
      <c r="H13" s="1"/>
      <c r="I13" s="5">
        <f t="shared" si="1"/>
        <v>0.75</v>
      </c>
      <c r="J13" s="5">
        <f t="shared" si="0"/>
        <v>0.75</v>
      </c>
      <c r="K13" s="3"/>
      <c r="L13" s="3"/>
    </row>
    <row r="14" spans="2:12">
      <c r="B14" s="4"/>
      <c r="C14" s="4"/>
      <c r="D14" s="4"/>
      <c r="E14" s="4"/>
      <c r="F14" s="7"/>
      <c r="G14" s="1"/>
      <c r="H14" s="1"/>
      <c r="I14" s="5">
        <f t="shared" si="1"/>
        <v>0.75</v>
      </c>
      <c r="J14" s="5">
        <f t="shared" si="0"/>
        <v>0.75</v>
      </c>
      <c r="K14" s="3"/>
      <c r="L14" s="3"/>
    </row>
    <row r="15" spans="2:12">
      <c r="B15" s="4"/>
      <c r="C15" s="4"/>
      <c r="D15" s="4"/>
      <c r="E15" s="4"/>
      <c r="F15" s="7"/>
      <c r="G15" s="1"/>
      <c r="H15" s="1"/>
      <c r="I15" s="5">
        <f t="shared" si="1"/>
        <v>0.75</v>
      </c>
      <c r="J15" s="5">
        <f t="shared" si="0"/>
        <v>0.75</v>
      </c>
      <c r="K15" s="3"/>
      <c r="L15" s="3"/>
    </row>
    <row r="16" spans="2:12">
      <c r="B16" s="4"/>
      <c r="C16" s="4"/>
      <c r="D16" s="4"/>
      <c r="E16" s="4"/>
      <c r="F16" s="7"/>
      <c r="G16" s="1"/>
      <c r="H16" s="1"/>
      <c r="I16" s="5">
        <f t="shared" si="1"/>
        <v>0.75</v>
      </c>
      <c r="J16" s="5">
        <f t="shared" si="0"/>
        <v>0.75</v>
      </c>
      <c r="K16" s="3"/>
      <c r="L16" s="3"/>
    </row>
    <row r="17" spans="2:12">
      <c r="B17" s="4"/>
      <c r="C17" s="4"/>
      <c r="D17" s="4"/>
      <c r="E17" s="4"/>
      <c r="F17" s="7"/>
      <c r="G17" s="1"/>
      <c r="H17" s="1"/>
      <c r="I17" s="5">
        <f t="shared" si="1"/>
        <v>0.75</v>
      </c>
      <c r="J17" s="5">
        <f t="shared" si="0"/>
        <v>0.75</v>
      </c>
      <c r="K17" s="3"/>
      <c r="L17" s="3"/>
    </row>
    <row r="18" spans="2:12">
      <c r="B18" s="4"/>
      <c r="C18" s="4"/>
      <c r="D18" s="4"/>
      <c r="E18" s="4"/>
      <c r="F18" s="7"/>
      <c r="G18" s="1"/>
      <c r="H18" s="1"/>
      <c r="I18" s="5">
        <f t="shared" si="1"/>
        <v>0.75</v>
      </c>
      <c r="J18" s="5">
        <f t="shared" si="0"/>
        <v>0.75</v>
      </c>
      <c r="K18" s="3"/>
      <c r="L18" s="3"/>
    </row>
    <row r="19" spans="2:12">
      <c r="B19" s="4"/>
      <c r="C19" s="4"/>
      <c r="D19" s="4"/>
      <c r="E19" s="4"/>
      <c r="F19" s="7"/>
      <c r="G19" s="1"/>
      <c r="H19" s="1"/>
      <c r="I19" s="5">
        <f t="shared" si="1"/>
        <v>0.75</v>
      </c>
      <c r="J19" s="5">
        <f t="shared" si="0"/>
        <v>0.75</v>
      </c>
      <c r="K19" s="3"/>
      <c r="L19" s="3"/>
    </row>
    <row r="20" spans="2:12">
      <c r="B20" s="4"/>
      <c r="C20" s="4"/>
      <c r="D20" s="4"/>
      <c r="E20" s="4"/>
      <c r="F20" s="7"/>
      <c r="G20" s="1"/>
      <c r="H20" s="1"/>
      <c r="I20" s="5">
        <f t="shared" si="1"/>
        <v>0.75</v>
      </c>
      <c r="J20" s="5">
        <f t="shared" si="0"/>
        <v>0.75</v>
      </c>
      <c r="K20" s="3"/>
      <c r="L20" s="3"/>
    </row>
    <row r="21" spans="2:12">
      <c r="B21" s="4"/>
      <c r="C21" s="4"/>
      <c r="D21" s="4"/>
      <c r="E21" s="4"/>
      <c r="F21" s="7"/>
      <c r="G21" s="1"/>
      <c r="H21" s="1"/>
      <c r="I21" s="5">
        <f t="shared" si="1"/>
        <v>0.75</v>
      </c>
      <c r="J21" s="5">
        <f t="shared" si="0"/>
        <v>0.75</v>
      </c>
      <c r="K21" s="3"/>
      <c r="L21" s="3"/>
    </row>
    <row r="22" spans="2:12">
      <c r="B22" s="4"/>
      <c r="C22" s="4"/>
      <c r="D22" s="4"/>
      <c r="E22" s="4"/>
      <c r="F22" s="7"/>
      <c r="G22" s="1"/>
      <c r="H22" s="1"/>
      <c r="I22" s="5">
        <f t="shared" si="1"/>
        <v>0.75</v>
      </c>
      <c r="J22" s="5">
        <f t="shared" si="0"/>
        <v>0.75</v>
      </c>
      <c r="K22" s="3"/>
      <c r="L22" s="3"/>
    </row>
    <row r="23" spans="2:12">
      <c r="B23" s="4"/>
      <c r="C23" s="4"/>
      <c r="D23" s="4"/>
      <c r="E23" s="4"/>
      <c r="F23" s="7"/>
      <c r="G23" s="1"/>
      <c r="H23" s="1"/>
      <c r="I23" s="5">
        <f t="shared" si="1"/>
        <v>0.75</v>
      </c>
      <c r="J23" s="5">
        <f t="shared" si="0"/>
        <v>0.75</v>
      </c>
      <c r="K23" s="3"/>
      <c r="L23" s="3"/>
    </row>
    <row r="24" spans="2:12">
      <c r="B24" s="4"/>
      <c r="C24" s="4"/>
      <c r="D24" s="4"/>
      <c r="E24" s="4"/>
      <c r="F24" s="7"/>
      <c r="G24" s="1"/>
      <c r="H24" s="1"/>
      <c r="I24" s="5">
        <f t="shared" si="1"/>
        <v>0.75</v>
      </c>
      <c r="J24" s="5">
        <f t="shared" si="0"/>
        <v>0.75</v>
      </c>
      <c r="K24" s="3"/>
      <c r="L24" s="3"/>
    </row>
    <row r="25" spans="2:12">
      <c r="B25" s="4"/>
      <c r="C25" s="4"/>
      <c r="D25" s="4"/>
      <c r="E25" s="4"/>
      <c r="F25" s="7"/>
      <c r="G25" s="1"/>
      <c r="H25" s="1"/>
      <c r="I25" s="5">
        <f t="shared" si="1"/>
        <v>0.75</v>
      </c>
      <c r="J25" s="5">
        <f t="shared" si="0"/>
        <v>0.75</v>
      </c>
      <c r="K25" s="3"/>
      <c r="L25" s="3"/>
    </row>
    <row r="26" spans="2:12">
      <c r="B26" s="4"/>
      <c r="C26" s="4"/>
      <c r="D26" s="4"/>
      <c r="E26" s="4"/>
      <c r="F26" s="7"/>
      <c r="G26" s="1"/>
      <c r="H26" s="1"/>
      <c r="I26" s="5">
        <f t="shared" si="1"/>
        <v>0.75</v>
      </c>
      <c r="J26" s="5">
        <f t="shared" si="0"/>
        <v>0.75</v>
      </c>
      <c r="K26" s="3"/>
      <c r="L26" s="3"/>
    </row>
    <row r="31" spans="2:12">
      <c r="I31" s="3"/>
    </row>
    <row r="32" spans="2:12">
      <c r="B32" s="4" t="s">
        <v>0</v>
      </c>
      <c r="C32" s="4" t="s">
        <v>1</v>
      </c>
      <c r="D32" s="4" t="s">
        <v>2</v>
      </c>
      <c r="E32" s="4" t="s">
        <v>3</v>
      </c>
      <c r="F32" s="7" t="s">
        <v>17</v>
      </c>
      <c r="G32" s="1" t="s">
        <v>5</v>
      </c>
      <c r="H32" s="1" t="s">
        <v>6</v>
      </c>
      <c r="I32" s="4" t="s">
        <v>7</v>
      </c>
      <c r="J32" s="4" t="s">
        <v>8</v>
      </c>
    </row>
    <row r="33" spans="2:12">
      <c r="B33" s="4"/>
      <c r="C33" s="4"/>
      <c r="D33" s="4"/>
      <c r="E33" s="4"/>
      <c r="F33" s="7"/>
      <c r="G33" s="1"/>
      <c r="H33" s="1"/>
      <c r="I33" s="5">
        <v>0.75</v>
      </c>
      <c r="J33" s="5">
        <f>I33+G33/24</f>
        <v>0.75</v>
      </c>
      <c r="K33" s="3"/>
      <c r="L33" s="3"/>
    </row>
    <row r="34" spans="2:12">
      <c r="B34" s="4"/>
      <c r="C34" s="4"/>
      <c r="D34" s="4"/>
      <c r="E34" s="4"/>
      <c r="F34" s="7"/>
      <c r="G34" s="1"/>
      <c r="H34" s="1"/>
      <c r="I34" s="5">
        <f t="shared" ref="I34:I51" si="2">J33</f>
        <v>0.75</v>
      </c>
      <c r="J34" s="5">
        <f t="shared" ref="J34:J51" si="3">I34+G34/24</f>
        <v>0.75</v>
      </c>
      <c r="K34" s="3"/>
      <c r="L34" s="3"/>
    </row>
    <row r="35" spans="2:12">
      <c r="B35" s="4"/>
      <c r="C35" s="4"/>
      <c r="D35" s="4"/>
      <c r="E35" s="4"/>
      <c r="F35" s="7"/>
      <c r="G35" s="1"/>
      <c r="H35" s="1"/>
      <c r="I35" s="5">
        <f t="shared" si="2"/>
        <v>0.75</v>
      </c>
      <c r="J35" s="5">
        <f t="shared" si="3"/>
        <v>0.75</v>
      </c>
      <c r="K35" s="3"/>
      <c r="L35" s="3"/>
    </row>
    <row r="36" spans="2:12">
      <c r="B36" s="4"/>
      <c r="C36" s="4"/>
      <c r="D36" s="4"/>
      <c r="E36" s="4"/>
      <c r="F36" s="7"/>
      <c r="G36" s="1"/>
      <c r="H36" s="1"/>
      <c r="I36" s="5">
        <f t="shared" si="2"/>
        <v>0.75</v>
      </c>
      <c r="J36" s="5">
        <f t="shared" si="3"/>
        <v>0.75</v>
      </c>
      <c r="K36" s="3"/>
      <c r="L36" s="3"/>
    </row>
    <row r="37" spans="2:12">
      <c r="B37" s="4"/>
      <c r="C37" s="4"/>
      <c r="D37" s="4"/>
      <c r="E37" s="4"/>
      <c r="F37" s="7"/>
      <c r="G37" s="1"/>
      <c r="H37" s="1"/>
      <c r="I37" s="5">
        <f t="shared" si="2"/>
        <v>0.75</v>
      </c>
      <c r="J37" s="5">
        <f t="shared" si="3"/>
        <v>0.75</v>
      </c>
      <c r="K37" s="3"/>
      <c r="L37" s="3"/>
    </row>
    <row r="38" spans="2:12">
      <c r="B38" s="4"/>
      <c r="C38" s="4"/>
      <c r="D38" s="4"/>
      <c r="E38" s="4"/>
      <c r="F38" s="7"/>
      <c r="G38" s="1"/>
      <c r="H38" s="1"/>
      <c r="I38" s="5">
        <f t="shared" si="2"/>
        <v>0.75</v>
      </c>
      <c r="J38" s="5">
        <f t="shared" si="3"/>
        <v>0.75</v>
      </c>
      <c r="K38" s="3"/>
      <c r="L38" s="3"/>
    </row>
    <row r="39" spans="2:12">
      <c r="B39" s="4"/>
      <c r="C39" s="4"/>
      <c r="D39" s="4"/>
      <c r="E39" s="4"/>
      <c r="F39" s="7"/>
      <c r="G39" s="1"/>
      <c r="H39" s="1"/>
      <c r="I39" s="5">
        <f t="shared" si="2"/>
        <v>0.75</v>
      </c>
      <c r="J39" s="5">
        <f t="shared" si="3"/>
        <v>0.75</v>
      </c>
      <c r="K39" s="3"/>
      <c r="L39" s="3"/>
    </row>
    <row r="40" spans="2:12">
      <c r="B40" s="4"/>
      <c r="C40" s="4"/>
      <c r="D40" s="4"/>
      <c r="E40" s="4"/>
      <c r="F40" s="7"/>
      <c r="G40" s="1"/>
      <c r="H40" s="1"/>
      <c r="I40" s="5">
        <f t="shared" si="2"/>
        <v>0.75</v>
      </c>
      <c r="J40" s="5">
        <f t="shared" si="3"/>
        <v>0.75</v>
      </c>
      <c r="K40" s="3"/>
      <c r="L40" s="3"/>
    </row>
    <row r="41" spans="2:12">
      <c r="B41" s="4"/>
      <c r="C41" s="4"/>
      <c r="D41" s="4"/>
      <c r="E41" s="4"/>
      <c r="F41" s="7"/>
      <c r="G41" s="1"/>
      <c r="H41" s="1"/>
      <c r="I41" s="5">
        <f t="shared" si="2"/>
        <v>0.75</v>
      </c>
      <c r="J41" s="5">
        <f t="shared" si="3"/>
        <v>0.75</v>
      </c>
      <c r="K41" s="3"/>
      <c r="L41" s="3"/>
    </row>
    <row r="42" spans="2:12">
      <c r="B42" s="4"/>
      <c r="C42" s="4"/>
      <c r="D42" s="4"/>
      <c r="E42" s="4"/>
      <c r="F42" s="7"/>
      <c r="G42" s="1"/>
      <c r="H42" s="1"/>
      <c r="I42" s="5">
        <f t="shared" si="2"/>
        <v>0.75</v>
      </c>
      <c r="J42" s="5">
        <f t="shared" si="3"/>
        <v>0.75</v>
      </c>
      <c r="K42" s="3"/>
      <c r="L42" s="3"/>
    </row>
    <row r="43" spans="2:12">
      <c r="B43" s="4"/>
      <c r="C43" s="4"/>
      <c r="D43" s="4"/>
      <c r="E43" s="4"/>
      <c r="F43" s="7"/>
      <c r="G43" s="1"/>
      <c r="H43" s="1"/>
      <c r="I43" s="5">
        <f t="shared" si="2"/>
        <v>0.75</v>
      </c>
      <c r="J43" s="5">
        <f t="shared" si="3"/>
        <v>0.75</v>
      </c>
      <c r="K43" s="3"/>
      <c r="L43" s="3"/>
    </row>
    <row r="44" spans="2:12">
      <c r="B44" s="4"/>
      <c r="C44" s="4"/>
      <c r="D44" s="4"/>
      <c r="E44" s="4"/>
      <c r="F44" s="7"/>
      <c r="G44" s="1"/>
      <c r="H44" s="1"/>
      <c r="I44" s="5">
        <f t="shared" si="2"/>
        <v>0.75</v>
      </c>
      <c r="J44" s="5">
        <f t="shared" si="3"/>
        <v>0.75</v>
      </c>
      <c r="K44" s="3"/>
      <c r="L44" s="3"/>
    </row>
    <row r="45" spans="2:12">
      <c r="B45" s="4"/>
      <c r="C45" s="4"/>
      <c r="D45" s="4"/>
      <c r="E45" s="4"/>
      <c r="F45" s="7"/>
      <c r="G45" s="1"/>
      <c r="H45" s="1"/>
      <c r="I45" s="5">
        <f t="shared" si="2"/>
        <v>0.75</v>
      </c>
      <c r="J45" s="5">
        <f t="shared" si="3"/>
        <v>0.75</v>
      </c>
      <c r="K45" s="3"/>
      <c r="L45" s="3"/>
    </row>
    <row r="46" spans="2:12">
      <c r="B46" s="4"/>
      <c r="C46" s="4"/>
      <c r="D46" s="4"/>
      <c r="E46" s="4"/>
      <c r="F46" s="7"/>
      <c r="G46" s="1"/>
      <c r="H46" s="1"/>
      <c r="I46" s="5">
        <f t="shared" si="2"/>
        <v>0.75</v>
      </c>
      <c r="J46" s="5">
        <f t="shared" si="3"/>
        <v>0.75</v>
      </c>
      <c r="K46" s="3"/>
      <c r="L46" s="3"/>
    </row>
    <row r="47" spans="2:12">
      <c r="B47" s="4"/>
      <c r="C47" s="4"/>
      <c r="D47" s="4"/>
      <c r="E47" s="4"/>
      <c r="F47" s="7"/>
      <c r="G47" s="1"/>
      <c r="H47" s="1"/>
      <c r="I47" s="5">
        <f t="shared" si="2"/>
        <v>0.75</v>
      </c>
      <c r="J47" s="5">
        <f t="shared" si="3"/>
        <v>0.75</v>
      </c>
      <c r="K47" s="3"/>
      <c r="L47" s="3"/>
    </row>
    <row r="48" spans="2:12">
      <c r="B48" s="4"/>
      <c r="C48" s="4"/>
      <c r="D48" s="4"/>
      <c r="E48" s="4"/>
      <c r="F48" s="7"/>
      <c r="G48" s="1"/>
      <c r="H48" s="1"/>
      <c r="I48" s="5">
        <f t="shared" si="2"/>
        <v>0.75</v>
      </c>
      <c r="J48" s="5">
        <f t="shared" si="3"/>
        <v>0.75</v>
      </c>
      <c r="K48" s="3"/>
      <c r="L48" s="3"/>
    </row>
    <row r="49" spans="2:12">
      <c r="B49" s="4"/>
      <c r="C49" s="4"/>
      <c r="D49" s="4"/>
      <c r="E49" s="4"/>
      <c r="F49" s="7"/>
      <c r="G49" s="1"/>
      <c r="H49" s="1"/>
      <c r="I49" s="5">
        <f t="shared" si="2"/>
        <v>0.75</v>
      </c>
      <c r="J49" s="5">
        <f t="shared" si="3"/>
        <v>0.75</v>
      </c>
      <c r="K49" s="3"/>
      <c r="L49" s="3"/>
    </row>
    <row r="50" spans="2:12">
      <c r="B50" s="4"/>
      <c r="C50" s="4"/>
      <c r="D50" s="4"/>
      <c r="E50" s="4"/>
      <c r="F50" s="7"/>
      <c r="G50" s="1"/>
      <c r="H50" s="1"/>
      <c r="I50" s="5">
        <f t="shared" si="2"/>
        <v>0.75</v>
      </c>
      <c r="J50" s="5">
        <f t="shared" si="3"/>
        <v>0.75</v>
      </c>
      <c r="K50" s="3"/>
      <c r="L50" s="3"/>
    </row>
    <row r="51" spans="2:12">
      <c r="B51" s="4"/>
      <c r="C51" s="4"/>
      <c r="D51" s="4"/>
      <c r="E51" s="4"/>
      <c r="F51" s="7"/>
      <c r="G51" s="1"/>
      <c r="H51" s="1"/>
      <c r="I51" s="5">
        <f t="shared" si="2"/>
        <v>0.75</v>
      </c>
      <c r="J51" s="5">
        <f t="shared" si="3"/>
        <v>0.75</v>
      </c>
      <c r="K51" s="3"/>
      <c r="L51" s="3"/>
    </row>
    <row r="56" spans="2:12">
      <c r="I56" s="3"/>
    </row>
    <row r="57" spans="2:12">
      <c r="B57" s="4" t="s">
        <v>0</v>
      </c>
      <c r="C57" s="4" t="s">
        <v>1</v>
      </c>
      <c r="D57" s="4" t="s">
        <v>2</v>
      </c>
      <c r="E57" s="4" t="s">
        <v>3</v>
      </c>
      <c r="F57" s="7" t="s">
        <v>17</v>
      </c>
      <c r="G57" s="1" t="s">
        <v>5</v>
      </c>
      <c r="H57" s="1" t="s">
        <v>6</v>
      </c>
      <c r="I57" s="4" t="s">
        <v>7</v>
      </c>
      <c r="J57" s="4" t="s">
        <v>8</v>
      </c>
    </row>
    <row r="58" spans="2:12">
      <c r="B58" s="4"/>
      <c r="C58" s="4"/>
      <c r="D58" s="4"/>
      <c r="E58" s="4"/>
      <c r="F58" s="7"/>
      <c r="G58" s="1"/>
      <c r="H58" s="1"/>
      <c r="I58" s="5">
        <v>0.75</v>
      </c>
      <c r="J58" s="5">
        <f>I58+G58/24</f>
        <v>0.75</v>
      </c>
      <c r="K58" s="3"/>
      <c r="L58" s="3"/>
    </row>
    <row r="59" spans="2:12">
      <c r="B59" s="4"/>
      <c r="C59" s="4"/>
      <c r="D59" s="4"/>
      <c r="E59" s="4"/>
      <c r="F59" s="7"/>
      <c r="G59" s="1"/>
      <c r="H59" s="1"/>
      <c r="I59" s="5">
        <f t="shared" ref="I59:I76" si="4">J58</f>
        <v>0.75</v>
      </c>
      <c r="J59" s="5">
        <f t="shared" ref="J59:J76" si="5">I59+G59/24</f>
        <v>0.75</v>
      </c>
      <c r="K59" s="3"/>
      <c r="L59" s="3"/>
    </row>
    <row r="60" spans="2:12">
      <c r="B60" s="4"/>
      <c r="C60" s="4"/>
      <c r="D60" s="4"/>
      <c r="E60" s="4"/>
      <c r="F60" s="7"/>
      <c r="G60" s="1"/>
      <c r="H60" s="1"/>
      <c r="I60" s="5">
        <f t="shared" si="4"/>
        <v>0.75</v>
      </c>
      <c r="J60" s="5">
        <f t="shared" si="5"/>
        <v>0.75</v>
      </c>
      <c r="K60" s="3"/>
      <c r="L60" s="3"/>
    </row>
    <row r="61" spans="2:12">
      <c r="B61" s="4"/>
      <c r="C61" s="4"/>
      <c r="D61" s="4"/>
      <c r="E61" s="4"/>
      <c r="F61" s="7"/>
      <c r="G61" s="1"/>
      <c r="H61" s="1"/>
      <c r="I61" s="5">
        <f t="shared" si="4"/>
        <v>0.75</v>
      </c>
      <c r="J61" s="5">
        <f t="shared" si="5"/>
        <v>0.75</v>
      </c>
      <c r="K61" s="3"/>
      <c r="L61" s="3"/>
    </row>
    <row r="62" spans="2:12">
      <c r="B62" s="4"/>
      <c r="C62" s="4"/>
      <c r="D62" s="4"/>
      <c r="E62" s="4"/>
      <c r="F62" s="7"/>
      <c r="G62" s="1"/>
      <c r="H62" s="1"/>
      <c r="I62" s="5">
        <f t="shared" si="4"/>
        <v>0.75</v>
      </c>
      <c r="J62" s="5">
        <f t="shared" si="5"/>
        <v>0.75</v>
      </c>
      <c r="K62" s="3"/>
      <c r="L62" s="3"/>
    </row>
    <row r="63" spans="2:12">
      <c r="B63" s="4"/>
      <c r="C63" s="4"/>
      <c r="D63" s="4"/>
      <c r="E63" s="4"/>
      <c r="F63" s="7"/>
      <c r="G63" s="1"/>
      <c r="H63" s="1"/>
      <c r="I63" s="5">
        <f t="shared" si="4"/>
        <v>0.75</v>
      </c>
      <c r="J63" s="5">
        <f t="shared" si="5"/>
        <v>0.75</v>
      </c>
      <c r="K63" s="3"/>
      <c r="L63" s="3"/>
    </row>
    <row r="64" spans="2:12">
      <c r="B64" s="4"/>
      <c r="C64" s="4"/>
      <c r="D64" s="4"/>
      <c r="E64" s="4"/>
      <c r="F64" s="7"/>
      <c r="G64" s="1"/>
      <c r="H64" s="1"/>
      <c r="I64" s="5">
        <f t="shared" si="4"/>
        <v>0.75</v>
      </c>
      <c r="J64" s="5">
        <f t="shared" si="5"/>
        <v>0.75</v>
      </c>
      <c r="K64" s="3"/>
      <c r="L64" s="3"/>
    </row>
    <row r="65" spans="2:12">
      <c r="B65" s="4"/>
      <c r="C65" s="4"/>
      <c r="D65" s="4"/>
      <c r="E65" s="4"/>
      <c r="F65" s="7"/>
      <c r="G65" s="1"/>
      <c r="H65" s="1"/>
      <c r="I65" s="5">
        <f t="shared" si="4"/>
        <v>0.75</v>
      </c>
      <c r="J65" s="5">
        <f t="shared" si="5"/>
        <v>0.75</v>
      </c>
      <c r="K65" s="3"/>
      <c r="L65" s="3"/>
    </row>
    <row r="66" spans="2:12">
      <c r="B66" s="4"/>
      <c r="C66" s="4"/>
      <c r="D66" s="4"/>
      <c r="E66" s="4"/>
      <c r="F66" s="7"/>
      <c r="G66" s="1"/>
      <c r="H66" s="1"/>
      <c r="I66" s="5">
        <f t="shared" si="4"/>
        <v>0.75</v>
      </c>
      <c r="J66" s="5">
        <f t="shared" si="5"/>
        <v>0.75</v>
      </c>
      <c r="K66" s="3"/>
      <c r="L66" s="3"/>
    </row>
    <row r="67" spans="2:12">
      <c r="B67" s="4"/>
      <c r="C67" s="4"/>
      <c r="D67" s="4"/>
      <c r="E67" s="4"/>
      <c r="F67" s="7"/>
      <c r="G67" s="1"/>
      <c r="H67" s="1"/>
      <c r="I67" s="5">
        <f t="shared" si="4"/>
        <v>0.75</v>
      </c>
      <c r="J67" s="5">
        <f t="shared" si="5"/>
        <v>0.75</v>
      </c>
      <c r="K67" s="3"/>
      <c r="L67" s="3"/>
    </row>
    <row r="68" spans="2:12">
      <c r="B68" s="4"/>
      <c r="C68" s="4"/>
      <c r="D68" s="4"/>
      <c r="E68" s="4"/>
      <c r="F68" s="7"/>
      <c r="G68" s="1"/>
      <c r="H68" s="1"/>
      <c r="I68" s="5">
        <f t="shared" si="4"/>
        <v>0.75</v>
      </c>
      <c r="J68" s="5">
        <f t="shared" si="5"/>
        <v>0.75</v>
      </c>
      <c r="K68" s="3"/>
      <c r="L68" s="3"/>
    </row>
    <row r="69" spans="2:12">
      <c r="B69" s="4"/>
      <c r="C69" s="4"/>
      <c r="D69" s="4"/>
      <c r="E69" s="4"/>
      <c r="F69" s="7"/>
      <c r="G69" s="1"/>
      <c r="H69" s="1"/>
      <c r="I69" s="5">
        <f t="shared" si="4"/>
        <v>0.75</v>
      </c>
      <c r="J69" s="5">
        <f t="shared" si="5"/>
        <v>0.75</v>
      </c>
      <c r="K69" s="3"/>
      <c r="L69" s="3"/>
    </row>
    <row r="70" spans="2:12">
      <c r="B70" s="4"/>
      <c r="C70" s="4"/>
      <c r="D70" s="4"/>
      <c r="E70" s="4"/>
      <c r="F70" s="7"/>
      <c r="G70" s="1"/>
      <c r="H70" s="1"/>
      <c r="I70" s="5">
        <f t="shared" si="4"/>
        <v>0.75</v>
      </c>
      <c r="J70" s="5">
        <f t="shared" si="5"/>
        <v>0.75</v>
      </c>
      <c r="K70" s="3"/>
      <c r="L70" s="3"/>
    </row>
    <row r="71" spans="2:12">
      <c r="B71" s="4"/>
      <c r="C71" s="4"/>
      <c r="D71" s="4"/>
      <c r="E71" s="4"/>
      <c r="F71" s="7"/>
      <c r="G71" s="1"/>
      <c r="H71" s="1"/>
      <c r="I71" s="5">
        <f t="shared" si="4"/>
        <v>0.75</v>
      </c>
      <c r="J71" s="5">
        <f t="shared" si="5"/>
        <v>0.75</v>
      </c>
      <c r="K71" s="3"/>
      <c r="L71" s="3"/>
    </row>
    <row r="72" spans="2:12">
      <c r="B72" s="4"/>
      <c r="C72" s="4"/>
      <c r="D72" s="4"/>
      <c r="E72" s="4"/>
      <c r="F72" s="7"/>
      <c r="G72" s="1"/>
      <c r="H72" s="1"/>
      <c r="I72" s="5">
        <f t="shared" si="4"/>
        <v>0.75</v>
      </c>
      <c r="J72" s="5">
        <f t="shared" si="5"/>
        <v>0.75</v>
      </c>
      <c r="K72" s="3"/>
      <c r="L72" s="3"/>
    </row>
    <row r="73" spans="2:12">
      <c r="B73" s="4"/>
      <c r="C73" s="4"/>
      <c r="D73" s="4"/>
      <c r="E73" s="4"/>
      <c r="F73" s="7"/>
      <c r="G73" s="1"/>
      <c r="H73" s="1"/>
      <c r="I73" s="5">
        <f t="shared" si="4"/>
        <v>0.75</v>
      </c>
      <c r="J73" s="5">
        <f t="shared" si="5"/>
        <v>0.75</v>
      </c>
      <c r="K73" s="3"/>
      <c r="L73" s="3"/>
    </row>
    <row r="74" spans="2:12">
      <c r="B74" s="4"/>
      <c r="C74" s="4"/>
      <c r="D74" s="4"/>
      <c r="E74" s="4"/>
      <c r="F74" s="7"/>
      <c r="G74" s="1"/>
      <c r="H74" s="1"/>
      <c r="I74" s="5">
        <f t="shared" si="4"/>
        <v>0.75</v>
      </c>
      <c r="J74" s="5">
        <f t="shared" si="5"/>
        <v>0.75</v>
      </c>
      <c r="K74" s="3"/>
      <c r="L74" s="3"/>
    </row>
    <row r="75" spans="2:12">
      <c r="B75" s="4"/>
      <c r="C75" s="4"/>
      <c r="D75" s="4"/>
      <c r="E75" s="4"/>
      <c r="F75" s="7"/>
      <c r="G75" s="1"/>
      <c r="H75" s="1"/>
      <c r="I75" s="5">
        <f t="shared" si="4"/>
        <v>0.75</v>
      </c>
      <c r="J75" s="5">
        <f t="shared" si="5"/>
        <v>0.75</v>
      </c>
      <c r="K75" s="3"/>
      <c r="L75" s="3"/>
    </row>
    <row r="76" spans="2:12">
      <c r="B76" s="4"/>
      <c r="C76" s="4"/>
      <c r="D76" s="4"/>
      <c r="E76" s="4"/>
      <c r="F76" s="7"/>
      <c r="G76" s="1"/>
      <c r="H76" s="1"/>
      <c r="I76" s="5">
        <f t="shared" si="4"/>
        <v>0.75</v>
      </c>
      <c r="J76" s="5">
        <f t="shared" si="5"/>
        <v>0.75</v>
      </c>
      <c r="K76" s="3"/>
      <c r="L76" s="3"/>
    </row>
    <row r="78" spans="2:12">
      <c r="G78"/>
      <c r="H78"/>
    </row>
    <row r="79" spans="2:12">
      <c r="G79" s="16"/>
      <c r="H79" t="s">
        <v>129</v>
      </c>
    </row>
    <row r="80" spans="2:12">
      <c r="G80"/>
      <c r="H80"/>
    </row>
    <row r="81" spans="2:9">
      <c r="G81"/>
      <c r="H81"/>
    </row>
    <row r="82" spans="2:9">
      <c r="B82" s="4" t="s">
        <v>26</v>
      </c>
      <c r="C82" s="4" t="s">
        <v>27</v>
      </c>
      <c r="D82" s="4" t="s">
        <v>2</v>
      </c>
      <c r="E82" s="4" t="s">
        <v>3</v>
      </c>
      <c r="F82" s="19" t="s">
        <v>28</v>
      </c>
      <c r="G82" s="1" t="s">
        <v>6</v>
      </c>
      <c r="H82" s="4" t="s">
        <v>29</v>
      </c>
      <c r="I82" s="4" t="s">
        <v>30</v>
      </c>
    </row>
    <row r="83" spans="2:9">
      <c r="B83" s="4"/>
      <c r="C83" s="4"/>
      <c r="D83" s="4"/>
      <c r="E83" s="4"/>
      <c r="F83" s="19"/>
      <c r="G83" s="1"/>
      <c r="H83" s="5">
        <v>0.75</v>
      </c>
      <c r="I83" s="5">
        <f>H83+G83/24</f>
        <v>0.75</v>
      </c>
    </row>
    <row r="84" spans="2:9">
      <c r="B84" s="4"/>
      <c r="C84" s="4"/>
      <c r="D84" s="4"/>
      <c r="E84" s="4"/>
      <c r="F84" s="19"/>
      <c r="G84" s="1"/>
      <c r="H84" s="5">
        <f>I83</f>
        <v>0.75</v>
      </c>
      <c r="I84" s="5">
        <f>H84+G84/24</f>
        <v>0.75</v>
      </c>
    </row>
    <row r="85" spans="2:9">
      <c r="B85" s="4"/>
      <c r="C85" s="4"/>
      <c r="D85" s="4"/>
      <c r="E85" s="4"/>
      <c r="F85" s="19"/>
      <c r="G85" s="1"/>
      <c r="H85" s="5">
        <f>I84</f>
        <v>0.75</v>
      </c>
      <c r="I85" s="5">
        <f t="shared" ref="I85:I98" si="6">H85+G85/24</f>
        <v>0.75</v>
      </c>
    </row>
    <row r="86" spans="2:9">
      <c r="B86" s="4"/>
      <c r="C86" s="4"/>
      <c r="D86" s="4"/>
      <c r="E86" s="4"/>
      <c r="F86" s="19"/>
      <c r="G86" s="1"/>
      <c r="H86" s="5">
        <f>I85</f>
        <v>0.75</v>
      </c>
      <c r="I86" s="5">
        <f t="shared" si="6"/>
        <v>0.75</v>
      </c>
    </row>
    <row r="87" spans="2:9">
      <c r="B87" s="4"/>
      <c r="C87" s="4"/>
      <c r="D87" s="4"/>
      <c r="E87" s="4"/>
      <c r="F87" s="19"/>
      <c r="G87" s="1"/>
      <c r="H87" s="5">
        <f>I86</f>
        <v>0.75</v>
      </c>
      <c r="I87" s="5">
        <f t="shared" si="6"/>
        <v>0.75</v>
      </c>
    </row>
    <row r="88" spans="2:9">
      <c r="B88" s="4"/>
      <c r="C88" s="4"/>
      <c r="D88" s="4"/>
      <c r="E88" s="4"/>
      <c r="F88" s="19"/>
      <c r="G88" s="1"/>
      <c r="H88" s="5">
        <f t="shared" ref="H88:H97" si="7">I87</f>
        <v>0.75</v>
      </c>
      <c r="I88" s="5">
        <f t="shared" si="6"/>
        <v>0.75</v>
      </c>
    </row>
    <row r="89" spans="2:9">
      <c r="B89" s="4"/>
      <c r="C89" s="4"/>
      <c r="D89" s="4"/>
      <c r="E89" s="4"/>
      <c r="F89" s="19"/>
      <c r="G89" s="1"/>
      <c r="H89" s="5">
        <f t="shared" si="7"/>
        <v>0.75</v>
      </c>
      <c r="I89" s="5">
        <f t="shared" si="6"/>
        <v>0.75</v>
      </c>
    </row>
    <row r="90" spans="2:9">
      <c r="B90" s="4"/>
      <c r="C90" s="4"/>
      <c r="D90" s="4"/>
      <c r="E90" s="4"/>
      <c r="F90" s="19"/>
      <c r="G90" s="1"/>
      <c r="H90" s="5">
        <f t="shared" si="7"/>
        <v>0.75</v>
      </c>
      <c r="I90" s="5">
        <f t="shared" si="6"/>
        <v>0.75</v>
      </c>
    </row>
    <row r="91" spans="2:9">
      <c r="B91" s="4"/>
      <c r="C91" s="4"/>
      <c r="D91" s="4"/>
      <c r="E91" s="4"/>
      <c r="F91" s="19"/>
      <c r="G91" s="1"/>
      <c r="H91" s="5">
        <f t="shared" si="7"/>
        <v>0.75</v>
      </c>
      <c r="I91" s="5">
        <f t="shared" si="6"/>
        <v>0.75</v>
      </c>
    </row>
    <row r="92" spans="2:9">
      <c r="B92" s="4"/>
      <c r="C92" s="4"/>
      <c r="D92" s="4"/>
      <c r="E92" s="4"/>
      <c r="F92" s="19"/>
      <c r="G92" s="1"/>
      <c r="H92" s="5">
        <f t="shared" si="7"/>
        <v>0.75</v>
      </c>
      <c r="I92" s="5">
        <f t="shared" si="6"/>
        <v>0.75</v>
      </c>
    </row>
    <row r="93" spans="2:9">
      <c r="B93" s="4"/>
      <c r="C93" s="4"/>
      <c r="D93" s="4"/>
      <c r="E93" s="5"/>
      <c r="F93" s="19"/>
      <c r="G93" s="1"/>
      <c r="H93" s="5">
        <f t="shared" si="7"/>
        <v>0.75</v>
      </c>
      <c r="I93" s="5">
        <f t="shared" si="6"/>
        <v>0.75</v>
      </c>
    </row>
    <row r="94" spans="2:9">
      <c r="B94" s="4"/>
      <c r="C94" s="4"/>
      <c r="D94" s="4"/>
      <c r="E94" s="4"/>
      <c r="F94" s="19"/>
      <c r="G94" s="1"/>
      <c r="H94" s="5">
        <f t="shared" si="7"/>
        <v>0.75</v>
      </c>
      <c r="I94" s="5">
        <f t="shared" si="6"/>
        <v>0.75</v>
      </c>
    </row>
    <row r="95" spans="2:9">
      <c r="B95" s="4"/>
      <c r="C95" s="4"/>
      <c r="D95" s="4"/>
      <c r="E95" s="4"/>
      <c r="F95" s="19"/>
      <c r="G95" s="1"/>
      <c r="H95" s="5">
        <f t="shared" si="7"/>
        <v>0.75</v>
      </c>
      <c r="I95" s="5">
        <f t="shared" si="6"/>
        <v>0.75</v>
      </c>
    </row>
    <row r="96" spans="2:9">
      <c r="B96" s="4"/>
      <c r="C96" s="4"/>
      <c r="D96" s="4"/>
      <c r="E96" s="4"/>
      <c r="F96" s="19"/>
      <c r="G96" s="1"/>
      <c r="H96" s="5">
        <f t="shared" si="7"/>
        <v>0.75</v>
      </c>
      <c r="I96" s="5">
        <f t="shared" si="6"/>
        <v>0.75</v>
      </c>
    </row>
    <row r="97" spans="2:9">
      <c r="B97" s="4"/>
      <c r="C97" s="4"/>
      <c r="D97" s="4"/>
      <c r="E97" s="4"/>
      <c r="F97" s="19"/>
      <c r="G97" s="1"/>
      <c r="H97" s="5">
        <f t="shared" si="7"/>
        <v>0.75</v>
      </c>
      <c r="I97" s="5">
        <f t="shared" si="6"/>
        <v>0.75</v>
      </c>
    </row>
    <row r="98" spans="2:9">
      <c r="B98" s="4"/>
      <c r="C98" s="4"/>
      <c r="D98" s="4"/>
      <c r="E98" s="4"/>
      <c r="F98" s="19"/>
      <c r="G98" s="1"/>
      <c r="H98" s="5">
        <f t="shared" ref="H98" si="8">IF(I97-F98&lt;0,F98-I97+I97,I97)</f>
        <v>0.75</v>
      </c>
      <c r="I98" s="5">
        <f t="shared" si="6"/>
        <v>0.75</v>
      </c>
    </row>
  </sheetData>
  <phoneticPr fontId="2"/>
  <pageMargins left="0.7" right="0.7" top="0.75" bottom="0.75" header="0.3" footer="0.3"/>
  <pageSetup paperSize="8"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2E2F-C177-4835-A4B6-9351DB925944}">
  <sheetPr>
    <pageSetUpPr fitToPage="1"/>
  </sheetPr>
  <dimension ref="B2:L51"/>
  <sheetViews>
    <sheetView tabSelected="1" topLeftCell="A25" zoomScaleNormal="100" zoomScaleSheetLayoutView="85" workbookViewId="0">
      <selection activeCell="J52" sqref="A36:J52"/>
    </sheetView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0" customWidth="1"/>
    <col min="7" max="7" width="9" style="2"/>
    <col min="8" max="8" width="13" style="2" bestFit="1" customWidth="1"/>
    <col min="9" max="9" width="20.625" bestFit="1" customWidth="1"/>
    <col min="10" max="10" width="20.625" customWidth="1"/>
    <col min="11" max="12" width="14.5" customWidth="1"/>
  </cols>
  <sheetData>
    <row r="2" spans="2:12">
      <c r="H2" s="16"/>
      <c r="I2" t="s">
        <v>129</v>
      </c>
    </row>
    <row r="4" spans="2:12">
      <c r="I4" s="3"/>
      <c r="J4" s="3"/>
      <c r="K4" s="3"/>
      <c r="L4" s="3"/>
    </row>
    <row r="5" spans="2:12">
      <c r="B5" s="4" t="s">
        <v>0</v>
      </c>
      <c r="C5" s="4" t="s">
        <v>1</v>
      </c>
      <c r="D5" s="4" t="s">
        <v>2</v>
      </c>
      <c r="E5" s="4" t="s">
        <v>3</v>
      </c>
      <c r="F5" s="7" t="s">
        <v>17</v>
      </c>
      <c r="G5" s="1" t="s">
        <v>5</v>
      </c>
      <c r="H5" s="1" t="s">
        <v>6</v>
      </c>
      <c r="I5" s="4" t="s">
        <v>7</v>
      </c>
      <c r="J5" s="4" t="s">
        <v>8</v>
      </c>
    </row>
    <row r="6" spans="2:12">
      <c r="B6" s="4" t="s">
        <v>97</v>
      </c>
      <c r="C6" s="4" t="s">
        <v>481</v>
      </c>
      <c r="D6" s="4">
        <v>96</v>
      </c>
      <c r="E6" s="4" t="s">
        <v>20</v>
      </c>
      <c r="F6" s="27" t="s">
        <v>507</v>
      </c>
      <c r="G6" s="1">
        <v>3.2485481997677121</v>
      </c>
      <c r="H6" s="1" t="s">
        <v>11</v>
      </c>
      <c r="I6" s="5">
        <v>0.75</v>
      </c>
      <c r="J6" s="5">
        <f t="shared" ref="J6:J11" si="0">I6+G6/24</f>
        <v>0.88535617499032138</v>
      </c>
      <c r="K6" s="3"/>
      <c r="L6" s="3"/>
    </row>
    <row r="7" spans="2:12">
      <c r="B7" s="4" t="s">
        <v>483</v>
      </c>
      <c r="C7" s="4" t="s">
        <v>484</v>
      </c>
      <c r="D7" s="4">
        <v>30</v>
      </c>
      <c r="E7" s="4" t="s">
        <v>20</v>
      </c>
      <c r="F7" s="7">
        <v>45614.754976851851</v>
      </c>
      <c r="G7" s="15">
        <v>0.75</v>
      </c>
      <c r="H7" s="1" t="s">
        <v>11</v>
      </c>
      <c r="I7" s="5">
        <f t="shared" ref="I7:I11" si="1">J6</f>
        <v>0.88535617499032138</v>
      </c>
      <c r="J7" s="5">
        <f t="shared" si="0"/>
        <v>0.91660617499032138</v>
      </c>
      <c r="K7" s="3"/>
      <c r="L7" s="3"/>
    </row>
    <row r="8" spans="2:12">
      <c r="B8" s="4" t="s">
        <v>300</v>
      </c>
      <c r="C8" s="4" t="s">
        <v>486</v>
      </c>
      <c r="D8" s="4">
        <v>144</v>
      </c>
      <c r="E8" s="4" t="s">
        <v>20</v>
      </c>
      <c r="F8" s="7">
        <v>45614.788819444446</v>
      </c>
      <c r="G8" s="1">
        <v>0.3126984126984127</v>
      </c>
      <c r="H8" s="1" t="s">
        <v>11</v>
      </c>
      <c r="I8" s="5">
        <f>J7</f>
        <v>0.91660617499032138</v>
      </c>
      <c r="J8" s="5">
        <f t="shared" si="0"/>
        <v>0.92963527551942193</v>
      </c>
      <c r="K8" s="3"/>
      <c r="L8" s="3"/>
    </row>
    <row r="9" spans="2:12">
      <c r="B9" s="4" t="s">
        <v>281</v>
      </c>
      <c r="C9" s="4" t="s">
        <v>487</v>
      </c>
      <c r="D9" s="4">
        <v>96</v>
      </c>
      <c r="E9" s="4" t="s">
        <v>20</v>
      </c>
      <c r="F9" s="7">
        <v>45614.8516087963</v>
      </c>
      <c r="G9" s="1">
        <v>0.41666666666666674</v>
      </c>
      <c r="H9" s="1" t="s">
        <v>11</v>
      </c>
      <c r="I9" s="5">
        <f t="shared" si="1"/>
        <v>0.92963527551942193</v>
      </c>
      <c r="J9" s="5">
        <f t="shared" si="0"/>
        <v>0.94699638663053309</v>
      </c>
      <c r="K9" s="3"/>
      <c r="L9" s="3"/>
    </row>
    <row r="10" spans="2:12">
      <c r="B10" s="4" t="s">
        <v>488</v>
      </c>
      <c r="C10" s="4" t="s">
        <v>489</v>
      </c>
      <c r="D10" s="4">
        <v>48</v>
      </c>
      <c r="E10" s="4" t="s">
        <v>20</v>
      </c>
      <c r="F10" s="7">
        <v>45614.863541666666</v>
      </c>
      <c r="G10" s="1">
        <v>0.32142857142857145</v>
      </c>
      <c r="H10" s="1" t="s">
        <v>11</v>
      </c>
      <c r="I10" s="5">
        <f>J9</f>
        <v>0.94699638663053309</v>
      </c>
      <c r="J10" s="5">
        <f t="shared" si="0"/>
        <v>0.96038924377339019</v>
      </c>
      <c r="K10" s="3"/>
      <c r="L10" s="3"/>
    </row>
    <row r="11" spans="2:12">
      <c r="B11" s="4" t="s">
        <v>71</v>
      </c>
      <c r="C11" s="4" t="s">
        <v>490</v>
      </c>
      <c r="D11" s="4">
        <v>48</v>
      </c>
      <c r="E11" s="4" t="s">
        <v>20</v>
      </c>
      <c r="F11" s="7">
        <v>45614.902025462965</v>
      </c>
      <c r="G11" s="1">
        <v>1.0952380952380953</v>
      </c>
      <c r="H11" s="1">
        <v>0.4844178509099975</v>
      </c>
      <c r="I11" s="5">
        <f t="shared" si="1"/>
        <v>0.96038924377339019</v>
      </c>
      <c r="J11" s="5">
        <f t="shared" si="0"/>
        <v>1.0060241644083108</v>
      </c>
      <c r="K11" s="3"/>
      <c r="L11" s="3"/>
    </row>
    <row r="16" spans="2:12">
      <c r="I16" s="3"/>
    </row>
    <row r="17" spans="2:12">
      <c r="B17" s="4" t="s">
        <v>0</v>
      </c>
      <c r="C17" s="4" t="s">
        <v>1</v>
      </c>
      <c r="D17" s="4" t="s">
        <v>2</v>
      </c>
      <c r="E17" s="4" t="s">
        <v>3</v>
      </c>
      <c r="F17" s="7" t="s">
        <v>17</v>
      </c>
      <c r="G17" s="1" t="s">
        <v>5</v>
      </c>
      <c r="H17" s="1" t="s">
        <v>6</v>
      </c>
      <c r="I17" s="4" t="s">
        <v>7</v>
      </c>
      <c r="J17" s="4" t="s">
        <v>8</v>
      </c>
    </row>
    <row r="18" spans="2:12">
      <c r="B18" s="4" t="s">
        <v>34</v>
      </c>
      <c r="C18" s="4" t="s">
        <v>480</v>
      </c>
      <c r="D18" s="4">
        <v>60</v>
      </c>
      <c r="E18" s="4" t="s">
        <v>10</v>
      </c>
      <c r="F18" s="27" t="s">
        <v>507</v>
      </c>
      <c r="G18" s="1">
        <v>0.60442083169355953</v>
      </c>
      <c r="H18" s="1">
        <v>0.50964187327823696</v>
      </c>
      <c r="I18" s="5">
        <v>0.75</v>
      </c>
      <c r="J18" s="5">
        <f>I18+G18/24</f>
        <v>0.77518420132056498</v>
      </c>
      <c r="K18" s="3"/>
      <c r="L18" s="3"/>
    </row>
    <row r="19" spans="2:12">
      <c r="B19" s="4" t="s">
        <v>85</v>
      </c>
      <c r="C19" s="4" t="s">
        <v>482</v>
      </c>
      <c r="D19" s="4">
        <v>48</v>
      </c>
      <c r="E19" s="4" t="s">
        <v>10</v>
      </c>
      <c r="F19" s="27" t="s">
        <v>507</v>
      </c>
      <c r="G19" s="1">
        <v>0.25685527019796683</v>
      </c>
      <c r="H19" s="1" t="s">
        <v>11</v>
      </c>
      <c r="I19" s="5">
        <f t="shared" ref="I19:I24" si="2">J18</f>
        <v>0.77518420132056498</v>
      </c>
      <c r="J19" s="5">
        <f t="shared" ref="J19:J24" si="3">I19+G19/24</f>
        <v>0.78588650424548023</v>
      </c>
      <c r="K19" s="3"/>
      <c r="L19" s="3"/>
    </row>
    <row r="20" spans="2:12">
      <c r="B20" s="4" t="s">
        <v>9</v>
      </c>
      <c r="C20" s="4" t="s">
        <v>485</v>
      </c>
      <c r="D20" s="4">
        <v>48</v>
      </c>
      <c r="E20" s="4" t="s">
        <v>10</v>
      </c>
      <c r="F20" s="7">
        <v>45614.56890046296</v>
      </c>
      <c r="G20" s="1">
        <v>0.26879181424635967</v>
      </c>
      <c r="H20" s="1" t="s">
        <v>11</v>
      </c>
      <c r="I20" s="5">
        <f t="shared" si="2"/>
        <v>0.78588650424548023</v>
      </c>
      <c r="J20" s="5">
        <f t="shared" si="3"/>
        <v>0.79708616317241188</v>
      </c>
      <c r="K20" s="3"/>
      <c r="L20" s="3"/>
    </row>
    <row r="21" spans="2:12">
      <c r="B21" s="4" t="s">
        <v>74</v>
      </c>
      <c r="C21" s="4" t="s">
        <v>491</v>
      </c>
      <c r="D21" s="4">
        <v>60</v>
      </c>
      <c r="E21" s="4" t="s">
        <v>10</v>
      </c>
      <c r="F21" s="7">
        <v>45614.771886574075</v>
      </c>
      <c r="G21" s="1">
        <v>0.40219222485232387</v>
      </c>
      <c r="H21" s="1">
        <v>0.43721877465719833</v>
      </c>
      <c r="I21" s="5">
        <f t="shared" si="2"/>
        <v>0.79708616317241188</v>
      </c>
      <c r="J21" s="5">
        <f t="shared" si="3"/>
        <v>0.81384417254125874</v>
      </c>
      <c r="K21" s="3"/>
      <c r="L21" s="3"/>
    </row>
    <row r="22" spans="2:12">
      <c r="B22" s="4" t="s">
        <v>64</v>
      </c>
      <c r="C22" s="4" t="s">
        <v>492</v>
      </c>
      <c r="D22" s="4">
        <v>48</v>
      </c>
      <c r="E22" s="4" t="s">
        <v>10</v>
      </c>
      <c r="F22" s="7">
        <v>45614.849756944444</v>
      </c>
      <c r="G22" s="1">
        <v>1.1933611768060515</v>
      </c>
      <c r="H22" s="1">
        <v>0.90150790855264284</v>
      </c>
      <c r="I22" s="5">
        <f t="shared" si="2"/>
        <v>0.81384417254125874</v>
      </c>
      <c r="J22" s="5">
        <f t="shared" si="3"/>
        <v>0.8635675549081776</v>
      </c>
      <c r="K22" s="3"/>
      <c r="L22" s="3"/>
    </row>
    <row r="23" spans="2:12">
      <c r="B23" s="4" t="s">
        <v>184</v>
      </c>
      <c r="C23" s="4" t="s">
        <v>493</v>
      </c>
      <c r="D23" s="4">
        <v>48</v>
      </c>
      <c r="E23" s="4" t="s">
        <v>10</v>
      </c>
      <c r="F23" s="7">
        <v>45614.914756944447</v>
      </c>
      <c r="G23" s="1">
        <v>0.93290043290043234</v>
      </c>
      <c r="H23" s="1" t="s">
        <v>11</v>
      </c>
      <c r="I23" s="5">
        <f t="shared" si="2"/>
        <v>0.8635675549081776</v>
      </c>
      <c r="J23" s="5">
        <f t="shared" si="3"/>
        <v>0.90243840627902894</v>
      </c>
      <c r="K23" s="3"/>
      <c r="L23" s="3"/>
    </row>
    <row r="24" spans="2:12">
      <c r="B24" s="4" t="s">
        <v>72</v>
      </c>
      <c r="C24" s="4" t="s">
        <v>494</v>
      </c>
      <c r="D24" s="4">
        <v>60</v>
      </c>
      <c r="E24" s="4" t="s">
        <v>10</v>
      </c>
      <c r="F24" s="7">
        <v>45614.985173611109</v>
      </c>
      <c r="G24" s="1">
        <v>1.1771000535045477</v>
      </c>
      <c r="H24" s="1">
        <v>1.1620117710005353</v>
      </c>
      <c r="I24" s="5">
        <f t="shared" si="2"/>
        <v>0.90243840627902894</v>
      </c>
      <c r="J24" s="5">
        <f t="shared" si="3"/>
        <v>0.95148424184171843</v>
      </c>
      <c r="K24" s="3"/>
      <c r="L24" s="3"/>
    </row>
    <row r="29" spans="2:12">
      <c r="I29" s="3"/>
    </row>
    <row r="30" spans="2:12">
      <c r="B30" s="4" t="s">
        <v>0</v>
      </c>
      <c r="C30" s="4" t="s">
        <v>1</v>
      </c>
      <c r="D30" s="4" t="s">
        <v>2</v>
      </c>
      <c r="E30" s="4" t="s">
        <v>3</v>
      </c>
      <c r="F30" s="7" t="s">
        <v>17</v>
      </c>
      <c r="G30" s="1" t="s">
        <v>5</v>
      </c>
      <c r="H30" s="1" t="s">
        <v>6</v>
      </c>
      <c r="I30" s="4" t="s">
        <v>7</v>
      </c>
      <c r="J30" s="4" t="s">
        <v>8</v>
      </c>
    </row>
    <row r="31" spans="2:12">
      <c r="B31" s="4" t="s">
        <v>214</v>
      </c>
      <c r="C31" s="4" t="s">
        <v>477</v>
      </c>
      <c r="D31" s="4">
        <v>48</v>
      </c>
      <c r="E31" s="4" t="s">
        <v>14</v>
      </c>
      <c r="F31" s="27" t="s">
        <v>507</v>
      </c>
      <c r="G31" s="1">
        <v>0.79487179487179527</v>
      </c>
      <c r="H31" s="1">
        <v>0.80952380952380953</v>
      </c>
      <c r="I31" s="5">
        <v>0.75</v>
      </c>
      <c r="J31" s="5">
        <f>I31+G31/24</f>
        <v>0.78311965811965811</v>
      </c>
      <c r="K31" s="3"/>
      <c r="L31" s="3"/>
    </row>
    <row r="32" spans="2:12">
      <c r="B32" s="4" t="s">
        <v>21</v>
      </c>
      <c r="C32" s="4" t="s">
        <v>478</v>
      </c>
      <c r="D32" s="4">
        <v>48</v>
      </c>
      <c r="E32" s="4" t="s">
        <v>14</v>
      </c>
      <c r="F32" s="27" t="s">
        <v>507</v>
      </c>
      <c r="G32" s="1">
        <v>0.75420015367682192</v>
      </c>
      <c r="H32" s="1">
        <v>0.84665545241210305</v>
      </c>
      <c r="I32" s="5">
        <f t="shared" ref="I32:I34" si="4">J31</f>
        <v>0.78311965811965811</v>
      </c>
      <c r="J32" s="5">
        <f t="shared" ref="J32:J34" si="5">I32+G32/24</f>
        <v>0.81454466452285901</v>
      </c>
      <c r="K32" s="3"/>
      <c r="L32" s="3"/>
    </row>
    <row r="33" spans="2:12">
      <c r="B33" s="4" t="s">
        <v>373</v>
      </c>
      <c r="C33" s="4" t="s">
        <v>479</v>
      </c>
      <c r="D33" s="4">
        <v>48</v>
      </c>
      <c r="E33" s="4" t="s">
        <v>14</v>
      </c>
      <c r="F33" s="27" t="s">
        <v>507</v>
      </c>
      <c r="G33" s="1">
        <v>0.67878561904761914</v>
      </c>
      <c r="H33" s="1">
        <v>0.66262704761904767</v>
      </c>
      <c r="I33" s="5">
        <f t="shared" si="4"/>
        <v>0.81454466452285901</v>
      </c>
      <c r="J33" s="5">
        <f t="shared" si="5"/>
        <v>0.84282739864984313</v>
      </c>
      <c r="K33" s="3"/>
      <c r="L33" s="3"/>
    </row>
    <row r="34" spans="2:12">
      <c r="B34" s="4" t="s">
        <v>18</v>
      </c>
      <c r="C34" s="4" t="s">
        <v>495</v>
      </c>
      <c r="D34" s="4">
        <v>288</v>
      </c>
      <c r="E34" s="4" t="s">
        <v>14</v>
      </c>
      <c r="F34" s="7">
        <v>45614.913124999999</v>
      </c>
      <c r="G34" s="1">
        <v>2.428571428571427</v>
      </c>
      <c r="H34" s="1">
        <v>1.9523809523809526</v>
      </c>
      <c r="I34" s="5">
        <f t="shared" si="4"/>
        <v>0.84282739864984313</v>
      </c>
      <c r="J34" s="5">
        <f t="shared" si="5"/>
        <v>0.94401787484031929</v>
      </c>
      <c r="K34" s="3"/>
      <c r="L34" s="3"/>
    </row>
    <row r="36" spans="2:12">
      <c r="G36"/>
      <c r="H36"/>
    </row>
    <row r="37" spans="2:12">
      <c r="G37" s="16"/>
      <c r="H37" t="s">
        <v>129</v>
      </c>
    </row>
    <row r="38" spans="2:12">
      <c r="G38"/>
      <c r="H38"/>
    </row>
    <row r="39" spans="2:12">
      <c r="G39"/>
      <c r="H39"/>
    </row>
    <row r="40" spans="2:12">
      <c r="B40" s="4" t="s">
        <v>26</v>
      </c>
      <c r="C40" s="4" t="s">
        <v>27</v>
      </c>
      <c r="D40" s="4" t="s">
        <v>2</v>
      </c>
      <c r="E40" s="4" t="s">
        <v>3</v>
      </c>
      <c r="F40" s="19" t="s">
        <v>28</v>
      </c>
      <c r="G40" s="1" t="s">
        <v>6</v>
      </c>
      <c r="H40" s="4" t="s">
        <v>29</v>
      </c>
      <c r="I40" s="4" t="s">
        <v>30</v>
      </c>
    </row>
    <row r="41" spans="2:12">
      <c r="B41" s="4" t="s">
        <v>43</v>
      </c>
      <c r="C41" s="4" t="s">
        <v>496</v>
      </c>
      <c r="D41" s="4">
        <v>208</v>
      </c>
      <c r="E41" s="4" t="s">
        <v>20</v>
      </c>
      <c r="F41" s="27" t="s">
        <v>507</v>
      </c>
      <c r="G41" s="1">
        <v>0.69786706349206351</v>
      </c>
      <c r="H41" s="5">
        <v>0.75</v>
      </c>
      <c r="I41" s="5">
        <f>H41+G41/24</f>
        <v>0.77907779431216928</v>
      </c>
    </row>
    <row r="42" spans="2:12">
      <c r="B42" s="4" t="s">
        <v>18</v>
      </c>
      <c r="C42" s="4" t="s">
        <v>497</v>
      </c>
      <c r="D42" s="4">
        <v>288</v>
      </c>
      <c r="E42" s="4" t="s">
        <v>14</v>
      </c>
      <c r="F42" s="27" t="s">
        <v>507</v>
      </c>
      <c r="G42" s="1">
        <v>1.9523809523809526</v>
      </c>
      <c r="H42" s="5">
        <f>I41</f>
        <v>0.77907779431216928</v>
      </c>
      <c r="I42" s="5">
        <f>H42+G42/24</f>
        <v>0.86042700066137567</v>
      </c>
    </row>
    <row r="43" spans="2:12">
      <c r="B43" s="4" t="s">
        <v>41</v>
      </c>
      <c r="C43" s="4" t="s">
        <v>498</v>
      </c>
      <c r="D43" s="4">
        <v>240</v>
      </c>
      <c r="E43" s="4" t="s">
        <v>20</v>
      </c>
      <c r="F43" s="27" t="s">
        <v>507</v>
      </c>
      <c r="G43" s="1">
        <v>0.2904761904761905</v>
      </c>
      <c r="H43" s="5">
        <f>I42</f>
        <v>0.86042700066137567</v>
      </c>
      <c r="I43" s="5">
        <f t="shared" ref="I43:I44" si="6">H43+G43/24</f>
        <v>0.87253017526455023</v>
      </c>
    </row>
    <row r="44" spans="2:12">
      <c r="B44" s="4" t="s">
        <v>34</v>
      </c>
      <c r="C44" s="4" t="s">
        <v>499</v>
      </c>
      <c r="D44" s="4">
        <v>60</v>
      </c>
      <c r="E44" s="4" t="s">
        <v>10</v>
      </c>
      <c r="F44" s="27" t="s">
        <v>507</v>
      </c>
      <c r="G44" s="1">
        <v>0.50964187327823696</v>
      </c>
      <c r="H44" s="5">
        <f>I43</f>
        <v>0.87253017526455023</v>
      </c>
      <c r="I44" s="5">
        <f t="shared" si="6"/>
        <v>0.89376525331781009</v>
      </c>
    </row>
    <row r="45" spans="2:12">
      <c r="B45" s="4" t="s">
        <v>37</v>
      </c>
      <c r="C45" s="4" t="s">
        <v>500</v>
      </c>
      <c r="D45" s="4">
        <v>30</v>
      </c>
      <c r="E45" s="4" t="s">
        <v>10</v>
      </c>
      <c r="F45" s="27" t="s">
        <v>507</v>
      </c>
      <c r="G45" s="1">
        <v>0.23834523809523811</v>
      </c>
      <c r="H45" s="5">
        <f t="shared" ref="H45:H51" si="7">I44</f>
        <v>0.89376525331781009</v>
      </c>
      <c r="I45" s="5">
        <f t="shared" ref="I45:I51" si="8">H45+G45/24</f>
        <v>0.90369630490511166</v>
      </c>
    </row>
    <row r="46" spans="2:12">
      <c r="B46" s="4" t="s">
        <v>31</v>
      </c>
      <c r="C46" s="4" t="s">
        <v>501</v>
      </c>
      <c r="D46" s="4">
        <v>380</v>
      </c>
      <c r="E46" s="4" t="s">
        <v>20</v>
      </c>
      <c r="F46" s="27" t="s">
        <v>507</v>
      </c>
      <c r="G46" s="1">
        <v>1.3742877908863169</v>
      </c>
      <c r="H46" s="5">
        <f t="shared" si="7"/>
        <v>0.90369630490511166</v>
      </c>
      <c r="I46" s="5">
        <f t="shared" si="8"/>
        <v>0.96095829619204154</v>
      </c>
    </row>
    <row r="47" spans="2:12">
      <c r="B47" s="4" t="s">
        <v>266</v>
      </c>
      <c r="C47" s="4" t="s">
        <v>502</v>
      </c>
      <c r="D47" s="4">
        <v>60</v>
      </c>
      <c r="E47" s="4" t="s">
        <v>20</v>
      </c>
      <c r="F47" s="27" t="s">
        <v>507</v>
      </c>
      <c r="G47" s="1">
        <v>0.43452380952380953</v>
      </c>
      <c r="H47" s="5">
        <f t="shared" si="7"/>
        <v>0.96095829619204154</v>
      </c>
      <c r="I47" s="5">
        <f t="shared" si="8"/>
        <v>0.97906345492220026</v>
      </c>
    </row>
    <row r="48" spans="2:12">
      <c r="B48" s="4" t="s">
        <v>104</v>
      </c>
      <c r="C48" s="4" t="s">
        <v>503</v>
      </c>
      <c r="D48" s="4">
        <v>48</v>
      </c>
      <c r="E48" s="4" t="s">
        <v>20</v>
      </c>
      <c r="F48" s="27" t="s">
        <v>507</v>
      </c>
      <c r="G48" s="1">
        <v>1.3789682539682542</v>
      </c>
      <c r="H48" s="5">
        <f t="shared" si="7"/>
        <v>0.97906345492220026</v>
      </c>
      <c r="I48" s="5">
        <f t="shared" si="8"/>
        <v>1.0365204655042108</v>
      </c>
    </row>
    <row r="49" spans="2:9">
      <c r="B49" s="4" t="s">
        <v>81</v>
      </c>
      <c r="C49" s="4" t="s">
        <v>504</v>
      </c>
      <c r="D49" s="4">
        <v>48</v>
      </c>
      <c r="E49" s="4" t="s">
        <v>10</v>
      </c>
      <c r="F49" s="27" t="s">
        <v>507</v>
      </c>
      <c r="G49" s="1">
        <v>0.23815238095238098</v>
      </c>
      <c r="H49" s="5">
        <f t="shared" si="7"/>
        <v>1.0365204655042108</v>
      </c>
      <c r="I49" s="5">
        <f t="shared" si="8"/>
        <v>1.0464434813772268</v>
      </c>
    </row>
    <row r="50" spans="2:9">
      <c r="B50" s="4" t="s">
        <v>47</v>
      </c>
      <c r="C50" s="4" t="s">
        <v>505</v>
      </c>
      <c r="D50" s="4">
        <v>24</v>
      </c>
      <c r="E50" s="5" t="s">
        <v>10</v>
      </c>
      <c r="F50" s="27" t="s">
        <v>507</v>
      </c>
      <c r="G50" s="1">
        <v>0.2384857142857143</v>
      </c>
      <c r="H50" s="5">
        <f t="shared" si="7"/>
        <v>1.0464434813772268</v>
      </c>
      <c r="I50" s="5">
        <f t="shared" si="8"/>
        <v>1.0563803861391314</v>
      </c>
    </row>
    <row r="51" spans="2:9">
      <c r="B51" s="4" t="s">
        <v>37</v>
      </c>
      <c r="C51" s="4" t="s">
        <v>506</v>
      </c>
      <c r="D51" s="4">
        <v>24</v>
      </c>
      <c r="E51" s="4" t="s">
        <v>10</v>
      </c>
      <c r="F51" s="27" t="s">
        <v>507</v>
      </c>
      <c r="G51" s="1">
        <v>0.23829523809523809</v>
      </c>
      <c r="H51" s="5">
        <f t="shared" si="7"/>
        <v>1.0563803861391314</v>
      </c>
      <c r="I51" s="5">
        <f t="shared" si="8"/>
        <v>1.0663093543930997</v>
      </c>
    </row>
  </sheetData>
  <phoneticPr fontId="2"/>
  <pageMargins left="0.7" right="0.7" top="0.75" bottom="0.75" header="0.3" footer="0.3"/>
  <pageSetup paperSize="8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D334-27B4-429A-BA51-3D0881954F7B}">
  <dimension ref="A1:J509"/>
  <sheetViews>
    <sheetView topLeftCell="A482" workbookViewId="0">
      <selection activeCell="J507" sqref="J507:J509"/>
    </sheetView>
  </sheetViews>
  <sheetFormatPr defaultRowHeight="18.75"/>
  <cols>
    <col min="1" max="1" width="13.125" style="4" bestFit="1" customWidth="1"/>
    <col min="2" max="2" width="10.5" style="4" bestFit="1" customWidth="1"/>
    <col min="3" max="3" width="5.25" style="4" bestFit="1" customWidth="1"/>
    <col min="4" max="4" width="7.125" style="4" bestFit="1" customWidth="1"/>
    <col min="5" max="5" width="6" style="13" hidden="1" customWidth="1"/>
    <col min="6" max="6" width="8.375" style="1" bestFit="1" customWidth="1"/>
    <col min="7" max="7" width="13" style="1" bestFit="1" customWidth="1"/>
    <col min="8" max="8" width="20.625" style="5" bestFit="1" customWidth="1"/>
    <col min="9" max="9" width="20.625" style="22" bestFit="1" customWidth="1"/>
    <col min="10" max="10" width="9" style="4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13" t="s">
        <v>36</v>
      </c>
      <c r="F1" s="1" t="s">
        <v>5</v>
      </c>
      <c r="G1" s="1" t="s">
        <v>6</v>
      </c>
      <c r="H1" s="5" t="s">
        <v>7</v>
      </c>
      <c r="I1" s="22" t="s">
        <v>8</v>
      </c>
    </row>
    <row r="2" spans="1:9">
      <c r="A2" s="4" t="s">
        <v>9</v>
      </c>
      <c r="B2" s="4">
        <v>211970053</v>
      </c>
      <c r="C2" s="4">
        <v>48</v>
      </c>
      <c r="D2" s="4" t="s">
        <v>10</v>
      </c>
      <c r="E2" s="13">
        <v>0.25012650463031605</v>
      </c>
      <c r="F2" s="1">
        <v>0.26879181424635967</v>
      </c>
      <c r="G2" s="1" t="s">
        <v>11</v>
      </c>
      <c r="H2" s="5">
        <v>0.72916666666666663</v>
      </c>
      <c r="I2" s="22">
        <v>0.74036632559359827</v>
      </c>
    </row>
    <row r="3" spans="1:9">
      <c r="A3" s="4" t="s">
        <v>12</v>
      </c>
      <c r="B3" s="4">
        <v>211970055</v>
      </c>
      <c r="C3" s="4">
        <v>60</v>
      </c>
      <c r="D3" s="4" t="s">
        <v>10</v>
      </c>
      <c r="E3" s="13">
        <v>0.2176496527827112</v>
      </c>
      <c r="F3" s="1">
        <v>0.27796085959579803</v>
      </c>
      <c r="G3" s="1" t="s">
        <v>11</v>
      </c>
      <c r="H3" s="5">
        <v>0.74036632559359827</v>
      </c>
      <c r="I3" s="22">
        <v>0.75194802807675654</v>
      </c>
    </row>
    <row r="4" spans="1:9">
      <c r="A4" s="4" t="s">
        <v>13</v>
      </c>
      <c r="B4" s="4">
        <v>211970058</v>
      </c>
      <c r="C4" s="4">
        <v>60</v>
      </c>
      <c r="D4" s="4" t="s">
        <v>14</v>
      </c>
      <c r="E4" s="13">
        <v>0.13381863426184282</v>
      </c>
      <c r="F4" s="1">
        <v>1.0941680042803643</v>
      </c>
      <c r="G4" s="1">
        <v>0.58052434456928836</v>
      </c>
      <c r="H4" s="5">
        <v>0.75194802807675654</v>
      </c>
      <c r="I4" s="22">
        <v>0.79753836158843838</v>
      </c>
    </row>
    <row r="5" spans="1:9">
      <c r="A5" s="4" t="s">
        <v>15</v>
      </c>
      <c r="B5" s="4">
        <v>211970061</v>
      </c>
      <c r="C5" s="4">
        <v>36</v>
      </c>
      <c r="D5" s="4" t="s">
        <v>10</v>
      </c>
      <c r="E5" s="13">
        <v>6.5774652779509779E-2</v>
      </c>
      <c r="F5" s="1">
        <v>0.52834467119047612</v>
      </c>
      <c r="G5" s="1" t="s">
        <v>16</v>
      </c>
      <c r="H5" s="5">
        <v>0.79753836158843838</v>
      </c>
      <c r="I5" s="22">
        <v>0.8195527228880416</v>
      </c>
    </row>
    <row r="6" spans="1:9">
      <c r="A6" s="4" t="s">
        <v>18</v>
      </c>
      <c r="B6" s="4">
        <v>211968046</v>
      </c>
      <c r="C6" s="4">
        <v>288</v>
      </c>
      <c r="D6" s="4" t="s">
        <v>14</v>
      </c>
      <c r="E6" s="13">
        <v>45552.767592592594</v>
      </c>
      <c r="F6" s="1">
        <v>2.428571428571427</v>
      </c>
      <c r="G6" s="1">
        <v>1.9523809523809526</v>
      </c>
      <c r="H6" s="5">
        <v>0.8195527228880416</v>
      </c>
      <c r="I6" s="22">
        <v>0.92074319907851776</v>
      </c>
    </row>
    <row r="7" spans="1:9">
      <c r="A7" s="4" t="s">
        <v>19</v>
      </c>
      <c r="B7" s="4">
        <v>211970077</v>
      </c>
      <c r="C7" s="4">
        <v>96</v>
      </c>
      <c r="D7" s="4" t="s">
        <v>20</v>
      </c>
      <c r="E7" s="13">
        <v>45552.816064814811</v>
      </c>
      <c r="F7" s="1">
        <v>0.42431972789115618</v>
      </c>
      <c r="G7" s="1">
        <v>0.49319727891156467</v>
      </c>
      <c r="H7" s="5">
        <v>0.92074319907851776</v>
      </c>
      <c r="I7" s="22">
        <v>0.93842318774064926</v>
      </c>
    </row>
    <row r="8" spans="1:9">
      <c r="A8" s="4" t="s">
        <v>21</v>
      </c>
      <c r="B8" s="4">
        <v>211970063</v>
      </c>
      <c r="C8" s="4">
        <v>48</v>
      </c>
      <c r="D8" s="4" t="s">
        <v>14</v>
      </c>
      <c r="E8" s="13">
        <v>45552.81758101852</v>
      </c>
      <c r="F8" s="1">
        <v>0.75420015367682192</v>
      </c>
      <c r="G8" s="1">
        <v>0.84665545241210305</v>
      </c>
      <c r="H8" s="5">
        <v>0.93842318774064926</v>
      </c>
      <c r="I8" s="22">
        <v>0.96984819414385015</v>
      </c>
    </row>
    <row r="9" spans="1:9">
      <c r="A9" s="4" t="s">
        <v>22</v>
      </c>
      <c r="B9" s="4">
        <v>211970076</v>
      </c>
      <c r="C9" s="4">
        <v>96</v>
      </c>
      <c r="D9" s="4" t="s">
        <v>20</v>
      </c>
      <c r="E9" s="13">
        <v>45552.732546296298</v>
      </c>
      <c r="F9" s="1">
        <v>0.50793650793650802</v>
      </c>
      <c r="G9" s="1" t="s">
        <v>11</v>
      </c>
      <c r="H9" s="5">
        <v>0.96984819414385015</v>
      </c>
      <c r="I9" s="22">
        <v>0.99101221530787131</v>
      </c>
    </row>
    <row r="10" spans="1:9">
      <c r="A10" s="4" t="s">
        <v>23</v>
      </c>
      <c r="B10" s="4">
        <v>211970062</v>
      </c>
      <c r="C10" s="4">
        <v>48</v>
      </c>
      <c r="D10" s="4" t="s">
        <v>20</v>
      </c>
      <c r="E10" s="13">
        <v>45552.751388888886</v>
      </c>
      <c r="F10" s="1">
        <v>0.24032738095238099</v>
      </c>
      <c r="G10" s="1" t="s">
        <v>11</v>
      </c>
      <c r="H10" s="5">
        <v>0.99101221530787131</v>
      </c>
      <c r="I10" s="22">
        <v>1.0010258561808871</v>
      </c>
    </row>
    <row r="11" spans="1:9">
      <c r="A11" s="4" t="s">
        <v>24</v>
      </c>
      <c r="B11" s="4">
        <v>211970057</v>
      </c>
      <c r="C11" s="4">
        <v>48</v>
      </c>
      <c r="D11" s="4" t="s">
        <v>20</v>
      </c>
      <c r="E11" s="13">
        <v>45552.874097222222</v>
      </c>
      <c r="F11" s="1">
        <v>1</v>
      </c>
      <c r="G11" s="1" t="s">
        <v>11</v>
      </c>
      <c r="H11" s="5">
        <v>1.0010258561808871</v>
      </c>
      <c r="I11" s="22">
        <v>1.0426925228475539</v>
      </c>
    </row>
    <row r="12" spans="1:9">
      <c r="A12" s="4" t="s">
        <v>25</v>
      </c>
      <c r="B12" s="4">
        <v>211970060</v>
      </c>
      <c r="C12" s="4">
        <v>48</v>
      </c>
      <c r="D12" s="4" t="s">
        <v>20</v>
      </c>
      <c r="E12" s="13">
        <v>45552.900879629633</v>
      </c>
      <c r="F12" s="1">
        <v>0.580952380952381</v>
      </c>
      <c r="G12" s="1" t="s">
        <v>11</v>
      </c>
      <c r="H12" s="5">
        <v>1.0426925228475539</v>
      </c>
      <c r="I12" s="22">
        <v>1.066898872053903</v>
      </c>
    </row>
    <row r="13" spans="1:9">
      <c r="A13" s="4" t="s">
        <v>42</v>
      </c>
      <c r="B13" s="4">
        <v>211970594</v>
      </c>
      <c r="C13" s="4">
        <v>48</v>
      </c>
      <c r="D13" s="4" t="s">
        <v>20</v>
      </c>
      <c r="E13" s="13">
        <v>9.7639583334967028E-2</v>
      </c>
      <c r="F13" s="1">
        <v>0.34027777777777779</v>
      </c>
      <c r="G13" s="1" t="s">
        <v>11</v>
      </c>
      <c r="H13" s="5">
        <v>0.72916666666666663</v>
      </c>
      <c r="I13" s="22">
        <v>0.74334490740740733</v>
      </c>
    </row>
    <row r="14" spans="1:9">
      <c r="A14" s="4" t="s">
        <v>18</v>
      </c>
      <c r="B14" s="4">
        <v>211968047</v>
      </c>
      <c r="C14" s="4">
        <v>288</v>
      </c>
      <c r="D14" s="4" t="s">
        <v>14</v>
      </c>
      <c r="E14" s="13">
        <v>8.2766898151021451E-2</v>
      </c>
      <c r="F14" s="1">
        <v>2.428571428571427</v>
      </c>
      <c r="G14" s="1">
        <v>1.9523809523809526</v>
      </c>
      <c r="H14" s="5">
        <v>0.74334490740740733</v>
      </c>
      <c r="I14" s="22">
        <v>0.84453538359788349</v>
      </c>
    </row>
    <row r="15" spans="1:9">
      <c r="A15" s="4" t="s">
        <v>43</v>
      </c>
      <c r="B15" s="4">
        <v>211970628</v>
      </c>
      <c r="C15" s="4">
        <v>216</v>
      </c>
      <c r="D15" s="4" t="s">
        <v>20</v>
      </c>
      <c r="E15" s="13">
        <v>2.959560185263399E-2</v>
      </c>
      <c r="F15" s="1">
        <v>0.30505952380952384</v>
      </c>
      <c r="G15" s="1">
        <v>0.71555059523809528</v>
      </c>
      <c r="H15" s="5">
        <v>0.84453538359788349</v>
      </c>
      <c r="I15" s="22">
        <v>0.85724619708994698</v>
      </c>
    </row>
    <row r="16" spans="1:9">
      <c r="A16" s="4" t="s">
        <v>43</v>
      </c>
      <c r="B16" s="4">
        <v>211970629</v>
      </c>
      <c r="C16" s="4">
        <v>216</v>
      </c>
      <c r="D16" s="4" t="s">
        <v>20</v>
      </c>
      <c r="E16" s="13">
        <v>1.6088657408545259E-2</v>
      </c>
      <c r="F16" s="1">
        <v>0.30505952380952384</v>
      </c>
      <c r="G16" s="1">
        <v>0.71555059523809528</v>
      </c>
      <c r="H16" s="5">
        <v>0.85724619708994698</v>
      </c>
      <c r="I16" s="22">
        <v>0.86995701058201047</v>
      </c>
    </row>
    <row r="17" spans="1:10">
      <c r="A17" s="4" t="s">
        <v>18</v>
      </c>
      <c r="B17" s="4">
        <v>211968047</v>
      </c>
      <c r="C17" s="4">
        <v>288</v>
      </c>
      <c r="D17" s="4" t="s">
        <v>14</v>
      </c>
      <c r="E17" s="13">
        <v>45553.710300925923</v>
      </c>
      <c r="F17" s="1">
        <v>2.4285714285714302</v>
      </c>
      <c r="G17" s="1">
        <v>1.9523809523809526</v>
      </c>
      <c r="H17" s="5">
        <v>0.86995701058201047</v>
      </c>
      <c r="I17" s="22">
        <v>0.97114748677248675</v>
      </c>
    </row>
    <row r="18" spans="1:10">
      <c r="A18" s="4" t="s">
        <v>39</v>
      </c>
      <c r="B18" s="4">
        <v>211970600</v>
      </c>
      <c r="C18" s="4">
        <v>30</v>
      </c>
      <c r="D18" s="4" t="s">
        <v>20</v>
      </c>
      <c r="E18" s="13">
        <v>45553.74622685185</v>
      </c>
      <c r="F18" s="1">
        <v>0.49285714285714283</v>
      </c>
      <c r="G18" s="1">
        <v>0.37023809523809526</v>
      </c>
      <c r="H18" s="5">
        <v>0.97114748677248675</v>
      </c>
      <c r="I18" s="22">
        <v>0.99168320105820107</v>
      </c>
    </row>
    <row r="19" spans="1:10">
      <c r="A19" s="4" t="s">
        <v>21</v>
      </c>
      <c r="B19" s="4">
        <v>211970588</v>
      </c>
      <c r="C19" s="4">
        <v>48</v>
      </c>
      <c r="D19" s="4" t="s">
        <v>14</v>
      </c>
      <c r="E19" s="13">
        <v>45553.760289351849</v>
      </c>
      <c r="F19" s="1">
        <v>0.75420015367682192</v>
      </c>
      <c r="G19" s="1">
        <v>0.84665545241210305</v>
      </c>
      <c r="H19" s="5">
        <v>0.99168320105820107</v>
      </c>
      <c r="I19" s="22">
        <v>1.023108207461402</v>
      </c>
    </row>
    <row r="20" spans="1:10">
      <c r="A20" s="4" t="s">
        <v>41</v>
      </c>
      <c r="B20" s="4">
        <v>211970599</v>
      </c>
      <c r="C20" s="4">
        <v>240</v>
      </c>
      <c r="D20" s="4" t="s">
        <v>20</v>
      </c>
      <c r="E20" s="13">
        <v>45553.880787037036</v>
      </c>
      <c r="F20" s="1">
        <v>0.42412698412698413</v>
      </c>
      <c r="G20" s="1">
        <v>0.2904761904761905</v>
      </c>
      <c r="H20" s="5">
        <v>1.023108207461402</v>
      </c>
      <c r="I20" s="22">
        <v>1.0407801651333597</v>
      </c>
    </row>
    <row r="21" spans="1:10">
      <c r="A21" s="4" t="s">
        <v>38</v>
      </c>
      <c r="B21" s="4">
        <v>211970590</v>
      </c>
      <c r="C21" s="4">
        <v>184</v>
      </c>
      <c r="D21" s="4" t="s">
        <v>20</v>
      </c>
      <c r="E21" s="13">
        <v>45553.719953703701</v>
      </c>
      <c r="F21" s="1">
        <v>0.51416765053128766</v>
      </c>
      <c r="G21" s="1" t="s">
        <v>11</v>
      </c>
      <c r="H21" s="5">
        <v>1.0407801651333597</v>
      </c>
      <c r="I21" s="22">
        <v>1.06220381723883</v>
      </c>
    </row>
    <row r="22" spans="1:10">
      <c r="A22" s="4" t="s">
        <v>40</v>
      </c>
      <c r="B22" s="4">
        <v>211970591</v>
      </c>
      <c r="C22" s="4">
        <v>48</v>
      </c>
      <c r="D22" s="4" t="s">
        <v>20</v>
      </c>
      <c r="E22" s="13">
        <v>45553.802916666667</v>
      </c>
      <c r="F22" s="1">
        <v>0.77976190476190477</v>
      </c>
      <c r="G22" s="1" t="s">
        <v>11</v>
      </c>
      <c r="H22" s="5">
        <v>1.06220381723883</v>
      </c>
      <c r="I22" s="22">
        <v>1.0946938966039093</v>
      </c>
    </row>
    <row r="23" spans="1:10">
      <c r="A23" s="4" t="s">
        <v>37</v>
      </c>
      <c r="B23" s="4">
        <v>211968059</v>
      </c>
      <c r="C23" s="4">
        <v>30</v>
      </c>
      <c r="D23" s="4" t="s">
        <v>10</v>
      </c>
      <c r="E23" s="13">
        <v>0.11081932870729361</v>
      </c>
      <c r="F23" s="1">
        <v>0.96336996333333347</v>
      </c>
      <c r="G23" s="1">
        <v>1</v>
      </c>
      <c r="H23" s="5">
        <v>0.72916666666666663</v>
      </c>
      <c r="I23" s="22">
        <v>0.76930708180555551</v>
      </c>
    </row>
    <row r="24" spans="1:10">
      <c r="A24" s="4" t="s">
        <v>44</v>
      </c>
      <c r="B24" s="4">
        <v>211970583</v>
      </c>
      <c r="C24" s="4">
        <v>60</v>
      </c>
      <c r="D24" s="4" t="s">
        <v>10</v>
      </c>
      <c r="E24" s="13">
        <v>45553.685833333337</v>
      </c>
      <c r="F24" s="1">
        <v>1.8286112596039952</v>
      </c>
      <c r="G24" s="1">
        <v>2.2697923545381169</v>
      </c>
      <c r="H24" s="5">
        <v>0.76930708180555551</v>
      </c>
      <c r="I24" s="22">
        <v>0.8454976851851852</v>
      </c>
    </row>
    <row r="25" spans="1:10">
      <c r="A25" s="4" t="s">
        <v>34</v>
      </c>
      <c r="B25" s="4">
        <v>211970584</v>
      </c>
      <c r="C25" s="4">
        <v>60</v>
      </c>
      <c r="D25" s="4" t="s">
        <v>10</v>
      </c>
      <c r="E25" s="13">
        <v>45553.729467592595</v>
      </c>
      <c r="F25" s="1">
        <v>0.60442083169355953</v>
      </c>
      <c r="G25" s="1">
        <v>0.50964187327823696</v>
      </c>
      <c r="H25" s="5">
        <v>0.84549921762238867</v>
      </c>
      <c r="I25" s="22">
        <v>0.87068341894295365</v>
      </c>
    </row>
    <row r="26" spans="1:10" s="14" customFormat="1" ht="10.5" customHeight="1">
      <c r="A26" s="9"/>
      <c r="B26" s="9"/>
      <c r="C26" s="9"/>
      <c r="D26" s="9"/>
      <c r="E26" s="12"/>
      <c r="F26" s="10"/>
      <c r="G26" s="10"/>
      <c r="H26" s="11"/>
      <c r="I26" s="23"/>
      <c r="J26" s="9"/>
    </row>
    <row r="27" spans="1:10">
      <c r="A27" s="4" t="s">
        <v>59</v>
      </c>
      <c r="B27" s="4">
        <v>211971112</v>
      </c>
      <c r="C27" s="4">
        <v>48</v>
      </c>
      <c r="D27" s="4" t="s">
        <v>20</v>
      </c>
      <c r="E27" s="13">
        <v>0.22833993055974133</v>
      </c>
      <c r="F27" s="1">
        <v>2.1238095238095238</v>
      </c>
      <c r="G27" s="1">
        <v>3.5714285714285716</v>
      </c>
      <c r="H27" s="5">
        <v>0.72916666666666663</v>
      </c>
      <c r="I27" s="22">
        <v>0.81765873015873014</v>
      </c>
    </row>
    <row r="28" spans="1:10">
      <c r="A28" s="4" t="s">
        <v>60</v>
      </c>
      <c r="B28" s="4">
        <v>211971113</v>
      </c>
      <c r="C28" s="4">
        <v>48</v>
      </c>
      <c r="D28" s="4" t="s">
        <v>20</v>
      </c>
      <c r="E28" s="13">
        <v>0.15427743055624887</v>
      </c>
      <c r="F28" s="1">
        <v>0.8851540616246496</v>
      </c>
      <c r="G28" s="1">
        <v>0.97619047619047628</v>
      </c>
      <c r="H28" s="5">
        <v>0.81765873015873014</v>
      </c>
      <c r="I28" s="22">
        <v>0.85454014939309053</v>
      </c>
    </row>
    <row r="29" spans="1:10">
      <c r="A29" s="4" t="s">
        <v>61</v>
      </c>
      <c r="B29" s="4">
        <v>211971107</v>
      </c>
      <c r="C29" s="4">
        <v>48</v>
      </c>
      <c r="D29" s="4" t="s">
        <v>14</v>
      </c>
      <c r="E29" s="13">
        <v>0.11485613426339114</v>
      </c>
      <c r="F29" s="1">
        <v>0.5</v>
      </c>
      <c r="G29" s="1">
        <v>1</v>
      </c>
      <c r="H29" s="5">
        <v>0.85454014939309053</v>
      </c>
      <c r="I29" s="22">
        <v>0.8753734827264239</v>
      </c>
    </row>
    <row r="30" spans="1:10">
      <c r="A30" s="4" t="s">
        <v>62</v>
      </c>
      <c r="B30" s="4">
        <v>211963880</v>
      </c>
      <c r="C30" s="4">
        <v>270</v>
      </c>
      <c r="D30" s="4" t="s">
        <v>20</v>
      </c>
      <c r="E30" s="13">
        <v>4.6314467595948372E-2</v>
      </c>
      <c r="F30" s="1">
        <v>1</v>
      </c>
      <c r="G30" s="1" t="s">
        <v>11</v>
      </c>
      <c r="H30" s="5">
        <v>0.8753734827264239</v>
      </c>
      <c r="I30" s="22">
        <v>0.91704014939309053</v>
      </c>
    </row>
    <row r="31" spans="1:10">
      <c r="A31" s="4" t="s">
        <v>52</v>
      </c>
      <c r="B31" s="4">
        <v>211971126</v>
      </c>
      <c r="C31" s="4">
        <v>30</v>
      </c>
      <c r="D31" s="4" t="s">
        <v>20</v>
      </c>
      <c r="E31" s="13">
        <v>2.5481134260189719E-2</v>
      </c>
      <c r="F31" s="1">
        <v>0.25595238095238099</v>
      </c>
      <c r="G31" s="1">
        <v>0.26785714285714285</v>
      </c>
      <c r="H31" s="5">
        <v>0.91704014939309053</v>
      </c>
      <c r="I31" s="22">
        <v>0.92770483193277309</v>
      </c>
    </row>
    <row r="32" spans="1:10">
      <c r="A32" s="4" t="s">
        <v>18</v>
      </c>
      <c r="B32" s="4">
        <v>211968048</v>
      </c>
      <c r="C32" s="4">
        <v>288</v>
      </c>
      <c r="D32" s="4" t="s">
        <v>14</v>
      </c>
      <c r="E32" s="13">
        <v>1.5944097220199183E-2</v>
      </c>
      <c r="F32" s="1">
        <v>2.428571428571427</v>
      </c>
      <c r="G32" s="1">
        <v>1.9523809523809526</v>
      </c>
      <c r="H32" s="5">
        <v>0.92770483193277309</v>
      </c>
      <c r="I32" s="22">
        <v>1.0288953081232493</v>
      </c>
    </row>
    <row r="33" spans="1:10">
      <c r="A33" s="4" t="s">
        <v>32</v>
      </c>
      <c r="B33" s="4">
        <v>211971116</v>
      </c>
      <c r="C33" s="4">
        <v>24</v>
      </c>
      <c r="D33" s="4" t="s">
        <v>20</v>
      </c>
      <c r="E33" s="13">
        <v>1.2657060186029412E-2</v>
      </c>
      <c r="F33" s="1">
        <v>0.49503968253968239</v>
      </c>
      <c r="G33" s="1">
        <v>0.43055555555555558</v>
      </c>
      <c r="H33" s="5">
        <v>1.0288953081232493</v>
      </c>
      <c r="I33" s="22">
        <v>1.0495219615624027</v>
      </c>
    </row>
    <row r="34" spans="1:10">
      <c r="A34" s="4" t="s">
        <v>52</v>
      </c>
      <c r="B34" s="4">
        <v>211971126</v>
      </c>
      <c r="C34" s="4">
        <v>30</v>
      </c>
      <c r="D34" s="4" t="s">
        <v>20</v>
      </c>
      <c r="E34" s="13">
        <v>45554.705243055556</v>
      </c>
      <c r="F34" s="1">
        <v>0.25595238095238099</v>
      </c>
      <c r="G34" s="1">
        <v>0.26785714285714285</v>
      </c>
      <c r="H34" s="5">
        <v>1.0495219615624027</v>
      </c>
      <c r="I34" s="22">
        <v>1.0601866441020853</v>
      </c>
    </row>
    <row r="35" spans="1:10">
      <c r="A35" s="4" t="s">
        <v>53</v>
      </c>
      <c r="B35" s="4">
        <v>211971109</v>
      </c>
      <c r="C35" s="4">
        <v>3</v>
      </c>
      <c r="D35" s="4" t="s">
        <v>20</v>
      </c>
      <c r="E35" s="13">
        <v>45554.72760416667</v>
      </c>
      <c r="F35" s="1">
        <v>0.5</v>
      </c>
      <c r="G35" s="1">
        <v>0.5</v>
      </c>
      <c r="H35" s="5">
        <v>1.0601866441020853</v>
      </c>
      <c r="I35" s="22">
        <v>1.0810199774354186</v>
      </c>
    </row>
    <row r="36" spans="1:10">
      <c r="A36" s="4" t="s">
        <v>21</v>
      </c>
      <c r="B36" s="4">
        <v>211971114</v>
      </c>
      <c r="C36" s="4">
        <v>48</v>
      </c>
      <c r="D36" s="4" t="s">
        <v>14</v>
      </c>
      <c r="E36" s="13">
        <v>45554.734780092593</v>
      </c>
      <c r="F36" s="1">
        <v>0.75420015367682192</v>
      </c>
      <c r="G36" s="1">
        <v>0.84665545241210305</v>
      </c>
      <c r="H36" s="5">
        <v>1.0810199774354186</v>
      </c>
      <c r="I36" s="22">
        <v>1.1124449838386195</v>
      </c>
    </row>
    <row r="37" spans="1:10">
      <c r="A37" s="4" t="s">
        <v>43</v>
      </c>
      <c r="B37" s="4">
        <v>211971148</v>
      </c>
      <c r="C37" s="4">
        <v>232</v>
      </c>
      <c r="D37" s="4" t="s">
        <v>20</v>
      </c>
      <c r="E37" s="13">
        <v>45554.786365740743</v>
      </c>
      <c r="F37" s="1">
        <v>0.31001984126984128</v>
      </c>
      <c r="G37" s="1">
        <v>0.7509176587301587</v>
      </c>
      <c r="H37" s="5">
        <v>1.1124449838386195</v>
      </c>
      <c r="I37" s="22">
        <v>1.1253624772248629</v>
      </c>
    </row>
    <row r="38" spans="1:10">
      <c r="A38" s="4" t="s">
        <v>55</v>
      </c>
      <c r="B38" s="4">
        <v>211971127</v>
      </c>
      <c r="C38" s="4">
        <v>30</v>
      </c>
      <c r="D38" s="4" t="s">
        <v>20</v>
      </c>
      <c r="E38" s="13">
        <v>45554.801608796297</v>
      </c>
      <c r="F38" s="1">
        <v>0.24523809523809526</v>
      </c>
      <c r="G38" s="1">
        <v>0.26190476190476192</v>
      </c>
      <c r="H38" s="5">
        <v>1.1253624772248629</v>
      </c>
      <c r="I38" s="22">
        <v>1.135580731193117</v>
      </c>
    </row>
    <row r="39" spans="1:10">
      <c r="A39" s="4" t="s">
        <v>54</v>
      </c>
      <c r="B39" s="4">
        <v>211971110</v>
      </c>
      <c r="C39" s="4">
        <v>2</v>
      </c>
      <c r="D39" s="4" t="s">
        <v>20</v>
      </c>
      <c r="E39" s="13">
        <v>45554.793425925927</v>
      </c>
      <c r="F39" s="1">
        <v>0.5</v>
      </c>
      <c r="G39" s="1" t="s">
        <v>11</v>
      </c>
      <c r="H39" s="5">
        <v>1.135580731193117</v>
      </c>
      <c r="I39" s="22">
        <v>1.1564140645264502</v>
      </c>
    </row>
    <row r="40" spans="1:10">
      <c r="A40" s="4" t="s">
        <v>56</v>
      </c>
      <c r="B40" s="4">
        <v>211971111</v>
      </c>
      <c r="C40" s="4">
        <v>2</v>
      </c>
      <c r="D40" s="4" t="s">
        <v>20</v>
      </c>
      <c r="E40" s="13">
        <v>45554.815717592595</v>
      </c>
      <c r="F40" s="1">
        <v>0.5</v>
      </c>
      <c r="G40" s="1" t="s">
        <v>11</v>
      </c>
      <c r="H40" s="5">
        <v>1.1564140645264502</v>
      </c>
      <c r="I40" s="22">
        <v>1.1772473978597835</v>
      </c>
    </row>
    <row r="41" spans="1:10">
      <c r="A41" s="4" t="s">
        <v>57</v>
      </c>
      <c r="B41" s="4">
        <v>211963813</v>
      </c>
      <c r="C41" s="4">
        <v>48</v>
      </c>
      <c r="D41" s="4" t="s">
        <v>20</v>
      </c>
      <c r="E41" s="13">
        <v>45554.873749999999</v>
      </c>
      <c r="F41" s="1">
        <v>0.78869047619047628</v>
      </c>
      <c r="G41" s="1" t="s">
        <v>11</v>
      </c>
      <c r="H41" s="5">
        <v>1.1772473978597835</v>
      </c>
      <c r="I41" s="22">
        <v>1.2101095010343867</v>
      </c>
    </row>
    <row r="42" spans="1:10">
      <c r="A42" s="4" t="s">
        <v>31</v>
      </c>
      <c r="B42" s="4">
        <v>211966930</v>
      </c>
      <c r="C42" s="4">
        <v>240</v>
      </c>
      <c r="D42" s="4" t="s">
        <v>20</v>
      </c>
      <c r="E42" s="13">
        <v>45555.021562499998</v>
      </c>
      <c r="F42" s="1">
        <v>1.3637425534400189</v>
      </c>
      <c r="G42" s="1">
        <v>0.95569053459486664</v>
      </c>
      <c r="H42" s="5">
        <v>1.2101095010343867</v>
      </c>
      <c r="I42" s="22">
        <v>1.2669321074277209</v>
      </c>
    </row>
    <row r="43" spans="1:10">
      <c r="A43" s="4" t="s">
        <v>58</v>
      </c>
      <c r="B43" s="4">
        <v>211971115</v>
      </c>
      <c r="C43" s="4">
        <v>96</v>
      </c>
      <c r="D43" s="4" t="s">
        <v>20</v>
      </c>
      <c r="E43" s="13">
        <v>45555.048344907409</v>
      </c>
      <c r="F43" s="1">
        <v>0.49404761904761907</v>
      </c>
      <c r="G43" s="1" t="s">
        <v>11</v>
      </c>
      <c r="H43" s="5">
        <v>1.2669321074277209</v>
      </c>
      <c r="I43" s="22">
        <v>1.2875174248880383</v>
      </c>
    </row>
    <row r="44" spans="1:10">
      <c r="A44" s="4" t="s">
        <v>63</v>
      </c>
      <c r="B44" s="4">
        <v>211971104</v>
      </c>
      <c r="C44" s="4">
        <v>60</v>
      </c>
      <c r="D44" s="4" t="s">
        <v>10</v>
      </c>
      <c r="E44" s="13">
        <v>9.4775115743686911E-2</v>
      </c>
      <c r="F44" s="1">
        <v>0.52633281573498936</v>
      </c>
      <c r="G44" s="1" t="s">
        <v>11</v>
      </c>
      <c r="H44" s="5">
        <v>0.72916666666666663</v>
      </c>
      <c r="I44" s="22">
        <v>0.75109720065562446</v>
      </c>
    </row>
    <row r="45" spans="1:10" s="14" customFormat="1" ht="10.5" customHeight="1">
      <c r="A45" s="9"/>
      <c r="B45" s="9"/>
      <c r="C45" s="9"/>
      <c r="D45" s="9"/>
      <c r="E45" s="12"/>
      <c r="F45" s="10"/>
      <c r="G45" s="10"/>
      <c r="H45" s="11"/>
      <c r="I45" s="23"/>
      <c r="J45" s="9"/>
    </row>
    <row r="46" spans="1:10">
      <c r="A46" s="4" t="s">
        <v>72</v>
      </c>
      <c r="B46" s="4">
        <v>211971565</v>
      </c>
      <c r="C46" s="4">
        <v>60</v>
      </c>
      <c r="D46" s="4" t="s">
        <v>10</v>
      </c>
      <c r="E46" s="13">
        <v>0.11385115740267793</v>
      </c>
      <c r="F46" s="1">
        <v>1.1771000535045477</v>
      </c>
      <c r="G46" s="1">
        <v>1.1620117710005353</v>
      </c>
      <c r="H46" s="5">
        <v>0.72916666666666663</v>
      </c>
      <c r="I46" s="22">
        <v>0.77821250222935612</v>
      </c>
    </row>
    <row r="47" spans="1:10">
      <c r="A47" s="4" t="s">
        <v>18</v>
      </c>
      <c r="B47" s="4">
        <v>211968049</v>
      </c>
      <c r="C47" s="4">
        <v>288</v>
      </c>
      <c r="D47" s="4" t="s">
        <v>14</v>
      </c>
      <c r="E47" s="13">
        <v>7.8388194444414694E-2</v>
      </c>
      <c r="F47" s="1">
        <v>2.428571428571427</v>
      </c>
      <c r="G47" s="1">
        <v>1.9523809523809526</v>
      </c>
      <c r="H47" s="5">
        <v>0.77821250222935612</v>
      </c>
      <c r="I47" s="22">
        <v>0.87940297841983228</v>
      </c>
    </row>
    <row r="48" spans="1:10">
      <c r="A48" s="4" t="s">
        <v>21</v>
      </c>
      <c r="B48" s="4">
        <v>211971572</v>
      </c>
      <c r="C48" s="4">
        <v>48</v>
      </c>
      <c r="D48" s="4" t="s">
        <v>14</v>
      </c>
      <c r="E48" s="13">
        <v>3.6455324072449002E-2</v>
      </c>
      <c r="F48" s="1">
        <v>0.75420015367682192</v>
      </c>
      <c r="G48" s="1">
        <v>0.84665545241210305</v>
      </c>
      <c r="H48" s="5">
        <v>0.87940297841983228</v>
      </c>
      <c r="I48" s="22">
        <v>0.91082798482303318</v>
      </c>
    </row>
    <row r="49" spans="1:10">
      <c r="A49" s="4" t="s">
        <v>73</v>
      </c>
      <c r="B49" s="4">
        <v>211971570</v>
      </c>
      <c r="C49" s="4">
        <v>48</v>
      </c>
      <c r="D49" s="4" t="s">
        <v>10</v>
      </c>
      <c r="E49" s="13">
        <v>1.8700925924349576E-2</v>
      </c>
      <c r="F49" s="1">
        <v>1.4298245614035088</v>
      </c>
      <c r="G49" s="1">
        <v>1.275689223057644</v>
      </c>
      <c r="H49" s="5">
        <v>0.91082798482303318</v>
      </c>
      <c r="I49" s="22">
        <v>0.97040400821484607</v>
      </c>
    </row>
    <row r="50" spans="1:10">
      <c r="A50" s="4" t="s">
        <v>67</v>
      </c>
      <c r="B50" s="4">
        <v>211971571</v>
      </c>
      <c r="C50" s="4">
        <v>60</v>
      </c>
      <c r="D50" s="4" t="s">
        <v>10</v>
      </c>
      <c r="E50" s="13">
        <v>45555.739201388889</v>
      </c>
      <c r="F50" s="1">
        <v>0.24925595238095238</v>
      </c>
      <c r="G50" s="1" t="s">
        <v>11</v>
      </c>
      <c r="H50" s="5">
        <v>0.97040400821484607</v>
      </c>
      <c r="I50" s="22">
        <v>0.98078967289738572</v>
      </c>
    </row>
    <row r="51" spans="1:10">
      <c r="A51" s="4" t="s">
        <v>68</v>
      </c>
      <c r="B51" s="4">
        <v>211966933</v>
      </c>
      <c r="C51" s="4">
        <v>12</v>
      </c>
      <c r="D51" s="4" t="s">
        <v>10</v>
      </c>
      <c r="E51" s="13">
        <v>45555.848946759259</v>
      </c>
      <c r="F51" s="1">
        <v>1</v>
      </c>
      <c r="G51" s="1" t="s">
        <v>11</v>
      </c>
      <c r="H51" s="5">
        <v>0.98078967289738572</v>
      </c>
      <c r="I51" s="22">
        <v>1.0224563395640525</v>
      </c>
    </row>
    <row r="52" spans="1:10">
      <c r="A52" s="4" t="s">
        <v>66</v>
      </c>
      <c r="B52" s="4">
        <v>211971569</v>
      </c>
      <c r="C52" s="4">
        <v>48</v>
      </c>
      <c r="D52" s="4" t="s">
        <v>10</v>
      </c>
      <c r="E52" s="13">
        <v>45555.796875</v>
      </c>
      <c r="F52" s="1">
        <v>1.7581329561527583</v>
      </c>
      <c r="G52" s="1">
        <v>1.033946251768034</v>
      </c>
      <c r="H52" s="5">
        <v>1.0224563395640525</v>
      </c>
      <c r="I52" s="22">
        <v>1.0957118794037508</v>
      </c>
    </row>
    <row r="53" spans="1:10">
      <c r="A53" s="4" t="s">
        <v>69</v>
      </c>
      <c r="B53" s="4">
        <v>211964341</v>
      </c>
      <c r="C53" s="4">
        <v>270</v>
      </c>
      <c r="D53" s="4" t="s">
        <v>10</v>
      </c>
      <c r="E53" s="13">
        <v>45555.953692129631</v>
      </c>
      <c r="F53" s="1">
        <v>1</v>
      </c>
      <c r="G53" s="1" t="s">
        <v>11</v>
      </c>
      <c r="H53" s="5">
        <v>1.0957118794037508</v>
      </c>
      <c r="I53" s="22">
        <v>1.1373785460704176</v>
      </c>
    </row>
    <row r="54" spans="1:10">
      <c r="A54" s="4" t="s">
        <v>70</v>
      </c>
      <c r="B54" s="4">
        <v>211971591</v>
      </c>
      <c r="C54" s="4">
        <v>12</v>
      </c>
      <c r="D54" s="4" t="s">
        <v>10</v>
      </c>
      <c r="E54" s="13">
        <v>45555.999120370368</v>
      </c>
      <c r="F54" s="1">
        <v>0.30078520770010131</v>
      </c>
      <c r="G54" s="1" t="s">
        <v>11</v>
      </c>
      <c r="H54" s="5">
        <v>1.1373785460704176</v>
      </c>
      <c r="I54" s="22">
        <v>1.1499112630579218</v>
      </c>
    </row>
    <row r="55" spans="1:10">
      <c r="A55" s="4" t="s">
        <v>71</v>
      </c>
      <c r="B55" s="4">
        <v>211971590</v>
      </c>
      <c r="C55" s="4">
        <v>48</v>
      </c>
      <c r="D55" s="4" t="s">
        <v>10</v>
      </c>
      <c r="E55" s="13">
        <v>45556.037604166668</v>
      </c>
      <c r="F55" s="1">
        <v>1.0952380952380953</v>
      </c>
      <c r="G55" s="1">
        <v>0.4844178509099975</v>
      </c>
      <c r="H55" s="5">
        <v>1.1499112630579218</v>
      </c>
      <c r="I55" s="22">
        <v>1.1955461836928425</v>
      </c>
    </row>
    <row r="56" spans="1:10" s="14" customFormat="1" ht="10.5" customHeight="1">
      <c r="A56" s="9"/>
      <c r="B56" s="9"/>
      <c r="C56" s="9"/>
      <c r="D56" s="9"/>
      <c r="E56" s="12"/>
      <c r="F56" s="10"/>
      <c r="G56" s="10"/>
      <c r="H56" s="11"/>
      <c r="I56" s="23"/>
      <c r="J56" s="9"/>
    </row>
    <row r="57" spans="1:10">
      <c r="A57" s="4" t="s">
        <v>18</v>
      </c>
      <c r="B57" s="4">
        <v>211968050</v>
      </c>
      <c r="C57" s="4">
        <v>288</v>
      </c>
      <c r="D57" s="4" t="s">
        <v>14</v>
      </c>
      <c r="E57" s="13">
        <v>0.10178541667119134</v>
      </c>
      <c r="F57" s="1">
        <v>2.428571428571427</v>
      </c>
      <c r="G57" s="1">
        <v>1.9523809523809526</v>
      </c>
      <c r="H57" s="5">
        <v>0.72916666666666663</v>
      </c>
      <c r="I57" s="22">
        <v>0.83035714285714279</v>
      </c>
    </row>
    <row r="58" spans="1:10">
      <c r="A58" s="4" t="s">
        <v>21</v>
      </c>
      <c r="B58" s="4">
        <v>211972221</v>
      </c>
      <c r="C58" s="4">
        <v>48</v>
      </c>
      <c r="D58" s="4" t="s">
        <v>14</v>
      </c>
      <c r="E58" s="13">
        <v>8.151921296666842E-2</v>
      </c>
      <c r="F58" s="1">
        <v>0.75420015367682192</v>
      </c>
      <c r="G58" s="1">
        <v>0.84665545241210305</v>
      </c>
      <c r="H58" s="5">
        <v>0.83035714285714279</v>
      </c>
      <c r="I58" s="22">
        <v>0.86178214926034369</v>
      </c>
    </row>
    <row r="59" spans="1:10">
      <c r="A59" s="4" t="s">
        <v>31</v>
      </c>
      <c r="B59" s="4">
        <v>211966930</v>
      </c>
      <c r="C59" s="4">
        <v>240</v>
      </c>
      <c r="D59" s="4" t="s">
        <v>20</v>
      </c>
      <c r="E59" s="13">
        <v>2.7965972229139879E-2</v>
      </c>
      <c r="F59" s="1">
        <v>1.3637425534400189</v>
      </c>
      <c r="G59" s="1">
        <v>0.95569053459486664</v>
      </c>
      <c r="H59" s="5">
        <v>0.86178214926034369</v>
      </c>
      <c r="I59" s="22">
        <v>0.91860475565367783</v>
      </c>
    </row>
    <row r="60" spans="1:10">
      <c r="A60" s="4" t="s">
        <v>18</v>
      </c>
      <c r="B60" s="4">
        <v>211968050</v>
      </c>
      <c r="C60" s="4">
        <v>288</v>
      </c>
      <c r="D60" s="4" t="s">
        <v>14</v>
      </c>
      <c r="E60" s="13">
        <v>45559.805300925924</v>
      </c>
      <c r="F60" s="1">
        <v>2.428571428571427</v>
      </c>
      <c r="G60" s="1">
        <v>1.9523809523809526</v>
      </c>
      <c r="H60" s="5">
        <v>0.91860475565367783</v>
      </c>
      <c r="I60" s="22">
        <v>1.0197952318441539</v>
      </c>
    </row>
    <row r="61" spans="1:10">
      <c r="A61" s="4" t="s">
        <v>21</v>
      </c>
      <c r="B61" s="4">
        <v>211972221</v>
      </c>
      <c r="C61" s="4">
        <v>48</v>
      </c>
      <c r="D61" s="4" t="s">
        <v>14</v>
      </c>
      <c r="E61" s="13">
        <v>45559.856388888889</v>
      </c>
      <c r="F61" s="1">
        <v>0.75420015367682192</v>
      </c>
      <c r="G61" s="1">
        <v>0.84665545241210305</v>
      </c>
      <c r="H61" s="5">
        <v>1.0197952318441539</v>
      </c>
      <c r="I61" s="22">
        <v>1.0512202382473548</v>
      </c>
    </row>
    <row r="62" spans="1:10">
      <c r="A62" s="4" t="s">
        <v>75</v>
      </c>
      <c r="B62" s="4">
        <v>211972239</v>
      </c>
      <c r="C62" s="4">
        <v>48</v>
      </c>
      <c r="D62" s="4" t="s">
        <v>10</v>
      </c>
      <c r="E62" s="13">
        <v>45559.722453703704</v>
      </c>
      <c r="F62" s="1">
        <v>3.1551781551781555</v>
      </c>
      <c r="G62" s="1" t="s">
        <v>11</v>
      </c>
      <c r="H62" s="5">
        <v>0.72916666666666663</v>
      </c>
      <c r="I62" s="22">
        <v>0.86063242313242316</v>
      </c>
    </row>
    <row r="63" spans="1:10">
      <c r="A63" s="4" t="s">
        <v>76</v>
      </c>
      <c r="B63" s="4">
        <v>211972241</v>
      </c>
      <c r="C63" s="4">
        <v>24</v>
      </c>
      <c r="D63" s="4" t="s">
        <v>10</v>
      </c>
      <c r="E63" s="13">
        <v>45559.756180555552</v>
      </c>
      <c r="F63" s="1">
        <v>0.46520146520146527</v>
      </c>
      <c r="G63" s="1" t="s">
        <v>11</v>
      </c>
      <c r="H63" s="5">
        <v>0.86063242313242316</v>
      </c>
      <c r="I63" s="22">
        <v>0.88001581751581759</v>
      </c>
    </row>
    <row r="64" spans="1:10">
      <c r="A64" s="4" t="s">
        <v>77</v>
      </c>
      <c r="B64" s="4">
        <v>211972238</v>
      </c>
      <c r="C64" s="4">
        <v>108</v>
      </c>
      <c r="D64" s="4" t="s">
        <v>10</v>
      </c>
      <c r="E64" s="13">
        <v>45559.79347222222</v>
      </c>
      <c r="F64" s="1">
        <v>0.5</v>
      </c>
      <c r="G64" s="1" t="s">
        <v>11</v>
      </c>
      <c r="H64" s="5">
        <v>0.88001581751581759</v>
      </c>
      <c r="I64" s="22">
        <v>0.90084915084915096</v>
      </c>
    </row>
    <row r="65" spans="1:10">
      <c r="A65" s="4" t="s">
        <v>78</v>
      </c>
      <c r="B65" s="4">
        <v>211972240</v>
      </c>
      <c r="C65" s="4">
        <v>5</v>
      </c>
      <c r="D65" s="4" t="s">
        <v>10</v>
      </c>
      <c r="E65" s="13">
        <v>45559.802476851852</v>
      </c>
      <c r="F65" s="1">
        <v>0.59523809523809534</v>
      </c>
      <c r="G65" s="1" t="s">
        <v>11</v>
      </c>
      <c r="H65" s="5">
        <v>0.90084915084915096</v>
      </c>
      <c r="I65" s="22">
        <v>0.92565073815073828</v>
      </c>
    </row>
    <row r="66" spans="1:10">
      <c r="A66" s="4" t="s">
        <v>38</v>
      </c>
      <c r="B66" s="4">
        <v>211972222</v>
      </c>
      <c r="C66" s="4">
        <v>172</v>
      </c>
      <c r="D66" s="4" t="s">
        <v>10</v>
      </c>
      <c r="E66" s="13">
        <v>45559.859884259262</v>
      </c>
      <c r="F66" s="1">
        <v>0.49616292798111056</v>
      </c>
      <c r="G66" s="1" t="s">
        <v>11</v>
      </c>
      <c r="H66" s="5">
        <v>0.92565073815073828</v>
      </c>
      <c r="I66" s="22">
        <v>0.94632419348328456</v>
      </c>
    </row>
    <row r="67" spans="1:10">
      <c r="A67" s="4" t="s">
        <v>79</v>
      </c>
      <c r="B67" s="4">
        <v>211972242</v>
      </c>
      <c r="C67" s="4">
        <v>60</v>
      </c>
      <c r="D67" s="4" t="s">
        <v>10</v>
      </c>
      <c r="E67" s="13">
        <v>45559.910173611112</v>
      </c>
      <c r="F67" s="1">
        <v>0.35094246031746035</v>
      </c>
      <c r="G67" s="1">
        <v>1.3690476190476193</v>
      </c>
      <c r="H67" s="5">
        <v>0.94632419348328456</v>
      </c>
      <c r="I67" s="22">
        <v>0.96094679599651212</v>
      </c>
    </row>
    <row r="68" spans="1:10">
      <c r="A68" s="4" t="s">
        <v>80</v>
      </c>
      <c r="B68" s="4">
        <v>211972229</v>
      </c>
      <c r="C68" s="4">
        <v>48</v>
      </c>
      <c r="D68" s="4" t="s">
        <v>10</v>
      </c>
      <c r="E68" s="13">
        <v>45559.935428240744</v>
      </c>
      <c r="F68" s="1">
        <v>0.46638655462184869</v>
      </c>
      <c r="G68" s="1" t="s">
        <v>11</v>
      </c>
      <c r="H68" s="5">
        <v>0.96094679599651212</v>
      </c>
      <c r="I68" s="22">
        <v>0.98037956910575585</v>
      </c>
    </row>
    <row r="69" spans="1:10">
      <c r="A69" s="4" t="s">
        <v>81</v>
      </c>
      <c r="B69" s="4">
        <v>211972220</v>
      </c>
      <c r="C69" s="4">
        <v>48</v>
      </c>
      <c r="D69" s="4" t="s">
        <v>10</v>
      </c>
      <c r="E69" s="13">
        <v>45559.985034722224</v>
      </c>
      <c r="F69" s="1">
        <v>0.37202380952380959</v>
      </c>
      <c r="G69" s="1">
        <v>1</v>
      </c>
      <c r="H69" s="5">
        <v>0.98037956910575585</v>
      </c>
      <c r="I69" s="22">
        <v>0.99588056116924795</v>
      </c>
    </row>
    <row r="70" spans="1:10">
      <c r="A70" s="4" t="s">
        <v>82</v>
      </c>
      <c r="B70" s="4">
        <v>211968063</v>
      </c>
      <c r="C70" s="4">
        <v>96</v>
      </c>
      <c r="D70" s="4" t="s">
        <v>20</v>
      </c>
      <c r="E70" s="13">
        <v>45560.000520833331</v>
      </c>
      <c r="F70" s="1">
        <v>0.85634920634920642</v>
      </c>
      <c r="G70" s="1" t="s">
        <v>11</v>
      </c>
      <c r="H70" s="5">
        <v>0.99588056116924795</v>
      </c>
      <c r="I70" s="22">
        <v>1.0315617781004649</v>
      </c>
    </row>
    <row r="71" spans="1:10">
      <c r="A71" s="4" t="s">
        <v>47</v>
      </c>
      <c r="B71" s="4">
        <v>211972086</v>
      </c>
      <c r="C71" s="4">
        <v>24</v>
      </c>
      <c r="D71" s="4" t="s">
        <v>10</v>
      </c>
      <c r="E71" s="13">
        <v>45560.029467592591</v>
      </c>
      <c r="F71" s="1">
        <v>0.5</v>
      </c>
      <c r="G71" s="1">
        <v>1</v>
      </c>
      <c r="H71" s="5">
        <v>1.0315617781004649</v>
      </c>
      <c r="I71" s="22">
        <v>1.0523951114337982</v>
      </c>
    </row>
    <row r="72" spans="1:10">
      <c r="A72" s="4" t="s">
        <v>83</v>
      </c>
      <c r="B72" s="4">
        <v>211972234</v>
      </c>
      <c r="C72" s="4">
        <v>96</v>
      </c>
      <c r="D72" s="4" t="s">
        <v>20</v>
      </c>
      <c r="E72" s="13">
        <v>45560.054085648146</v>
      </c>
      <c r="F72" s="1">
        <v>0.43290043290043295</v>
      </c>
      <c r="G72" s="1" t="s">
        <v>11</v>
      </c>
      <c r="H72" s="5">
        <v>1.0523951114337982</v>
      </c>
      <c r="I72" s="22">
        <v>1.0704326294713162</v>
      </c>
    </row>
    <row r="73" spans="1:10">
      <c r="A73" s="4" t="s">
        <v>84</v>
      </c>
      <c r="B73" s="4">
        <v>211972219</v>
      </c>
      <c r="C73" s="4">
        <v>48</v>
      </c>
      <c r="D73" s="4" t="s">
        <v>10</v>
      </c>
      <c r="E73" s="13">
        <v>45560.057245370372</v>
      </c>
      <c r="F73" s="1">
        <v>0.5</v>
      </c>
      <c r="G73" s="1">
        <v>1</v>
      </c>
      <c r="H73" s="5">
        <v>1.0704326294713162</v>
      </c>
      <c r="I73" s="22">
        <v>1.0912659628046495</v>
      </c>
    </row>
    <row r="74" spans="1:10">
      <c r="A74" s="4" t="s">
        <v>37</v>
      </c>
      <c r="B74" s="4">
        <v>211968060</v>
      </c>
      <c r="C74" s="4">
        <v>24</v>
      </c>
      <c r="D74" s="4" t="s">
        <v>10</v>
      </c>
      <c r="E74" s="13">
        <v>45560.09097222222</v>
      </c>
      <c r="F74" s="1">
        <v>0.8183150182857144</v>
      </c>
      <c r="G74" s="1">
        <v>1</v>
      </c>
      <c r="H74" s="5">
        <v>1.0912659628046495</v>
      </c>
      <c r="I74" s="22">
        <v>1.1253624218998877</v>
      </c>
    </row>
    <row r="75" spans="1:10">
      <c r="A75" s="4" t="s">
        <v>34</v>
      </c>
      <c r="B75" s="4">
        <v>211972217</v>
      </c>
      <c r="C75" s="4">
        <v>60</v>
      </c>
      <c r="D75" s="4" t="s">
        <v>10</v>
      </c>
      <c r="E75" s="13">
        <v>45560.420960648145</v>
      </c>
      <c r="F75" s="1">
        <v>0.60442083169355953</v>
      </c>
      <c r="G75" s="1">
        <v>0.50964187327823696</v>
      </c>
      <c r="H75" s="5">
        <v>1.1253624218998877</v>
      </c>
      <c r="I75" s="22">
        <v>1.1505466232204526</v>
      </c>
    </row>
    <row r="76" spans="1:10">
      <c r="A76" s="4" t="s">
        <v>63</v>
      </c>
      <c r="B76" s="4">
        <v>211972216</v>
      </c>
      <c r="C76" s="4">
        <v>60</v>
      </c>
      <c r="D76" s="4" t="s">
        <v>10</v>
      </c>
      <c r="E76" s="13">
        <v>45560.464594907404</v>
      </c>
      <c r="F76" s="1">
        <v>0.52633281573498936</v>
      </c>
      <c r="G76" s="1" t="s">
        <v>11</v>
      </c>
      <c r="H76" s="5">
        <v>1.1505466232204526</v>
      </c>
      <c r="I76" s="22">
        <v>1.1724771572094106</v>
      </c>
    </row>
    <row r="77" spans="1:10" s="14" customFormat="1" ht="10.5" customHeight="1">
      <c r="A77" s="9"/>
      <c r="B77" s="9"/>
      <c r="C77" s="9"/>
      <c r="D77" s="9"/>
      <c r="E77" s="12"/>
      <c r="F77" s="10"/>
      <c r="G77" s="10"/>
      <c r="H77" s="11"/>
      <c r="I77" s="23"/>
      <c r="J77" s="9"/>
    </row>
    <row r="78" spans="1:10">
      <c r="A78" s="4" t="s">
        <v>35</v>
      </c>
      <c r="B78" s="4">
        <v>211972904</v>
      </c>
      <c r="C78" s="4">
        <v>48</v>
      </c>
      <c r="D78" s="4" t="s">
        <v>14</v>
      </c>
      <c r="E78" s="13">
        <v>0.26125659722310957</v>
      </c>
      <c r="F78" s="1">
        <v>0.67878561904761914</v>
      </c>
      <c r="G78" s="1">
        <v>0.66262704761904767</v>
      </c>
      <c r="H78" s="5">
        <v>0.72916666666666663</v>
      </c>
      <c r="I78" s="22">
        <v>0.75744940079365075</v>
      </c>
    </row>
    <row r="79" spans="1:10">
      <c r="A79" s="4" t="s">
        <v>86</v>
      </c>
      <c r="B79" s="4">
        <v>211970675</v>
      </c>
      <c r="C79" s="4">
        <v>24</v>
      </c>
      <c r="D79" s="4" t="s">
        <v>20</v>
      </c>
      <c r="E79" s="13">
        <v>0.16976354166399688</v>
      </c>
      <c r="F79" s="1">
        <v>1.8728617660656497</v>
      </c>
      <c r="G79" s="1">
        <v>1.5936199722607525</v>
      </c>
      <c r="H79" s="5">
        <v>0.75744940079365075</v>
      </c>
      <c r="I79" s="22">
        <v>0.83548530771305285</v>
      </c>
    </row>
    <row r="80" spans="1:10">
      <c r="A80" s="4" t="s">
        <v>18</v>
      </c>
      <c r="B80" s="4">
        <v>211968051</v>
      </c>
      <c r="C80" s="4">
        <v>288</v>
      </c>
      <c r="D80" s="4" t="s">
        <v>14</v>
      </c>
      <c r="E80" s="13">
        <v>5.8768171293195337E-2</v>
      </c>
      <c r="F80" s="1">
        <v>2.428571428571427</v>
      </c>
      <c r="G80" s="1">
        <v>1.9523809523809526</v>
      </c>
      <c r="H80" s="5">
        <v>0.83548530771305285</v>
      </c>
      <c r="I80" s="22">
        <v>0.93667578390352901</v>
      </c>
    </row>
    <row r="81" spans="1:10">
      <c r="A81" s="4" t="s">
        <v>87</v>
      </c>
      <c r="B81" s="4">
        <v>211972894</v>
      </c>
      <c r="C81" s="4">
        <v>10</v>
      </c>
      <c r="D81" s="4" t="s">
        <v>20</v>
      </c>
      <c r="E81" s="13">
        <v>0.12204363425553311</v>
      </c>
      <c r="F81" s="1">
        <v>0.86904761904761907</v>
      </c>
      <c r="G81" s="1" t="s">
        <v>11</v>
      </c>
      <c r="H81" s="5">
        <v>0.93667578390352901</v>
      </c>
      <c r="I81" s="22">
        <v>0.97288610136384646</v>
      </c>
    </row>
    <row r="82" spans="1:10">
      <c r="A82" s="4" t="s">
        <v>88</v>
      </c>
      <c r="B82" s="4">
        <v>211972895</v>
      </c>
      <c r="C82" s="4">
        <v>5</v>
      </c>
      <c r="D82" s="4" t="s">
        <v>20</v>
      </c>
      <c r="E82" s="13">
        <v>0.10203206018195488</v>
      </c>
      <c r="F82" s="1">
        <v>0.39115646258503406</v>
      </c>
      <c r="G82" s="1" t="s">
        <v>11</v>
      </c>
      <c r="H82" s="5">
        <v>0.97288610136384646</v>
      </c>
      <c r="I82" s="22">
        <v>0.9891842873048895</v>
      </c>
    </row>
    <row r="83" spans="1:10">
      <c r="A83" s="4" t="s">
        <v>89</v>
      </c>
      <c r="B83" s="4">
        <v>211972896</v>
      </c>
      <c r="C83" s="4">
        <v>5</v>
      </c>
      <c r="D83" s="4" t="s">
        <v>20</v>
      </c>
      <c r="E83" s="13">
        <v>0.10199733796616783</v>
      </c>
      <c r="F83" s="1">
        <v>0.52521008403361347</v>
      </c>
      <c r="G83" s="1" t="s">
        <v>11</v>
      </c>
      <c r="H83" s="5">
        <v>0.9891842873048895</v>
      </c>
      <c r="I83" s="22">
        <v>1.01106804080629</v>
      </c>
    </row>
    <row r="84" spans="1:10">
      <c r="A84" s="4" t="s">
        <v>90</v>
      </c>
      <c r="B84" s="4">
        <v>211972897</v>
      </c>
      <c r="C84" s="4">
        <v>5</v>
      </c>
      <c r="D84" s="4" t="s">
        <v>20</v>
      </c>
      <c r="E84" s="13">
        <v>9.9022800925013144E-2</v>
      </c>
      <c r="F84" s="1">
        <v>0.67261904761904767</v>
      </c>
      <c r="G84" s="1" t="s">
        <v>11</v>
      </c>
      <c r="H84" s="5">
        <v>1.01106804080629</v>
      </c>
      <c r="I84" s="22">
        <v>1.0390938344570837</v>
      </c>
    </row>
    <row r="85" spans="1:10">
      <c r="A85" s="4" t="s">
        <v>91</v>
      </c>
      <c r="B85" s="4">
        <v>211972885</v>
      </c>
      <c r="C85" s="4">
        <v>24</v>
      </c>
      <c r="D85" s="4" t="s">
        <v>20</v>
      </c>
      <c r="E85" s="13">
        <v>5.3918634257570375E-2</v>
      </c>
      <c r="F85" s="1">
        <v>1.0666666666666669</v>
      </c>
      <c r="G85" s="1" t="s">
        <v>11</v>
      </c>
      <c r="H85" s="5">
        <v>1.0390938344570837</v>
      </c>
      <c r="I85" s="22">
        <v>1.0835382789015282</v>
      </c>
    </row>
    <row r="86" spans="1:10">
      <c r="A86" s="4" t="s">
        <v>92</v>
      </c>
      <c r="B86" s="4">
        <v>211972877</v>
      </c>
      <c r="C86" s="4">
        <v>80</v>
      </c>
      <c r="D86" s="4" t="s">
        <v>20</v>
      </c>
      <c r="E86" s="13">
        <v>4.3386226854636334E-2</v>
      </c>
      <c r="F86" s="1">
        <v>0.2510460251046025</v>
      </c>
      <c r="G86" s="1" t="s">
        <v>11</v>
      </c>
      <c r="H86" s="5">
        <v>1.0835382789015282</v>
      </c>
      <c r="I86" s="22">
        <v>1.0939985299475534</v>
      </c>
    </row>
    <row r="87" spans="1:10">
      <c r="A87" s="4" t="s">
        <v>93</v>
      </c>
      <c r="B87" s="4">
        <v>211972886</v>
      </c>
      <c r="C87" s="4">
        <v>24</v>
      </c>
      <c r="D87" s="4" t="s">
        <v>20</v>
      </c>
      <c r="E87" s="13">
        <v>8.8376157436869107E-3</v>
      </c>
      <c r="F87" s="1">
        <v>0.53463203463203457</v>
      </c>
      <c r="G87" s="1" t="s">
        <v>11</v>
      </c>
      <c r="H87" s="5">
        <v>1.0939985299475534</v>
      </c>
      <c r="I87" s="22">
        <v>1.1162748647238883</v>
      </c>
    </row>
    <row r="88" spans="1:10">
      <c r="A88" s="4" t="s">
        <v>47</v>
      </c>
      <c r="B88" s="4">
        <v>211972086</v>
      </c>
      <c r="C88" s="4">
        <v>24</v>
      </c>
      <c r="D88" s="4" t="s">
        <v>10</v>
      </c>
      <c r="E88" s="13">
        <v>0.21286828703887295</v>
      </c>
      <c r="F88" s="1">
        <v>1</v>
      </c>
      <c r="G88" s="1">
        <v>1</v>
      </c>
      <c r="H88" s="5">
        <v>0.72916666666666663</v>
      </c>
      <c r="I88" s="22">
        <v>0.77083333333333326</v>
      </c>
    </row>
    <row r="89" spans="1:10">
      <c r="A89" s="4" t="s">
        <v>81</v>
      </c>
      <c r="B89" s="4">
        <v>211972220</v>
      </c>
      <c r="C89" s="4">
        <v>48</v>
      </c>
      <c r="D89" s="4" t="s">
        <v>10</v>
      </c>
      <c r="E89" s="13">
        <v>0.10700023148092441</v>
      </c>
      <c r="F89" s="1">
        <v>0.37202380952380959</v>
      </c>
      <c r="G89" s="1">
        <v>1</v>
      </c>
      <c r="H89" s="5">
        <v>0.77083333333333326</v>
      </c>
      <c r="I89" s="22">
        <v>0.78633432539682535</v>
      </c>
    </row>
    <row r="90" spans="1:10">
      <c r="A90" s="4" t="s">
        <v>84</v>
      </c>
      <c r="B90" s="4">
        <v>211972219</v>
      </c>
      <c r="C90" s="4">
        <v>48</v>
      </c>
      <c r="D90" s="4" t="s">
        <v>10</v>
      </c>
      <c r="E90" s="13">
        <v>9.5356712961802259E-2</v>
      </c>
      <c r="F90" s="1">
        <v>1</v>
      </c>
      <c r="G90" s="1">
        <v>1</v>
      </c>
      <c r="H90" s="5">
        <v>0.78633432539682535</v>
      </c>
      <c r="I90" s="22">
        <v>0.82800099206349198</v>
      </c>
    </row>
    <row r="91" spans="1:10">
      <c r="A91" s="4" t="s">
        <v>37</v>
      </c>
      <c r="B91" s="4">
        <v>211968060</v>
      </c>
      <c r="C91" s="4">
        <v>24</v>
      </c>
      <c r="D91" s="4" t="s">
        <v>10</v>
      </c>
      <c r="E91" s="13">
        <v>4.6236342597694602E-2</v>
      </c>
      <c r="F91" s="1">
        <v>0.8183150182857144</v>
      </c>
      <c r="G91" s="1">
        <v>1</v>
      </c>
      <c r="H91" s="5">
        <v>0.82800099206349198</v>
      </c>
      <c r="I91" s="22">
        <v>0.86209745115873004</v>
      </c>
    </row>
    <row r="92" spans="1:10">
      <c r="A92" s="4" t="s">
        <v>44</v>
      </c>
      <c r="B92" s="4">
        <v>211972872</v>
      </c>
      <c r="C92" s="4">
        <v>60</v>
      </c>
      <c r="D92" s="4" t="s">
        <v>10</v>
      </c>
      <c r="E92" s="13">
        <v>45560.850428240738</v>
      </c>
      <c r="F92" s="1">
        <v>1.8286112596039952</v>
      </c>
      <c r="G92" s="1">
        <v>2.26979235453812</v>
      </c>
      <c r="H92" s="5">
        <v>0.86209745115873004</v>
      </c>
      <c r="I92" s="22">
        <v>0.93828958697556319</v>
      </c>
    </row>
    <row r="93" spans="1:10">
      <c r="A93" s="4" t="s">
        <v>34</v>
      </c>
      <c r="B93" s="4">
        <v>211972873</v>
      </c>
      <c r="C93" s="4">
        <v>60</v>
      </c>
      <c r="D93" s="4" t="s">
        <v>10</v>
      </c>
      <c r="E93" s="13">
        <v>45560.894062500003</v>
      </c>
      <c r="F93" s="1">
        <v>0.60442083169355953</v>
      </c>
      <c r="G93" s="1">
        <v>0.50964187327823696</v>
      </c>
      <c r="H93" s="5">
        <v>0.93828958697556319</v>
      </c>
      <c r="I93" s="22">
        <v>0.96347378829612818</v>
      </c>
    </row>
    <row r="94" spans="1:10">
      <c r="A94" s="4" t="s">
        <v>85</v>
      </c>
      <c r="B94" s="4">
        <v>211972875</v>
      </c>
      <c r="C94" s="4">
        <v>48</v>
      </c>
      <c r="D94" s="4" t="s">
        <v>10</v>
      </c>
      <c r="E94" s="13">
        <v>45560.902986111112</v>
      </c>
      <c r="F94" s="1">
        <v>0.25685527019796683</v>
      </c>
      <c r="G94" s="1" t="s">
        <v>11</v>
      </c>
      <c r="H94" s="5">
        <v>0.96347378829612818</v>
      </c>
      <c r="I94" s="22">
        <v>0.97417609122104343</v>
      </c>
    </row>
    <row r="95" spans="1:10">
      <c r="A95" s="4" t="s">
        <v>64</v>
      </c>
      <c r="B95" s="4">
        <v>211972874</v>
      </c>
      <c r="C95" s="4">
        <v>48</v>
      </c>
      <c r="D95" s="4" t="s">
        <v>10</v>
      </c>
      <c r="E95" s="13">
        <v>45560.963495370372</v>
      </c>
      <c r="F95" s="1">
        <v>1.1933611768060515</v>
      </c>
      <c r="G95" s="1">
        <v>0.90150790855264284</v>
      </c>
      <c r="H95" s="5">
        <v>0.97417609122104343</v>
      </c>
      <c r="I95" s="22">
        <v>1.0238994735879623</v>
      </c>
    </row>
    <row r="96" spans="1:10" s="14" customFormat="1" ht="10.5" customHeight="1">
      <c r="A96" s="9"/>
      <c r="B96" s="9"/>
      <c r="C96" s="9"/>
      <c r="D96" s="9"/>
      <c r="E96" s="12"/>
      <c r="F96" s="10"/>
      <c r="G96" s="10"/>
      <c r="H96" s="11"/>
      <c r="I96" s="23"/>
      <c r="J96" s="9"/>
    </row>
    <row r="97" spans="1:9">
      <c r="A97" s="4" t="s">
        <v>35</v>
      </c>
      <c r="B97" s="4">
        <v>211972904</v>
      </c>
      <c r="C97" s="4">
        <v>48</v>
      </c>
      <c r="D97" s="4" t="s">
        <v>14</v>
      </c>
      <c r="E97" s="13">
        <v>0.26125659722310957</v>
      </c>
      <c r="F97" s="1">
        <v>0.67878561904761914</v>
      </c>
      <c r="G97" s="1">
        <v>0.66262704761904767</v>
      </c>
      <c r="H97" s="5">
        <v>0.72916666666666663</v>
      </c>
      <c r="I97" s="22">
        <v>0.75744940079365075</v>
      </c>
    </row>
    <row r="98" spans="1:9">
      <c r="A98" s="4" t="s">
        <v>86</v>
      </c>
      <c r="B98" s="4">
        <v>211970675</v>
      </c>
      <c r="C98" s="4">
        <v>24</v>
      </c>
      <c r="D98" s="4" t="s">
        <v>20</v>
      </c>
      <c r="E98" s="13">
        <v>0.16976354166399688</v>
      </c>
      <c r="F98" s="1">
        <v>1.8728617660656497</v>
      </c>
      <c r="G98" s="1">
        <v>1.5936199722607525</v>
      </c>
      <c r="H98" s="5">
        <v>0.75744940079365075</v>
      </c>
      <c r="I98" s="22">
        <v>0.83548530771305285</v>
      </c>
    </row>
    <row r="99" spans="1:9">
      <c r="A99" s="4" t="s">
        <v>18</v>
      </c>
      <c r="B99" s="4">
        <v>211968051</v>
      </c>
      <c r="C99" s="4">
        <v>288</v>
      </c>
      <c r="D99" s="4" t="s">
        <v>14</v>
      </c>
      <c r="E99" s="13">
        <v>5.8768171293195337E-2</v>
      </c>
      <c r="F99" s="1">
        <v>2.428571428571427</v>
      </c>
      <c r="G99" s="1">
        <v>1.9523809523809526</v>
      </c>
      <c r="H99" s="5">
        <v>0.83548530771305285</v>
      </c>
      <c r="I99" s="22">
        <v>0.93667578390352901</v>
      </c>
    </row>
    <row r="100" spans="1:9">
      <c r="A100" s="4" t="s">
        <v>87</v>
      </c>
      <c r="B100" s="4">
        <v>211972894</v>
      </c>
      <c r="C100" s="4">
        <v>10</v>
      </c>
      <c r="D100" s="4" t="s">
        <v>20</v>
      </c>
      <c r="E100" s="13">
        <v>0.12204363425553311</v>
      </c>
      <c r="F100" s="1">
        <v>0.86904761904761907</v>
      </c>
      <c r="G100" s="1" t="s">
        <v>11</v>
      </c>
      <c r="H100" s="5">
        <v>0.93667578390352901</v>
      </c>
      <c r="I100" s="22">
        <v>0.97288610136384646</v>
      </c>
    </row>
    <row r="101" spans="1:9">
      <c r="A101" s="4" t="s">
        <v>88</v>
      </c>
      <c r="B101" s="4">
        <v>211972895</v>
      </c>
      <c r="C101" s="4">
        <v>5</v>
      </c>
      <c r="D101" s="4" t="s">
        <v>20</v>
      </c>
      <c r="E101" s="13">
        <v>0.10203206018195488</v>
      </c>
      <c r="F101" s="1">
        <v>0.39115646258503406</v>
      </c>
      <c r="G101" s="1" t="s">
        <v>11</v>
      </c>
      <c r="H101" s="5">
        <v>0.97288610136384646</v>
      </c>
      <c r="I101" s="22">
        <v>0.9891842873048895</v>
      </c>
    </row>
    <row r="102" spans="1:9">
      <c r="A102" s="4" t="s">
        <v>89</v>
      </c>
      <c r="B102" s="4">
        <v>211972896</v>
      </c>
      <c r="C102" s="4">
        <v>5</v>
      </c>
      <c r="D102" s="4" t="s">
        <v>20</v>
      </c>
      <c r="E102" s="13">
        <v>0.10199733796616783</v>
      </c>
      <c r="F102" s="1">
        <v>0.52521008403361347</v>
      </c>
      <c r="G102" s="1" t="s">
        <v>11</v>
      </c>
      <c r="H102" s="5">
        <v>0.9891842873048895</v>
      </c>
      <c r="I102" s="22">
        <v>1.01106804080629</v>
      </c>
    </row>
    <row r="103" spans="1:9">
      <c r="A103" s="4" t="s">
        <v>90</v>
      </c>
      <c r="B103" s="4">
        <v>211972897</v>
      </c>
      <c r="C103" s="4">
        <v>5</v>
      </c>
      <c r="D103" s="4" t="s">
        <v>20</v>
      </c>
      <c r="E103" s="13">
        <v>9.9022800925013144E-2</v>
      </c>
      <c r="F103" s="1">
        <v>0.67261904761904767</v>
      </c>
      <c r="G103" s="1" t="s">
        <v>11</v>
      </c>
      <c r="H103" s="5">
        <v>1.01106804080629</v>
      </c>
      <c r="I103" s="22">
        <v>1.0390938344570837</v>
      </c>
    </row>
    <row r="104" spans="1:9">
      <c r="A104" s="4" t="s">
        <v>91</v>
      </c>
      <c r="B104" s="4">
        <v>211972885</v>
      </c>
      <c r="C104" s="4">
        <v>24</v>
      </c>
      <c r="D104" s="4" t="s">
        <v>20</v>
      </c>
      <c r="E104" s="13">
        <v>5.3918634257570375E-2</v>
      </c>
      <c r="F104" s="1">
        <v>1.0666666666666669</v>
      </c>
      <c r="G104" s="1" t="s">
        <v>11</v>
      </c>
      <c r="H104" s="5">
        <v>1.0390938344570837</v>
      </c>
      <c r="I104" s="22">
        <v>1.0835382789015282</v>
      </c>
    </row>
    <row r="105" spans="1:9">
      <c r="A105" s="4" t="s">
        <v>92</v>
      </c>
      <c r="B105" s="4">
        <v>211972877</v>
      </c>
      <c r="C105" s="4">
        <v>80</v>
      </c>
      <c r="D105" s="4" t="s">
        <v>20</v>
      </c>
      <c r="E105" s="13">
        <v>4.3386226854636334E-2</v>
      </c>
      <c r="F105" s="1">
        <v>0.2510460251046025</v>
      </c>
      <c r="G105" s="1" t="s">
        <v>11</v>
      </c>
      <c r="H105" s="5">
        <v>1.0835382789015282</v>
      </c>
      <c r="I105" s="22">
        <v>1.0939985299475534</v>
      </c>
    </row>
    <row r="106" spans="1:9">
      <c r="A106" s="4" t="s">
        <v>93</v>
      </c>
      <c r="B106" s="4">
        <v>211972886</v>
      </c>
      <c r="C106" s="4">
        <v>24</v>
      </c>
      <c r="D106" s="4" t="s">
        <v>20</v>
      </c>
      <c r="E106" s="13">
        <v>8.8376157436869107E-3</v>
      </c>
      <c r="F106" s="1">
        <v>0.53463203463203457</v>
      </c>
      <c r="G106" s="1" t="s">
        <v>11</v>
      </c>
      <c r="H106" s="5">
        <v>1.0939985299475534</v>
      </c>
      <c r="I106" s="22">
        <v>1.1162748647238883</v>
      </c>
    </row>
    <row r="107" spans="1:9">
      <c r="A107" s="4" t="s">
        <v>47</v>
      </c>
      <c r="B107" s="4">
        <v>211972086</v>
      </c>
      <c r="C107" s="4">
        <v>24</v>
      </c>
      <c r="D107" s="4" t="s">
        <v>10</v>
      </c>
      <c r="E107" s="13">
        <v>0.21286828703887295</v>
      </c>
      <c r="F107" s="1">
        <v>1</v>
      </c>
      <c r="G107" s="1">
        <v>1</v>
      </c>
      <c r="H107" s="5">
        <v>0.72916666666666663</v>
      </c>
      <c r="I107" s="22">
        <v>0.77083333333333326</v>
      </c>
    </row>
    <row r="108" spans="1:9">
      <c r="A108" s="4" t="s">
        <v>81</v>
      </c>
      <c r="B108" s="4">
        <v>211972220</v>
      </c>
      <c r="C108" s="4">
        <v>48</v>
      </c>
      <c r="D108" s="4" t="s">
        <v>10</v>
      </c>
      <c r="E108" s="13">
        <v>0.10700023148092441</v>
      </c>
      <c r="F108" s="1">
        <v>0.37202380952380959</v>
      </c>
      <c r="G108" s="1">
        <v>1</v>
      </c>
      <c r="H108" s="5">
        <v>0.77083333333333326</v>
      </c>
      <c r="I108" s="22">
        <v>0.78633432539682535</v>
      </c>
    </row>
    <row r="109" spans="1:9">
      <c r="A109" s="4" t="s">
        <v>84</v>
      </c>
      <c r="B109" s="4">
        <v>211972219</v>
      </c>
      <c r="C109" s="4">
        <v>48</v>
      </c>
      <c r="D109" s="4" t="s">
        <v>10</v>
      </c>
      <c r="E109" s="13">
        <v>9.5356712961802259E-2</v>
      </c>
      <c r="F109" s="1">
        <v>1</v>
      </c>
      <c r="G109" s="1">
        <v>1</v>
      </c>
      <c r="H109" s="5">
        <v>0.78633432539682535</v>
      </c>
      <c r="I109" s="22">
        <v>0.82800099206349198</v>
      </c>
    </row>
    <row r="110" spans="1:9">
      <c r="A110" s="4" t="s">
        <v>37</v>
      </c>
      <c r="B110" s="4">
        <v>211968060</v>
      </c>
      <c r="C110" s="4">
        <v>24</v>
      </c>
      <c r="D110" s="4" t="s">
        <v>10</v>
      </c>
      <c r="E110" s="13">
        <v>4.6236342597694602E-2</v>
      </c>
      <c r="F110" s="1">
        <v>0.8183150182857144</v>
      </c>
      <c r="G110" s="1">
        <v>1</v>
      </c>
      <c r="H110" s="5">
        <v>0.82800099206349198</v>
      </c>
      <c r="I110" s="22">
        <v>0.86209745115873004</v>
      </c>
    </row>
    <row r="111" spans="1:9">
      <c r="A111" s="4" t="s">
        <v>44</v>
      </c>
      <c r="B111" s="4">
        <v>211972872</v>
      </c>
      <c r="C111" s="4">
        <v>60</v>
      </c>
      <c r="D111" s="4" t="s">
        <v>10</v>
      </c>
      <c r="E111" s="13">
        <v>45560.850428240738</v>
      </c>
      <c r="F111" s="1">
        <v>1.8286112596039952</v>
      </c>
      <c r="G111" s="1">
        <v>2.26979235453812</v>
      </c>
      <c r="H111" s="5">
        <v>0.86209745115873004</v>
      </c>
      <c r="I111" s="22">
        <v>0.93828958697556319</v>
      </c>
    </row>
    <row r="112" spans="1:9">
      <c r="A112" s="4" t="s">
        <v>34</v>
      </c>
      <c r="B112" s="4">
        <v>211972873</v>
      </c>
      <c r="C112" s="4">
        <v>60</v>
      </c>
      <c r="D112" s="4" t="s">
        <v>10</v>
      </c>
      <c r="E112" s="13">
        <v>45560.894062500003</v>
      </c>
      <c r="F112" s="1">
        <v>0.60442083169355953</v>
      </c>
      <c r="G112" s="1">
        <v>0.50964187327823696</v>
      </c>
      <c r="H112" s="5">
        <v>0.93828958697556319</v>
      </c>
      <c r="I112" s="22">
        <v>0.96347378829612818</v>
      </c>
    </row>
    <row r="113" spans="1:10">
      <c r="A113" s="4" t="s">
        <v>85</v>
      </c>
      <c r="B113" s="4">
        <v>211972875</v>
      </c>
      <c r="C113" s="4">
        <v>48</v>
      </c>
      <c r="D113" s="4" t="s">
        <v>10</v>
      </c>
      <c r="E113" s="13">
        <v>45560.902986111112</v>
      </c>
      <c r="F113" s="1">
        <v>0.25685527019796683</v>
      </c>
      <c r="G113" s="1" t="s">
        <v>11</v>
      </c>
      <c r="H113" s="5">
        <v>0.96347378829612818</v>
      </c>
      <c r="I113" s="22">
        <v>0.97417609122104343</v>
      </c>
    </row>
    <row r="114" spans="1:10">
      <c r="A114" s="4" t="s">
        <v>64</v>
      </c>
      <c r="B114" s="4">
        <v>211972874</v>
      </c>
      <c r="C114" s="4">
        <v>48</v>
      </c>
      <c r="D114" s="4" t="s">
        <v>10</v>
      </c>
      <c r="E114" s="13">
        <v>45560.963495370372</v>
      </c>
      <c r="F114" s="1">
        <v>1.1933611768060515</v>
      </c>
      <c r="G114" s="1">
        <v>0.90150790855264284</v>
      </c>
      <c r="H114" s="5">
        <v>0.97417609122104343</v>
      </c>
      <c r="I114" s="22">
        <v>1.0238994735879623</v>
      </c>
    </row>
    <row r="115" spans="1:10" s="14" customFormat="1" ht="10.5" customHeight="1">
      <c r="A115" s="9"/>
      <c r="B115" s="9"/>
      <c r="C115" s="9"/>
      <c r="D115" s="9"/>
      <c r="E115" s="12"/>
      <c r="F115" s="10"/>
      <c r="G115" s="10"/>
      <c r="H115" s="11"/>
      <c r="I115" s="23"/>
      <c r="J115" s="9"/>
    </row>
    <row r="116" spans="1:10">
      <c r="A116" s="4" t="s">
        <v>35</v>
      </c>
      <c r="B116" s="4">
        <v>211973381</v>
      </c>
      <c r="C116" s="4">
        <v>48</v>
      </c>
      <c r="D116" s="4" t="s">
        <v>14</v>
      </c>
      <c r="E116" s="13">
        <v>0.24404421296640066</v>
      </c>
      <c r="F116" s="1">
        <v>0.67878561904761914</v>
      </c>
      <c r="G116" s="1">
        <v>0.66262704761904767</v>
      </c>
      <c r="H116" s="5">
        <v>0.72916666666666663</v>
      </c>
      <c r="I116" s="22">
        <v>0.75744940079365075</v>
      </c>
    </row>
    <row r="117" spans="1:10">
      <c r="A117" s="4" t="s">
        <v>100</v>
      </c>
      <c r="B117" s="4">
        <v>211973251</v>
      </c>
      <c r="C117" s="4">
        <v>48</v>
      </c>
      <c r="D117" s="4" t="s">
        <v>20</v>
      </c>
      <c r="E117" s="13">
        <v>0.11095393518189667</v>
      </c>
      <c r="F117" s="1">
        <v>0.5</v>
      </c>
      <c r="G117" s="1" t="s">
        <v>11</v>
      </c>
      <c r="H117" s="5">
        <v>0.75744940079365075</v>
      </c>
      <c r="I117" s="22">
        <v>0.77828273412698412</v>
      </c>
    </row>
    <row r="118" spans="1:10">
      <c r="A118" s="4" t="s">
        <v>101</v>
      </c>
      <c r="B118" s="4">
        <v>211973400</v>
      </c>
      <c r="C118" s="4">
        <v>1</v>
      </c>
      <c r="D118" s="4" t="s">
        <v>20</v>
      </c>
      <c r="E118" s="13">
        <v>9.6602083336620126E-2</v>
      </c>
      <c r="F118" s="1">
        <v>0.26730158730158732</v>
      </c>
      <c r="G118" s="1" t="s">
        <v>11</v>
      </c>
      <c r="H118" s="5">
        <v>0.77828273412698412</v>
      </c>
      <c r="I118" s="22">
        <v>0.78942030026455023</v>
      </c>
    </row>
    <row r="119" spans="1:10">
      <c r="A119" s="4" t="s">
        <v>102</v>
      </c>
      <c r="B119" s="4">
        <v>211973397</v>
      </c>
      <c r="C119" s="4">
        <v>20</v>
      </c>
      <c r="D119" s="4" t="s">
        <v>20</v>
      </c>
      <c r="E119" s="13">
        <v>4.9159953705384396E-2</v>
      </c>
      <c r="F119" s="1">
        <v>0.27777777777777779</v>
      </c>
      <c r="G119" s="1">
        <v>1</v>
      </c>
      <c r="H119" s="5">
        <v>0.78942030026455023</v>
      </c>
      <c r="I119" s="22">
        <v>0.8009943743386243</v>
      </c>
    </row>
    <row r="120" spans="1:10">
      <c r="A120" s="4" t="s">
        <v>18</v>
      </c>
      <c r="B120" s="4">
        <v>211968052</v>
      </c>
      <c r="C120" s="4">
        <v>288</v>
      </c>
      <c r="D120" s="4" t="s">
        <v>14</v>
      </c>
      <c r="E120" s="13">
        <v>4.8268749997077975E-2</v>
      </c>
      <c r="F120" s="1">
        <v>2.428571428571427</v>
      </c>
      <c r="G120" s="1">
        <v>1.9523809523809526</v>
      </c>
      <c r="H120" s="5">
        <v>0.8009943743386243</v>
      </c>
      <c r="I120" s="22">
        <v>0.90218485052910047</v>
      </c>
    </row>
    <row r="121" spans="1:10">
      <c r="A121" s="4" t="s">
        <v>21</v>
      </c>
      <c r="B121" s="4">
        <v>211973407</v>
      </c>
      <c r="C121" s="4">
        <v>48</v>
      </c>
      <c r="D121" s="4" t="s">
        <v>14</v>
      </c>
      <c r="E121" s="13">
        <v>3.1324305557063781E-2</v>
      </c>
      <c r="F121" s="1">
        <v>0.75420015367682192</v>
      </c>
      <c r="G121" s="1">
        <v>0.84665545241210305</v>
      </c>
      <c r="H121" s="5">
        <v>0.90218485052910047</v>
      </c>
      <c r="I121" s="22">
        <v>0.93360985693230136</v>
      </c>
    </row>
    <row r="122" spans="1:10">
      <c r="A122" s="4" t="s">
        <v>18</v>
      </c>
      <c r="B122" s="4">
        <v>211968052</v>
      </c>
      <c r="C122" s="4">
        <v>288</v>
      </c>
      <c r="D122" s="4" t="s">
        <v>14</v>
      </c>
      <c r="E122" s="13">
        <v>45561.782164351855</v>
      </c>
      <c r="F122" s="1">
        <v>2.428571428571427</v>
      </c>
      <c r="G122" s="1">
        <v>1.9523809523809526</v>
      </c>
      <c r="H122" s="5">
        <v>0.93360985693230136</v>
      </c>
      <c r="I122" s="22">
        <v>1.0348003331227775</v>
      </c>
    </row>
    <row r="123" spans="1:10">
      <c r="A123" s="4" t="s">
        <v>98</v>
      </c>
      <c r="B123" s="4">
        <v>211973386</v>
      </c>
      <c r="C123" s="4">
        <v>96</v>
      </c>
      <c r="D123" s="4" t="s">
        <v>20</v>
      </c>
      <c r="E123" s="13">
        <v>45561.865335648145</v>
      </c>
      <c r="F123" s="1">
        <v>0.32539682539682541</v>
      </c>
      <c r="G123" s="1">
        <v>0.49867724867724872</v>
      </c>
      <c r="H123" s="5">
        <v>1.0348003331227775</v>
      </c>
      <c r="I123" s="22">
        <v>1.0483585341809787</v>
      </c>
    </row>
    <row r="124" spans="1:10">
      <c r="A124" s="4" t="s">
        <v>97</v>
      </c>
      <c r="B124" s="4">
        <v>211970668</v>
      </c>
      <c r="C124" s="4">
        <v>96</v>
      </c>
      <c r="D124" s="4" t="s">
        <v>20</v>
      </c>
      <c r="E124" s="13">
        <v>45561.807303240741</v>
      </c>
      <c r="F124" s="1">
        <v>3.2485481997677121</v>
      </c>
      <c r="G124" s="1" t="s">
        <v>11</v>
      </c>
      <c r="H124" s="5">
        <v>1.0483585341809787</v>
      </c>
      <c r="I124" s="22">
        <v>1.1837147091713001</v>
      </c>
    </row>
    <row r="125" spans="1:10">
      <c r="A125" s="4" t="s">
        <v>99</v>
      </c>
      <c r="B125" s="4">
        <v>211963814</v>
      </c>
      <c r="C125" s="4">
        <v>96</v>
      </c>
      <c r="D125" s="4" t="s">
        <v>20</v>
      </c>
      <c r="E125" s="13">
        <v>45561.918900462966</v>
      </c>
      <c r="F125" s="1">
        <v>0.75703813219984006</v>
      </c>
      <c r="G125" s="1" t="s">
        <v>11</v>
      </c>
      <c r="H125" s="5">
        <v>1.1837147091713001</v>
      </c>
      <c r="I125" s="22">
        <v>1.2152579646796267</v>
      </c>
    </row>
    <row r="126" spans="1:10">
      <c r="A126" s="4" t="s">
        <v>58</v>
      </c>
      <c r="B126" s="4">
        <v>211973385</v>
      </c>
      <c r="C126" s="4">
        <v>96</v>
      </c>
      <c r="D126" s="4" t="s">
        <v>20</v>
      </c>
      <c r="E126" s="13">
        <v>45561.952627314815</v>
      </c>
      <c r="F126" s="1">
        <v>0.49404761904761907</v>
      </c>
      <c r="G126" s="1" t="s">
        <v>11</v>
      </c>
      <c r="H126" s="5">
        <v>1.2152579646796267</v>
      </c>
      <c r="I126" s="22">
        <v>1.2358432821399441</v>
      </c>
    </row>
    <row r="127" spans="1:10">
      <c r="A127" s="4" t="s">
        <v>94</v>
      </c>
      <c r="B127" s="4">
        <v>211973383</v>
      </c>
      <c r="C127" s="4">
        <v>108</v>
      </c>
      <c r="D127" s="4" t="s">
        <v>10</v>
      </c>
      <c r="E127" s="13">
        <v>45561.702962962961</v>
      </c>
      <c r="F127" s="1">
        <v>0.25264550264523811</v>
      </c>
      <c r="G127" s="1" t="s">
        <v>11</v>
      </c>
      <c r="I127" s="22">
        <v>1.0526895943551587E-2</v>
      </c>
    </row>
    <row r="128" spans="1:10">
      <c r="A128" s="4" t="s">
        <v>95</v>
      </c>
      <c r="B128" s="4">
        <v>211973256</v>
      </c>
      <c r="C128" s="4">
        <v>24</v>
      </c>
      <c r="D128" s="4" t="s">
        <v>10</v>
      </c>
      <c r="E128" s="13">
        <v>45561.726759259262</v>
      </c>
      <c r="F128" s="1">
        <v>0.5</v>
      </c>
      <c r="G128" s="1" t="s">
        <v>11</v>
      </c>
      <c r="H128" s="5">
        <v>1.0526895943551587E-2</v>
      </c>
      <c r="I128" s="22">
        <v>3.1360229276884921E-2</v>
      </c>
    </row>
    <row r="129" spans="1:10">
      <c r="A129" s="4" t="s">
        <v>47</v>
      </c>
      <c r="B129" s="4">
        <v>211973382</v>
      </c>
      <c r="C129" s="4">
        <v>24</v>
      </c>
      <c r="D129" s="4" t="s">
        <v>10</v>
      </c>
      <c r="E129" s="13">
        <v>45561.771192129629</v>
      </c>
      <c r="F129" s="1">
        <v>0.5</v>
      </c>
      <c r="G129" s="1">
        <v>0.5</v>
      </c>
      <c r="H129" s="5">
        <v>3.1360229276884921E-2</v>
      </c>
      <c r="I129" s="22">
        <v>5.219356261021825E-2</v>
      </c>
    </row>
    <row r="130" spans="1:10">
      <c r="A130" s="4" t="s">
        <v>37</v>
      </c>
      <c r="B130" s="4">
        <v>211968061</v>
      </c>
      <c r="C130" s="4">
        <v>24</v>
      </c>
      <c r="D130" s="4" t="s">
        <v>10</v>
      </c>
      <c r="E130" s="13">
        <v>45561.804918981485</v>
      </c>
      <c r="F130" s="1">
        <v>0.8183150182857144</v>
      </c>
      <c r="G130" s="1">
        <v>0.5</v>
      </c>
      <c r="H130" s="5">
        <v>5.219356261021825E-2</v>
      </c>
      <c r="I130" s="22">
        <v>8.6290021705456355E-2</v>
      </c>
    </row>
    <row r="131" spans="1:10">
      <c r="A131" s="4" t="s">
        <v>96</v>
      </c>
      <c r="B131" s="4">
        <v>211973255</v>
      </c>
      <c r="C131" s="4">
        <v>18</v>
      </c>
      <c r="D131" s="4" t="s">
        <v>10</v>
      </c>
      <c r="E131" s="13">
        <v>45561.850543981483</v>
      </c>
      <c r="F131" s="1">
        <v>0.5</v>
      </c>
      <c r="G131" s="1" t="s">
        <v>11</v>
      </c>
      <c r="H131" s="5">
        <v>8.6290021705456355E-2</v>
      </c>
      <c r="I131" s="22">
        <v>0.10712335503878968</v>
      </c>
    </row>
    <row r="132" spans="1:10" s="14" customFormat="1" ht="10.5" customHeight="1">
      <c r="A132" s="9"/>
      <c r="B132" s="9"/>
      <c r="C132" s="9"/>
      <c r="D132" s="9"/>
      <c r="E132" s="12"/>
      <c r="F132" s="10"/>
      <c r="G132" s="10"/>
      <c r="H132" s="11"/>
      <c r="I132" s="23"/>
      <c r="J132" s="9"/>
    </row>
    <row r="133" spans="1:10">
      <c r="A133" s="4" t="s">
        <v>21</v>
      </c>
      <c r="B133" s="4">
        <v>211973407</v>
      </c>
      <c r="C133" s="4">
        <v>48</v>
      </c>
      <c r="D133" s="4" t="s">
        <v>14</v>
      </c>
      <c r="E133" s="13">
        <v>1.0257990740792593</v>
      </c>
      <c r="F133" s="1">
        <v>0.75420015367682192</v>
      </c>
      <c r="G133" s="1">
        <v>0.84665545241210305</v>
      </c>
      <c r="H133" s="5">
        <v>0.72916666666666663</v>
      </c>
      <c r="I133" s="22">
        <v>0.76059167306986752</v>
      </c>
    </row>
    <row r="134" spans="1:10">
      <c r="A134" s="4" t="s">
        <v>109</v>
      </c>
      <c r="B134" s="4">
        <v>211973963</v>
      </c>
      <c r="C134" s="4">
        <v>48</v>
      </c>
      <c r="D134" s="4" t="s">
        <v>20</v>
      </c>
      <c r="E134" s="13">
        <v>5.2072222228161991E-2</v>
      </c>
      <c r="F134" s="1">
        <v>0.64935064935064957</v>
      </c>
      <c r="G134" s="1">
        <v>0.73376623376623429</v>
      </c>
      <c r="H134" s="5">
        <v>0.76059167306986752</v>
      </c>
      <c r="I134" s="22">
        <v>0.78764795012614464</v>
      </c>
    </row>
    <row r="135" spans="1:10">
      <c r="A135" s="4" t="s">
        <v>21</v>
      </c>
      <c r="B135" s="4">
        <v>211973975</v>
      </c>
      <c r="C135" s="4">
        <v>48</v>
      </c>
      <c r="D135" s="4" t="s">
        <v>14</v>
      </c>
      <c r="E135" s="13">
        <v>4.2569907411234453E-2</v>
      </c>
      <c r="F135" s="1">
        <v>0.75420015367682192</v>
      </c>
      <c r="G135" s="1">
        <v>0.84665545241210305</v>
      </c>
      <c r="H135" s="5">
        <v>0.78764795012614464</v>
      </c>
      <c r="I135" s="22">
        <v>0.81907295652934553</v>
      </c>
    </row>
    <row r="136" spans="1:10">
      <c r="A136" s="4" t="s">
        <v>21</v>
      </c>
      <c r="B136" s="4">
        <v>211973974</v>
      </c>
      <c r="C136" s="4">
        <v>48</v>
      </c>
      <c r="D136" s="4" t="s">
        <v>14</v>
      </c>
      <c r="E136" s="13">
        <v>1.1516666672832798E-2</v>
      </c>
      <c r="F136" s="1">
        <v>0.75420015367682192</v>
      </c>
      <c r="G136" s="1">
        <v>0.84665545241210305</v>
      </c>
      <c r="H136" s="5">
        <v>0.81907295652934553</v>
      </c>
      <c r="I136" s="22">
        <v>0.85049796293254643</v>
      </c>
    </row>
    <row r="137" spans="1:10">
      <c r="A137" s="4" t="s">
        <v>102</v>
      </c>
      <c r="B137" s="4">
        <v>211973397</v>
      </c>
      <c r="C137" s="4">
        <v>20</v>
      </c>
      <c r="D137" s="4" t="s">
        <v>20</v>
      </c>
      <c r="E137" s="13">
        <v>1.0443150462961057</v>
      </c>
      <c r="F137" s="1">
        <v>0.27777777777777779</v>
      </c>
      <c r="G137" s="1">
        <v>0.5</v>
      </c>
      <c r="H137" s="5">
        <v>0.85049796293254643</v>
      </c>
      <c r="I137" s="22">
        <v>0.8620720370066205</v>
      </c>
    </row>
    <row r="138" spans="1:10">
      <c r="A138" s="4" t="s">
        <v>18</v>
      </c>
      <c r="B138" s="4">
        <v>211968053</v>
      </c>
      <c r="C138" s="4">
        <v>288</v>
      </c>
      <c r="D138" s="4" t="s">
        <v>14</v>
      </c>
      <c r="E138" s="13">
        <v>7.5023611112555955E-2</v>
      </c>
      <c r="F138" s="1">
        <v>2.428571428571427</v>
      </c>
      <c r="G138" s="1">
        <v>1.9523809523809526</v>
      </c>
      <c r="H138" s="5">
        <v>0.8620720370066205</v>
      </c>
      <c r="I138" s="22">
        <v>0.96326251319709666</v>
      </c>
    </row>
    <row r="139" spans="1:10">
      <c r="A139" s="4" t="s">
        <v>100</v>
      </c>
      <c r="B139" s="4">
        <v>211973251</v>
      </c>
      <c r="C139" s="4">
        <v>48</v>
      </c>
      <c r="D139" s="4" t="s">
        <v>20</v>
      </c>
      <c r="E139" s="13">
        <v>1.106109027772618</v>
      </c>
      <c r="F139" s="1">
        <v>0.5</v>
      </c>
      <c r="G139" s="1" t="s">
        <v>11</v>
      </c>
      <c r="H139" s="5">
        <v>0.96326251319709666</v>
      </c>
      <c r="I139" s="22">
        <v>0.98409584653043003</v>
      </c>
    </row>
    <row r="140" spans="1:10">
      <c r="A140" s="4" t="s">
        <v>101</v>
      </c>
      <c r="B140" s="4">
        <v>211973400</v>
      </c>
      <c r="C140" s="4">
        <v>1</v>
      </c>
      <c r="D140" s="4" t="s">
        <v>20</v>
      </c>
      <c r="E140" s="13">
        <v>1.0917569444500259</v>
      </c>
      <c r="F140" s="1">
        <v>0.26730158730158732</v>
      </c>
      <c r="G140" s="1" t="s">
        <v>11</v>
      </c>
      <c r="H140" s="5">
        <v>0.98409584653043003</v>
      </c>
      <c r="I140" s="22">
        <v>0.99523341266799614</v>
      </c>
    </row>
    <row r="141" spans="1:10">
      <c r="A141" s="4" t="s">
        <v>97</v>
      </c>
      <c r="B141" s="4">
        <v>211970668</v>
      </c>
      <c r="C141" s="4">
        <v>96</v>
      </c>
      <c r="D141" s="4" t="s">
        <v>20</v>
      </c>
      <c r="E141" s="13">
        <v>0.90676874999917345</v>
      </c>
      <c r="F141" s="1">
        <v>3.2485481997677121</v>
      </c>
      <c r="G141" s="1" t="s">
        <v>11</v>
      </c>
      <c r="H141" s="5">
        <v>0.99523341266799614</v>
      </c>
      <c r="I141" s="22">
        <v>1.1305895876583174</v>
      </c>
    </row>
    <row r="142" spans="1:10">
      <c r="A142" s="4" t="s">
        <v>107</v>
      </c>
      <c r="B142" s="4">
        <v>211973962</v>
      </c>
      <c r="C142" s="4">
        <v>2</v>
      </c>
      <c r="D142" s="4" t="s">
        <v>20</v>
      </c>
      <c r="E142" s="13">
        <v>0.1101828703758656</v>
      </c>
      <c r="F142" s="1">
        <v>0.5</v>
      </c>
      <c r="G142" s="1" t="s">
        <v>11</v>
      </c>
      <c r="H142" s="5">
        <v>1.1305895876583174</v>
      </c>
      <c r="I142" s="22">
        <v>1.1514229209916507</v>
      </c>
    </row>
    <row r="143" spans="1:10">
      <c r="A143" s="4" t="s">
        <v>108</v>
      </c>
      <c r="B143" s="4">
        <v>211973961</v>
      </c>
      <c r="C143" s="4">
        <v>1</v>
      </c>
      <c r="D143" s="4" t="s">
        <v>20</v>
      </c>
      <c r="E143" s="13">
        <v>0.10186134259129176</v>
      </c>
      <c r="F143" s="1">
        <v>0.76190476190476197</v>
      </c>
      <c r="G143" s="1" t="s">
        <v>11</v>
      </c>
      <c r="H143" s="5">
        <v>1.1514229209916507</v>
      </c>
      <c r="I143" s="22">
        <v>1.1831689527376825</v>
      </c>
    </row>
    <row r="144" spans="1:10">
      <c r="A144" s="4" t="s">
        <v>110</v>
      </c>
      <c r="B144" s="4">
        <v>211973949</v>
      </c>
      <c r="C144" s="4">
        <v>18</v>
      </c>
      <c r="D144" s="4" t="s">
        <v>20</v>
      </c>
      <c r="E144" s="13">
        <v>1.9731712964130566E-2</v>
      </c>
      <c r="F144" s="1">
        <v>0.28006715506715507</v>
      </c>
      <c r="G144" s="1" t="s">
        <v>11</v>
      </c>
      <c r="H144" s="5">
        <v>1.1831689527376825</v>
      </c>
      <c r="I144" s="22">
        <v>1.1948384175321474</v>
      </c>
    </row>
    <row r="145" spans="1:10">
      <c r="A145" s="4" t="s">
        <v>21</v>
      </c>
      <c r="B145" s="4">
        <v>211973975</v>
      </c>
      <c r="C145" s="4">
        <v>48</v>
      </c>
      <c r="D145" s="4" t="s">
        <v>14</v>
      </c>
      <c r="E145" s="13">
        <v>45562.738692129627</v>
      </c>
      <c r="F145" s="1">
        <v>0.75420015367682192</v>
      </c>
      <c r="G145" s="1">
        <v>0.84665545241210305</v>
      </c>
      <c r="H145" s="5">
        <v>1.1948384175321474</v>
      </c>
      <c r="I145" s="22">
        <v>1.2262634239353483</v>
      </c>
    </row>
    <row r="146" spans="1:10">
      <c r="A146" s="4" t="s">
        <v>104</v>
      </c>
      <c r="B146" s="4">
        <v>211973942</v>
      </c>
      <c r="C146" s="4">
        <v>48</v>
      </c>
      <c r="D146" s="4" t="s">
        <v>20</v>
      </c>
      <c r="E146" s="13">
        <v>45562.743206018517</v>
      </c>
      <c r="F146" s="1">
        <v>1.0198412698412695</v>
      </c>
      <c r="G146" s="1">
        <v>1.3789682539682542</v>
      </c>
      <c r="H146" s="5">
        <v>1.2262634239353483</v>
      </c>
      <c r="I146" s="22">
        <v>1.2687568101787345</v>
      </c>
    </row>
    <row r="147" spans="1:10">
      <c r="A147" s="4" t="s">
        <v>105</v>
      </c>
      <c r="B147" s="4">
        <v>211973944</v>
      </c>
      <c r="C147" s="4">
        <v>48</v>
      </c>
      <c r="D147" s="4" t="s">
        <v>20</v>
      </c>
      <c r="E147" s="13">
        <v>45562.889710648145</v>
      </c>
      <c r="F147" s="1">
        <v>0.81351981351981351</v>
      </c>
      <c r="G147" s="1">
        <v>0.34998334998335007</v>
      </c>
      <c r="H147" s="5">
        <v>1.2687568101787345</v>
      </c>
      <c r="I147" s="22">
        <v>1.3026534690753935</v>
      </c>
    </row>
    <row r="148" spans="1:10">
      <c r="A148" s="4" t="s">
        <v>41</v>
      </c>
      <c r="B148" s="4">
        <v>211973953</v>
      </c>
      <c r="C148" s="4">
        <v>240</v>
      </c>
      <c r="D148" s="4" t="s">
        <v>20</v>
      </c>
      <c r="E148" s="13">
        <v>45562.950219907405</v>
      </c>
      <c r="F148" s="1">
        <v>0.42412698412698413</v>
      </c>
      <c r="G148" s="1">
        <v>0.2904761904761905</v>
      </c>
      <c r="H148" s="5">
        <v>1.3026534690753935</v>
      </c>
      <c r="I148" s="22">
        <v>1.3203254267473512</v>
      </c>
    </row>
    <row r="149" spans="1:10">
      <c r="A149" s="4" t="s">
        <v>82</v>
      </c>
      <c r="B149" s="4">
        <v>211972931</v>
      </c>
      <c r="C149" s="4">
        <v>144</v>
      </c>
      <c r="D149" s="4" t="s">
        <v>20</v>
      </c>
      <c r="E149" s="13">
        <v>45562.848055555558</v>
      </c>
      <c r="F149" s="1">
        <v>1.1654761904761903</v>
      </c>
      <c r="G149" s="1" t="s">
        <v>11</v>
      </c>
      <c r="H149" s="5">
        <v>1.3203254267473512</v>
      </c>
      <c r="I149" s="22">
        <v>1.368886934683859</v>
      </c>
    </row>
    <row r="150" spans="1:10">
      <c r="A150" s="4" t="s">
        <v>44</v>
      </c>
      <c r="B150" s="4">
        <v>211973940</v>
      </c>
      <c r="C150" s="4">
        <v>60</v>
      </c>
      <c r="D150" s="4" t="s">
        <v>10</v>
      </c>
      <c r="E150" s="13">
        <v>0.1367879629615345</v>
      </c>
      <c r="F150" s="1">
        <v>1.8286112596039952</v>
      </c>
      <c r="G150" s="1">
        <v>2.2697923545381169</v>
      </c>
      <c r="H150" s="5">
        <v>0.72916666666666663</v>
      </c>
      <c r="I150" s="22">
        <v>0.80535880248349978</v>
      </c>
    </row>
    <row r="151" spans="1:10">
      <c r="A151" s="4" t="s">
        <v>47</v>
      </c>
      <c r="B151" s="4">
        <v>211973382</v>
      </c>
      <c r="C151" s="4">
        <v>24</v>
      </c>
      <c r="D151" s="4" t="s">
        <v>10</v>
      </c>
      <c r="E151" s="13">
        <v>0.89953101851278916</v>
      </c>
      <c r="F151" s="1">
        <v>0.5</v>
      </c>
      <c r="G151" s="1">
        <v>0.5</v>
      </c>
      <c r="H151" s="5">
        <v>0.80535880248349978</v>
      </c>
      <c r="I151" s="22">
        <v>0.82619213581683315</v>
      </c>
    </row>
    <row r="152" spans="1:10">
      <c r="A152" s="4" t="s">
        <v>15</v>
      </c>
      <c r="B152" s="4">
        <v>211973943</v>
      </c>
      <c r="C152" s="4">
        <v>36</v>
      </c>
      <c r="D152" s="4" t="s">
        <v>10</v>
      </c>
      <c r="E152" s="13">
        <v>0.270977777778171</v>
      </c>
      <c r="F152" s="1">
        <v>0.52834467119047612</v>
      </c>
      <c r="G152" s="1">
        <v>0.5</v>
      </c>
      <c r="H152" s="5">
        <v>0.82619213581683315</v>
      </c>
      <c r="I152" s="22">
        <v>0.84820649711643636</v>
      </c>
    </row>
    <row r="153" spans="1:10">
      <c r="A153" s="4" t="s">
        <v>96</v>
      </c>
      <c r="B153" s="4">
        <v>211973255</v>
      </c>
      <c r="C153" s="4">
        <v>18</v>
      </c>
      <c r="D153" s="4" t="s">
        <v>10</v>
      </c>
      <c r="E153" s="13">
        <v>0.8321467592541012</v>
      </c>
      <c r="F153" s="1">
        <v>0.5</v>
      </c>
      <c r="G153" s="1" t="s">
        <v>11</v>
      </c>
      <c r="H153" s="5">
        <v>0.84820649711643636</v>
      </c>
      <c r="I153" s="22">
        <v>0.86903983044976973</v>
      </c>
    </row>
    <row r="154" spans="1:10">
      <c r="A154" s="4" t="s">
        <v>106</v>
      </c>
      <c r="B154" s="4">
        <v>211973939</v>
      </c>
      <c r="C154" s="4">
        <v>60</v>
      </c>
      <c r="D154" s="4" t="s">
        <v>10</v>
      </c>
      <c r="E154" s="13">
        <v>0.11920694444415858</v>
      </c>
      <c r="F154" s="1">
        <v>0.24850645386359674</v>
      </c>
      <c r="G154" s="1" t="s">
        <v>11</v>
      </c>
      <c r="H154" s="5">
        <v>0.86903983044976973</v>
      </c>
      <c r="I154" s="22">
        <v>0.87939426602741955</v>
      </c>
    </row>
    <row r="155" spans="1:10">
      <c r="A155" s="4" t="s">
        <v>85</v>
      </c>
      <c r="B155" s="4">
        <v>211973941</v>
      </c>
      <c r="C155" s="4">
        <v>48</v>
      </c>
      <c r="D155" s="4" t="s">
        <v>10</v>
      </c>
      <c r="E155" s="13">
        <v>0.10921851851890096</v>
      </c>
      <c r="F155" s="1">
        <v>0.25685527019796683</v>
      </c>
      <c r="G155" s="1" t="s">
        <v>11</v>
      </c>
      <c r="H155" s="5">
        <v>0.87939426602741955</v>
      </c>
      <c r="I155" s="22">
        <v>0.8900965689523348</v>
      </c>
    </row>
    <row r="156" spans="1:10" s="14" customFormat="1" ht="10.5" customHeight="1">
      <c r="A156" s="9"/>
      <c r="B156" s="9"/>
      <c r="C156" s="9"/>
      <c r="D156" s="9"/>
      <c r="E156" s="12"/>
      <c r="F156" s="10"/>
      <c r="G156" s="10"/>
      <c r="H156" s="11"/>
      <c r="I156" s="23"/>
      <c r="J156" s="9"/>
    </row>
    <row r="157" spans="1:10">
      <c r="A157" s="4" t="s">
        <v>105</v>
      </c>
      <c r="B157" s="4">
        <v>211973944</v>
      </c>
      <c r="C157" s="4">
        <v>48</v>
      </c>
      <c r="D157" s="4" t="s">
        <v>20</v>
      </c>
      <c r="E157" s="13">
        <v>2.7854063657359802</v>
      </c>
      <c r="F157" s="1">
        <v>0.81351981351981351</v>
      </c>
      <c r="G157" s="1">
        <v>0.34998334998335007</v>
      </c>
      <c r="H157" s="5">
        <v>0.72916666666666663</v>
      </c>
      <c r="I157" s="22">
        <v>0.76306332556332557</v>
      </c>
    </row>
    <row r="158" spans="1:10">
      <c r="A158" s="4" t="s">
        <v>15</v>
      </c>
      <c r="B158" s="4">
        <v>211973943</v>
      </c>
      <c r="C158" s="4">
        <v>36</v>
      </c>
      <c r="D158" s="4" t="s">
        <v>10</v>
      </c>
      <c r="E158" s="13">
        <v>3.2613091435196111</v>
      </c>
      <c r="F158" s="1">
        <v>0.52834467119047612</v>
      </c>
      <c r="G158" s="1">
        <v>0.5</v>
      </c>
      <c r="H158" s="5">
        <v>0.76306332556332557</v>
      </c>
      <c r="I158" s="22">
        <v>0.78507768686292878</v>
      </c>
    </row>
    <row r="159" spans="1:10">
      <c r="A159" s="4" t="s">
        <v>107</v>
      </c>
      <c r="B159" s="4">
        <v>211973962</v>
      </c>
      <c r="C159" s="4">
        <v>2</v>
      </c>
      <c r="D159" s="4" t="s">
        <v>20</v>
      </c>
      <c r="E159" s="13">
        <v>3.1011702546311426</v>
      </c>
      <c r="F159" s="1">
        <v>0.5</v>
      </c>
      <c r="G159" s="1" t="s">
        <v>11</v>
      </c>
      <c r="H159" s="5">
        <v>0.78507768686292878</v>
      </c>
      <c r="I159" s="22">
        <v>0.80591102019626215</v>
      </c>
    </row>
    <row r="160" spans="1:10">
      <c r="A160" s="4" t="s">
        <v>108</v>
      </c>
      <c r="B160" s="4">
        <v>211973961</v>
      </c>
      <c r="C160" s="4">
        <v>1</v>
      </c>
      <c r="D160" s="4" t="s">
        <v>20</v>
      </c>
      <c r="E160" s="13">
        <v>3.0928484953692532</v>
      </c>
      <c r="F160" s="1">
        <v>0.76190476190476197</v>
      </c>
      <c r="G160" s="1" t="s">
        <v>11</v>
      </c>
      <c r="H160" s="5">
        <v>0.80591102019626215</v>
      </c>
      <c r="I160" s="22">
        <v>0.8376570519422939</v>
      </c>
    </row>
    <row r="161" spans="1:10">
      <c r="A161" s="4" t="s">
        <v>82</v>
      </c>
      <c r="B161" s="4">
        <v>211972931</v>
      </c>
      <c r="C161" s="4">
        <v>144</v>
      </c>
      <c r="D161" s="4" t="s">
        <v>20</v>
      </c>
      <c r="E161" s="13">
        <v>2.822802199072612</v>
      </c>
      <c r="F161" s="1">
        <v>1.1654761904761903</v>
      </c>
      <c r="G161" s="1" t="s">
        <v>11</v>
      </c>
      <c r="H161" s="5">
        <v>0.8376570519422939</v>
      </c>
      <c r="I161" s="22">
        <v>0.88621855987880183</v>
      </c>
    </row>
    <row r="162" spans="1:10" s="14" customFormat="1" ht="10.5" customHeight="1">
      <c r="A162" s="9"/>
      <c r="B162" s="9"/>
      <c r="C162" s="9"/>
      <c r="D162" s="9"/>
      <c r="E162" s="12"/>
      <c r="F162" s="10"/>
      <c r="G162" s="10"/>
      <c r="H162" s="11"/>
      <c r="I162" s="23"/>
      <c r="J162" s="9"/>
    </row>
    <row r="163" spans="1:10">
      <c r="A163" s="4" t="s">
        <v>111</v>
      </c>
      <c r="B163" s="4">
        <v>211974997</v>
      </c>
      <c r="C163" s="4">
        <v>60</v>
      </c>
      <c r="D163" s="4" t="s">
        <v>20</v>
      </c>
      <c r="E163" s="13">
        <v>0.14330578703811625</v>
      </c>
      <c r="F163" s="1">
        <v>0.56547619047619047</v>
      </c>
      <c r="G163" s="1">
        <v>0.68824404761904767</v>
      </c>
      <c r="H163" s="5">
        <v>0.72916666666666663</v>
      </c>
      <c r="I163" s="22">
        <v>0.75272817460317454</v>
      </c>
    </row>
    <row r="164" spans="1:10">
      <c r="A164" s="4" t="s">
        <v>18</v>
      </c>
      <c r="B164" s="4">
        <v>211968054</v>
      </c>
      <c r="C164" s="4">
        <v>288</v>
      </c>
      <c r="D164" s="4" t="s">
        <v>14</v>
      </c>
      <c r="E164" s="13">
        <v>6.3363657412992325E-2</v>
      </c>
      <c r="F164" s="1">
        <v>2.428571428571427</v>
      </c>
      <c r="G164" s="1">
        <v>1.9523809523809526</v>
      </c>
      <c r="H164" s="5">
        <v>0.75272817460317454</v>
      </c>
      <c r="I164" s="22">
        <v>0.8539186507936507</v>
      </c>
    </row>
    <row r="165" spans="1:10">
      <c r="A165" s="4" t="s">
        <v>21</v>
      </c>
      <c r="B165" s="4">
        <v>211974048</v>
      </c>
      <c r="C165" s="4">
        <v>48</v>
      </c>
      <c r="D165" s="4" t="s">
        <v>14</v>
      </c>
      <c r="E165" s="13">
        <v>4.0528009260015097E-2</v>
      </c>
      <c r="F165" s="1">
        <v>0.75420015367682192</v>
      </c>
      <c r="G165" s="1">
        <v>0.84665545241210305</v>
      </c>
      <c r="H165" s="5">
        <v>0.8539186507936507</v>
      </c>
      <c r="I165" s="22">
        <v>0.8853436571968516</v>
      </c>
    </row>
    <row r="166" spans="1:10">
      <c r="A166" s="4" t="s">
        <v>116</v>
      </c>
      <c r="B166" s="4">
        <v>211975007</v>
      </c>
      <c r="C166" s="4">
        <v>24</v>
      </c>
      <c r="D166" s="4" t="s">
        <v>20</v>
      </c>
      <c r="E166" s="13">
        <v>1.7484259260527324E-2</v>
      </c>
      <c r="F166" s="1">
        <v>0.85714285714285721</v>
      </c>
      <c r="G166" s="1">
        <v>1.0952380952380953</v>
      </c>
      <c r="H166" s="5">
        <v>0.8853436571968516</v>
      </c>
      <c r="I166" s="22">
        <v>0.9210579429111373</v>
      </c>
    </row>
    <row r="167" spans="1:10">
      <c r="A167" s="4" t="s">
        <v>112</v>
      </c>
      <c r="B167" s="4">
        <v>211973948</v>
      </c>
      <c r="C167" s="4">
        <v>24</v>
      </c>
      <c r="D167" s="4" t="s">
        <v>20</v>
      </c>
      <c r="E167" s="13">
        <v>0.1054585648162174</v>
      </c>
      <c r="F167" s="1">
        <v>0.59126984126984128</v>
      </c>
      <c r="G167" s="1" t="s">
        <v>11</v>
      </c>
      <c r="H167" s="5">
        <v>0.9210579429111373</v>
      </c>
      <c r="I167" s="22">
        <v>0.94569418629738067</v>
      </c>
    </row>
    <row r="168" spans="1:10">
      <c r="A168" s="4" t="s">
        <v>113</v>
      </c>
      <c r="B168" s="4">
        <v>211975016</v>
      </c>
      <c r="C168" s="4">
        <v>96</v>
      </c>
      <c r="D168" s="4" t="s">
        <v>20</v>
      </c>
      <c r="E168" s="13">
        <v>4.9764351846533827E-2</v>
      </c>
      <c r="F168" s="1">
        <v>1</v>
      </c>
      <c r="G168" s="1" t="s">
        <v>11</v>
      </c>
      <c r="H168" s="5">
        <v>0.94569418629738067</v>
      </c>
      <c r="I168" s="22">
        <v>0.9873608529640473</v>
      </c>
    </row>
    <row r="169" spans="1:10">
      <c r="A169" s="4" t="s">
        <v>114</v>
      </c>
      <c r="B169" s="4">
        <v>211975017</v>
      </c>
      <c r="C169" s="4">
        <v>24</v>
      </c>
      <c r="D169" s="4" t="s">
        <v>20</v>
      </c>
      <c r="E169" s="13">
        <v>3.6870601856207941E-2</v>
      </c>
      <c r="F169" s="1">
        <v>0.31583914053426249</v>
      </c>
      <c r="G169" s="1" t="s">
        <v>11</v>
      </c>
      <c r="H169" s="5">
        <v>0.9873608529640473</v>
      </c>
      <c r="I169" s="22">
        <v>1.0005208171529749</v>
      </c>
    </row>
    <row r="170" spans="1:10">
      <c r="A170" s="4" t="s">
        <v>115</v>
      </c>
      <c r="B170" s="4">
        <v>211975008</v>
      </c>
      <c r="C170" s="4">
        <v>12</v>
      </c>
      <c r="D170" s="4" t="s">
        <v>20</v>
      </c>
      <c r="E170" s="13">
        <v>3.3259490744967479E-2</v>
      </c>
      <c r="F170" s="1">
        <v>1</v>
      </c>
      <c r="G170" s="1" t="s">
        <v>11</v>
      </c>
      <c r="H170" s="5">
        <v>1.0005208171529749</v>
      </c>
      <c r="I170" s="22">
        <v>1.0421874838196417</v>
      </c>
    </row>
    <row r="171" spans="1:10">
      <c r="A171" s="4" t="s">
        <v>116</v>
      </c>
      <c r="B171" s="4">
        <v>211975007</v>
      </c>
      <c r="C171" s="4">
        <v>24</v>
      </c>
      <c r="D171" s="4" t="s">
        <v>20</v>
      </c>
      <c r="E171" s="13">
        <v>45566.700682870367</v>
      </c>
      <c r="F171" s="1">
        <v>0.85714285714285721</v>
      </c>
      <c r="G171" s="1">
        <v>1.0952380952380953</v>
      </c>
      <c r="H171" s="5">
        <v>1.0421874838196417</v>
      </c>
      <c r="I171" s="22">
        <v>1.0779017695339275</v>
      </c>
    </row>
    <row r="172" spans="1:10">
      <c r="A172" s="4" t="s">
        <v>117</v>
      </c>
      <c r="B172" s="4">
        <v>211975015</v>
      </c>
      <c r="C172" s="4">
        <v>96</v>
      </c>
      <c r="D172" s="4" t="s">
        <v>20</v>
      </c>
      <c r="E172" s="13">
        <v>45566.751076388886</v>
      </c>
      <c r="F172" s="1">
        <v>1</v>
      </c>
      <c r="G172" s="1">
        <v>2</v>
      </c>
      <c r="H172" s="5">
        <v>1.0779017695339275</v>
      </c>
      <c r="I172" s="22">
        <v>1.1195684362005942</v>
      </c>
    </row>
    <row r="173" spans="1:10">
      <c r="A173" s="4" t="s">
        <v>118</v>
      </c>
      <c r="B173" s="4">
        <v>211975003</v>
      </c>
      <c r="C173" s="4">
        <v>48</v>
      </c>
      <c r="D173" s="4" t="s">
        <v>20</v>
      </c>
      <c r="E173" s="13">
        <v>45566.801469907405</v>
      </c>
      <c r="F173" s="1">
        <v>1</v>
      </c>
      <c r="G173" s="1" t="s">
        <v>11</v>
      </c>
      <c r="H173" s="5">
        <v>1.1195684362005942</v>
      </c>
      <c r="I173" s="22">
        <v>1.1612351028672609</v>
      </c>
    </row>
    <row r="174" spans="1:10">
      <c r="A174" s="4" t="s">
        <v>119</v>
      </c>
      <c r="B174" s="4">
        <v>211975002</v>
      </c>
      <c r="C174" s="4">
        <v>200</v>
      </c>
      <c r="D174" s="4" t="s">
        <v>20</v>
      </c>
      <c r="E174" s="13">
        <v>45566.857511574075</v>
      </c>
      <c r="F174" s="1">
        <v>0.32379790310918294</v>
      </c>
      <c r="G174" s="1" t="s">
        <v>11</v>
      </c>
      <c r="H174" s="5">
        <v>1.1612351028672609</v>
      </c>
      <c r="I174" s="22">
        <v>1.174726682163477</v>
      </c>
    </row>
    <row r="175" spans="1:10">
      <c r="A175" s="4" t="s">
        <v>80</v>
      </c>
      <c r="B175" s="4">
        <v>211975005</v>
      </c>
      <c r="C175" s="4">
        <v>48</v>
      </c>
      <c r="D175" s="4" t="s">
        <v>20</v>
      </c>
      <c r="E175" s="13">
        <v>45566.8827662037</v>
      </c>
      <c r="F175" s="1">
        <v>0.46638655462184869</v>
      </c>
      <c r="G175" s="1" t="s">
        <v>11</v>
      </c>
      <c r="H175" s="5">
        <v>1.174726682163477</v>
      </c>
      <c r="I175" s="22">
        <v>1.1941594552727206</v>
      </c>
    </row>
    <row r="176" spans="1:10">
      <c r="A176" s="4" t="s">
        <v>120</v>
      </c>
      <c r="B176" s="4">
        <v>211968080</v>
      </c>
      <c r="C176" s="4">
        <v>48</v>
      </c>
      <c r="D176" s="4" t="s">
        <v>20</v>
      </c>
      <c r="E176" s="13">
        <v>45566.958229166667</v>
      </c>
      <c r="F176" s="1">
        <v>1.2225957049486458</v>
      </c>
      <c r="G176" s="1">
        <v>1.2913165266106443</v>
      </c>
      <c r="H176" s="5">
        <v>1.1941594552727206</v>
      </c>
      <c r="I176" s="22">
        <v>1.2451009429789142</v>
      </c>
    </row>
    <row r="177" spans="1:10">
      <c r="A177" s="4" t="s">
        <v>72</v>
      </c>
      <c r="B177" s="4">
        <v>211974995</v>
      </c>
      <c r="C177" s="4">
        <v>60</v>
      </c>
      <c r="D177" s="4" t="s">
        <v>10</v>
      </c>
      <c r="E177" s="13">
        <v>8.9474768523359671E-2</v>
      </c>
      <c r="F177" s="1">
        <v>1.1771000535045477</v>
      </c>
      <c r="G177" s="1">
        <v>1.1620117710005353</v>
      </c>
    </row>
    <row r="178" spans="1:10">
      <c r="A178" s="4" t="s">
        <v>47</v>
      </c>
      <c r="B178" s="4">
        <v>211974999</v>
      </c>
      <c r="C178" s="4">
        <v>24</v>
      </c>
      <c r="D178" s="4" t="s">
        <v>10</v>
      </c>
      <c r="E178" s="13">
        <v>0.25320162036950933</v>
      </c>
      <c r="F178" s="1">
        <v>1</v>
      </c>
      <c r="G178" s="1">
        <v>2</v>
      </c>
    </row>
    <row r="179" spans="1:10">
      <c r="A179" s="4" t="s">
        <v>95</v>
      </c>
      <c r="B179" s="4">
        <v>211975001</v>
      </c>
      <c r="C179" s="4">
        <v>24</v>
      </c>
      <c r="D179" s="4" t="s">
        <v>10</v>
      </c>
      <c r="E179" s="13">
        <v>0.28156967592803994</v>
      </c>
      <c r="F179" s="1">
        <v>2</v>
      </c>
      <c r="G179" s="1" t="s">
        <v>11</v>
      </c>
    </row>
    <row r="180" spans="1:10" s="14" customFormat="1" ht="10.5" customHeight="1">
      <c r="A180" s="9"/>
      <c r="B180" s="9"/>
      <c r="C180" s="9"/>
      <c r="D180" s="9"/>
      <c r="E180" s="12"/>
      <c r="F180" s="10"/>
      <c r="G180" s="10"/>
      <c r="H180" s="11"/>
      <c r="I180" s="23"/>
      <c r="J180" s="9"/>
    </row>
    <row r="181" spans="1:10">
      <c r="A181" s="4" t="s">
        <v>105</v>
      </c>
      <c r="B181" s="4">
        <v>211975534</v>
      </c>
      <c r="C181" s="4">
        <v>48</v>
      </c>
      <c r="D181" s="4" t="s">
        <v>20</v>
      </c>
      <c r="E181" s="13">
        <v>0.21970162037177943</v>
      </c>
      <c r="F181" s="1">
        <v>0.81351981351981351</v>
      </c>
      <c r="G181" s="1">
        <v>0.34998334998335007</v>
      </c>
      <c r="H181" s="5">
        <v>0.72916666666666663</v>
      </c>
      <c r="I181" s="22">
        <v>0.76306332556332557</v>
      </c>
    </row>
    <row r="182" spans="1:10">
      <c r="A182" s="4" t="s">
        <v>35</v>
      </c>
      <c r="B182" s="4">
        <v>211975561</v>
      </c>
      <c r="C182" s="4">
        <v>48</v>
      </c>
      <c r="D182" s="4" t="s">
        <v>14</v>
      </c>
      <c r="E182" s="13">
        <v>5.0685416666965466E-2</v>
      </c>
      <c r="F182" s="1">
        <v>0.67878561904761914</v>
      </c>
      <c r="G182" s="1">
        <v>0.66262704761904767</v>
      </c>
      <c r="H182" s="5">
        <v>0.76306332556332557</v>
      </c>
      <c r="I182" s="22">
        <v>0.79134605969030969</v>
      </c>
    </row>
    <row r="183" spans="1:10">
      <c r="A183" s="4" t="s">
        <v>118</v>
      </c>
      <c r="B183" s="4">
        <v>211975003</v>
      </c>
      <c r="C183" s="4">
        <v>48</v>
      </c>
      <c r="D183" s="4" t="s">
        <v>20</v>
      </c>
      <c r="E183" s="13">
        <v>0.84517615741060581</v>
      </c>
      <c r="F183" s="15">
        <v>1</v>
      </c>
      <c r="G183" s="1" t="s">
        <v>11</v>
      </c>
      <c r="H183" s="5">
        <v>0.79134605969030969</v>
      </c>
      <c r="I183" s="22">
        <v>0.83301272635697632</v>
      </c>
    </row>
    <row r="184" spans="1:10">
      <c r="A184" s="4" t="s">
        <v>83</v>
      </c>
      <c r="B184" s="4">
        <v>211975550</v>
      </c>
      <c r="C184" s="4">
        <v>130</v>
      </c>
      <c r="D184" s="4" t="s">
        <v>20</v>
      </c>
      <c r="E184" s="13">
        <v>0.12560439814842539</v>
      </c>
      <c r="F184" s="1">
        <v>0.50189393939393945</v>
      </c>
      <c r="G184" s="1" t="s">
        <v>11</v>
      </c>
      <c r="H184" s="5">
        <v>0.83301272635697632</v>
      </c>
      <c r="I184" s="22">
        <v>0.85392497383172383</v>
      </c>
    </row>
    <row r="185" spans="1:10">
      <c r="A185" s="4" t="s">
        <v>122</v>
      </c>
      <c r="B185" s="4">
        <v>211975562</v>
      </c>
      <c r="C185" s="4">
        <v>12</v>
      </c>
      <c r="D185" s="4" t="s">
        <v>20</v>
      </c>
      <c r="E185" s="13">
        <v>9.4180787040386349E-2</v>
      </c>
      <c r="F185" s="15">
        <v>1</v>
      </c>
      <c r="G185" s="1" t="s">
        <v>11</v>
      </c>
      <c r="H185" s="5">
        <v>0.85392497383172383</v>
      </c>
      <c r="I185" s="22">
        <v>0.89559164049839046</v>
      </c>
    </row>
    <row r="186" spans="1:10">
      <c r="A186" s="4" t="s">
        <v>123</v>
      </c>
      <c r="B186" s="4">
        <v>211975555</v>
      </c>
      <c r="C186" s="4">
        <v>12</v>
      </c>
      <c r="D186" s="4" t="s">
        <v>20</v>
      </c>
      <c r="E186" s="13">
        <v>5.0372916666674428E-2</v>
      </c>
      <c r="F186" s="1">
        <v>0.62857142857142867</v>
      </c>
      <c r="G186" s="1" t="s">
        <v>11</v>
      </c>
      <c r="H186" s="5">
        <v>0.89559164049839046</v>
      </c>
      <c r="I186" s="22">
        <v>0.92178211668886667</v>
      </c>
    </row>
    <row r="187" spans="1:10">
      <c r="A187" s="4" t="s">
        <v>124</v>
      </c>
      <c r="B187" s="4">
        <v>211975556</v>
      </c>
      <c r="C187" s="4">
        <v>24</v>
      </c>
      <c r="D187" s="4" t="s">
        <v>20</v>
      </c>
      <c r="E187" s="13">
        <v>3.0326620370033197E-2</v>
      </c>
      <c r="F187" s="1">
        <v>1.0227434257285006</v>
      </c>
      <c r="G187" s="1" t="s">
        <v>11</v>
      </c>
      <c r="H187" s="5">
        <v>0.92178211668886667</v>
      </c>
      <c r="I187" s="22">
        <v>0.96439642609422083</v>
      </c>
    </row>
    <row r="188" spans="1:10">
      <c r="A188" s="4" t="s">
        <v>125</v>
      </c>
      <c r="B188" s="4">
        <v>211975528</v>
      </c>
      <c r="C188" s="4">
        <v>50</v>
      </c>
      <c r="D188" s="4" t="s">
        <v>14</v>
      </c>
      <c r="E188" s="13">
        <v>3.0176157408277504E-2</v>
      </c>
      <c r="F188" s="1">
        <v>0.29325396825396827</v>
      </c>
      <c r="G188" s="1" t="s">
        <v>11</v>
      </c>
      <c r="H188" s="5">
        <v>0.96439642609422083</v>
      </c>
      <c r="I188" s="22">
        <v>0.97661534143813622</v>
      </c>
    </row>
    <row r="189" spans="1:10">
      <c r="A189" s="4" t="s">
        <v>126</v>
      </c>
      <c r="B189" s="4">
        <v>211975557</v>
      </c>
      <c r="C189" s="4">
        <v>24</v>
      </c>
      <c r="D189" s="4" t="s">
        <v>20</v>
      </c>
      <c r="E189" s="13">
        <v>9.1344907414168119E-3</v>
      </c>
      <c r="F189" s="1">
        <v>1.1726190476190477</v>
      </c>
      <c r="G189" s="1" t="s">
        <v>11</v>
      </c>
      <c r="H189" s="5">
        <v>0.97661534143813622</v>
      </c>
      <c r="I189" s="22">
        <v>1.0254744684222632</v>
      </c>
    </row>
    <row r="190" spans="1:10">
      <c r="A190" s="4" t="s">
        <v>116</v>
      </c>
      <c r="B190" s="4">
        <v>211975007</v>
      </c>
      <c r="C190" s="4">
        <v>24</v>
      </c>
      <c r="D190" s="4" t="s">
        <v>20</v>
      </c>
      <c r="E190" s="13">
        <v>45566.700682870367</v>
      </c>
      <c r="F190" s="1">
        <v>0.85714285714285721</v>
      </c>
      <c r="G190" s="1">
        <v>1.0952380952380953</v>
      </c>
      <c r="H190" s="5">
        <v>1.0254744684222632</v>
      </c>
      <c r="I190" s="22">
        <v>1.061188754136549</v>
      </c>
    </row>
    <row r="191" spans="1:10">
      <c r="A191" s="4" t="s">
        <v>120</v>
      </c>
      <c r="B191" s="4">
        <v>211968080</v>
      </c>
      <c r="C191" s="4">
        <v>48</v>
      </c>
      <c r="D191" s="4" t="s">
        <v>20</v>
      </c>
      <c r="E191" s="13">
        <v>45566.958229166667</v>
      </c>
      <c r="F191" s="1">
        <v>1.2225957049486458</v>
      </c>
      <c r="G191" s="1">
        <v>1.2913165266106443</v>
      </c>
      <c r="H191" s="5">
        <v>1.061188754136549</v>
      </c>
      <c r="I191" s="22">
        <v>1.1121302418427426</v>
      </c>
    </row>
    <row r="192" spans="1:10">
      <c r="A192" s="4" t="s">
        <v>117</v>
      </c>
      <c r="B192" s="4">
        <v>211975015</v>
      </c>
      <c r="C192" s="4">
        <v>96</v>
      </c>
      <c r="D192" s="4" t="s">
        <v>20</v>
      </c>
      <c r="E192" s="13">
        <v>45566.751076388886</v>
      </c>
      <c r="F192" s="15">
        <v>1</v>
      </c>
      <c r="G192" s="15">
        <v>1</v>
      </c>
      <c r="H192" s="5">
        <v>1.1121302418427426</v>
      </c>
      <c r="I192" s="22">
        <v>1.1537969085094093</v>
      </c>
    </row>
    <row r="193" spans="1:10">
      <c r="A193" s="4" t="s">
        <v>118</v>
      </c>
      <c r="B193" s="4">
        <v>211975003</v>
      </c>
      <c r="C193" s="4">
        <v>48</v>
      </c>
      <c r="D193" s="4" t="s">
        <v>20</v>
      </c>
      <c r="E193" s="13">
        <v>45566.801469907405</v>
      </c>
      <c r="F193" s="15">
        <v>1</v>
      </c>
      <c r="G193" s="1" t="s">
        <v>11</v>
      </c>
      <c r="H193" s="5">
        <v>1.1537969085094093</v>
      </c>
      <c r="I193" s="22">
        <v>1.195463575176076</v>
      </c>
    </row>
    <row r="194" spans="1:10">
      <c r="A194" s="4" t="s">
        <v>119</v>
      </c>
      <c r="B194" s="4">
        <v>211975002</v>
      </c>
      <c r="C194" s="4">
        <v>200</v>
      </c>
      <c r="D194" s="4" t="s">
        <v>20</v>
      </c>
      <c r="E194" s="13">
        <v>45566.857511574075</v>
      </c>
      <c r="F194" s="1">
        <v>0.32379790310918294</v>
      </c>
      <c r="G194" s="1" t="s">
        <v>11</v>
      </c>
      <c r="H194" s="5">
        <v>1.195463575176076</v>
      </c>
      <c r="I194" s="22">
        <v>1.2089551544722921</v>
      </c>
    </row>
    <row r="195" spans="1:10">
      <c r="A195" s="4" t="s">
        <v>80</v>
      </c>
      <c r="B195" s="4">
        <v>211975005</v>
      </c>
      <c r="C195" s="4">
        <v>48</v>
      </c>
      <c r="D195" s="4" t="s">
        <v>20</v>
      </c>
      <c r="E195" s="13">
        <v>45566.8827662037</v>
      </c>
      <c r="F195" s="1">
        <v>0.46638655462184869</v>
      </c>
      <c r="G195" s="1" t="s">
        <v>11</v>
      </c>
      <c r="H195" s="5">
        <v>1.2089551544722921</v>
      </c>
      <c r="I195" s="22">
        <v>1.2283879275815357</v>
      </c>
    </row>
    <row r="196" spans="1:10">
      <c r="A196" s="4" t="s">
        <v>128</v>
      </c>
      <c r="B196" s="4">
        <v>130007742</v>
      </c>
      <c r="C196" s="4">
        <v>20</v>
      </c>
      <c r="D196" s="4" t="s">
        <v>20</v>
      </c>
      <c r="E196" s="13">
        <v>45562.498645833337</v>
      </c>
    </row>
    <row r="197" spans="1:10" s="14" customFormat="1" ht="10.5" customHeight="1">
      <c r="A197" s="9"/>
      <c r="B197" s="9"/>
      <c r="C197" s="9"/>
      <c r="D197" s="9"/>
      <c r="E197" s="12"/>
      <c r="F197" s="10"/>
      <c r="G197" s="10"/>
      <c r="H197" s="11"/>
      <c r="I197" s="23"/>
      <c r="J197" s="9"/>
    </row>
    <row r="198" spans="1:10">
      <c r="A198" s="4" t="s">
        <v>59</v>
      </c>
      <c r="B198" s="4">
        <v>211975532</v>
      </c>
      <c r="C198" s="4">
        <v>62</v>
      </c>
      <c r="D198" s="4" t="s">
        <v>20</v>
      </c>
      <c r="E198" s="13">
        <v>0.78873414351983229</v>
      </c>
      <c r="F198" s="1">
        <v>2.6738095238095241</v>
      </c>
      <c r="G198" s="1">
        <v>4.5436507936507935</v>
      </c>
      <c r="H198" s="5">
        <v>0.72916666666666663</v>
      </c>
      <c r="I198" s="22">
        <v>0.84057539682539684</v>
      </c>
    </row>
    <row r="199" spans="1:10">
      <c r="A199" s="4" t="s">
        <v>33</v>
      </c>
      <c r="B199" s="4">
        <v>211976034</v>
      </c>
      <c r="C199" s="4">
        <v>24</v>
      </c>
      <c r="D199" s="4" t="s">
        <v>20</v>
      </c>
      <c r="E199" s="13">
        <v>9.7333680554584134E-2</v>
      </c>
      <c r="F199" s="1">
        <v>0.35833333333333339</v>
      </c>
      <c r="G199" s="1">
        <v>0.43571428571428572</v>
      </c>
      <c r="H199" s="5">
        <v>0.84057539682539684</v>
      </c>
      <c r="I199" s="22">
        <v>0.85550595238095239</v>
      </c>
    </row>
    <row r="200" spans="1:10">
      <c r="A200" s="4" t="s">
        <v>21</v>
      </c>
      <c r="B200" s="4">
        <v>211974054</v>
      </c>
      <c r="C200" s="4">
        <v>48</v>
      </c>
      <c r="D200" s="4" t="s">
        <v>14</v>
      </c>
      <c r="E200" s="13">
        <v>6.0574421295314096E-2</v>
      </c>
      <c r="F200" s="1">
        <v>0.75420015367682192</v>
      </c>
      <c r="G200" s="1">
        <v>0.84665545241210305</v>
      </c>
      <c r="H200" s="5">
        <v>0.85550595238095239</v>
      </c>
      <c r="I200" s="22">
        <v>0.88693095878415329</v>
      </c>
    </row>
    <row r="201" spans="1:10">
      <c r="A201" s="4" t="s">
        <v>66</v>
      </c>
      <c r="B201" s="4">
        <v>211976033</v>
      </c>
      <c r="C201" s="4">
        <v>48</v>
      </c>
      <c r="D201" s="4" t="s">
        <v>20</v>
      </c>
      <c r="E201" s="13">
        <v>3.0285069442470558E-2</v>
      </c>
      <c r="F201" s="1">
        <v>1.7581329561527583</v>
      </c>
      <c r="G201" s="1">
        <v>1.033946251768034</v>
      </c>
      <c r="H201" s="5">
        <v>0.88693095878415329</v>
      </c>
      <c r="I201" s="22">
        <v>0.96018649862385153</v>
      </c>
    </row>
    <row r="202" spans="1:10">
      <c r="A202" s="4" t="s">
        <v>23</v>
      </c>
      <c r="B202" s="4">
        <v>211976036</v>
      </c>
      <c r="C202" s="4">
        <v>48</v>
      </c>
      <c r="D202" s="4" t="s">
        <v>20</v>
      </c>
      <c r="E202" s="13">
        <v>0.13007673610991333</v>
      </c>
      <c r="F202" s="1">
        <v>0.24032738095238099</v>
      </c>
      <c r="G202" s="1" t="s">
        <v>11</v>
      </c>
      <c r="H202" s="5">
        <v>0.96018649862385153</v>
      </c>
      <c r="I202" s="22">
        <v>0.97020013949686745</v>
      </c>
    </row>
    <row r="203" spans="1:10">
      <c r="A203" s="4" t="s">
        <v>130</v>
      </c>
      <c r="B203" s="4">
        <v>211976052</v>
      </c>
      <c r="C203" s="4">
        <v>12</v>
      </c>
      <c r="D203" s="4" t="s">
        <v>20</v>
      </c>
      <c r="E203" s="13">
        <v>7.9474884259980172E-2</v>
      </c>
      <c r="F203" s="1">
        <v>0.40952380952380957</v>
      </c>
      <c r="G203" s="1" t="s">
        <v>11</v>
      </c>
      <c r="H203" s="5">
        <v>0.97020013949686745</v>
      </c>
      <c r="I203" s="22">
        <v>0.98726363156035957</v>
      </c>
    </row>
    <row r="204" spans="1:10">
      <c r="A204" s="4" t="s">
        <v>131</v>
      </c>
      <c r="B204" s="4">
        <v>211976030</v>
      </c>
      <c r="C204" s="4">
        <v>6</v>
      </c>
      <c r="D204" s="4" t="s">
        <v>20</v>
      </c>
      <c r="E204" s="13">
        <v>6.2804398112348281E-3</v>
      </c>
      <c r="F204" s="1">
        <v>0.27380952380952384</v>
      </c>
      <c r="G204" s="1" t="s">
        <v>11</v>
      </c>
      <c r="H204" s="5">
        <v>0.98726363156035957</v>
      </c>
      <c r="I204" s="22">
        <v>0.99867236171908969</v>
      </c>
    </row>
    <row r="205" spans="1:10">
      <c r="A205" s="4" t="s">
        <v>60</v>
      </c>
      <c r="B205" s="4" t="s">
        <v>132</v>
      </c>
      <c r="C205" s="4">
        <v>60</v>
      </c>
      <c r="D205" s="4" t="s">
        <v>20</v>
      </c>
      <c r="E205" s="13">
        <v>45568.749062499999</v>
      </c>
      <c r="F205" s="1">
        <v>1.0469187675070024</v>
      </c>
      <c r="G205" s="1">
        <v>1.1607142857142858</v>
      </c>
      <c r="H205" s="5">
        <v>0.99867236171908969</v>
      </c>
      <c r="I205" s="22">
        <v>1.0422939770318815</v>
      </c>
    </row>
    <row r="206" spans="1:10">
      <c r="A206" s="4" t="s">
        <v>105</v>
      </c>
      <c r="B206" s="4" t="s">
        <v>134</v>
      </c>
      <c r="C206" s="4">
        <v>48</v>
      </c>
      <c r="D206" s="4" t="s">
        <v>20</v>
      </c>
      <c r="E206" s="13">
        <v>45568.848749999997</v>
      </c>
      <c r="F206" s="1">
        <v>0.81351981351981351</v>
      </c>
      <c r="G206" s="1">
        <v>0.34998334998335007</v>
      </c>
      <c r="H206" s="5">
        <v>1.0422939770318815</v>
      </c>
      <c r="I206" s="22">
        <v>1.0761906359285405</v>
      </c>
    </row>
    <row r="207" spans="1:10">
      <c r="A207" s="4" t="s">
        <v>98</v>
      </c>
      <c r="B207" s="4" t="s">
        <v>135</v>
      </c>
      <c r="C207" s="4">
        <v>96</v>
      </c>
      <c r="D207" s="4" t="s">
        <v>20</v>
      </c>
      <c r="E207" s="13">
        <v>45568.882476851853</v>
      </c>
      <c r="F207" s="1">
        <v>0.32539682539682541</v>
      </c>
      <c r="G207" s="1">
        <v>0.49867724867724872</v>
      </c>
      <c r="H207" s="5">
        <v>1.0761906359285405</v>
      </c>
      <c r="I207" s="22">
        <v>1.0897488369867416</v>
      </c>
    </row>
    <row r="208" spans="1:10">
      <c r="A208" s="4" t="s">
        <v>136</v>
      </c>
      <c r="B208" s="4" t="s">
        <v>137</v>
      </c>
      <c r="C208" s="4">
        <v>150</v>
      </c>
      <c r="D208" s="4" t="s">
        <v>20</v>
      </c>
      <c r="E208" s="13">
        <v>45568.965300925927</v>
      </c>
      <c r="F208" s="1">
        <v>0.69118692253020619</v>
      </c>
      <c r="G208" s="1">
        <v>0.52327647476901196</v>
      </c>
      <c r="H208" s="5">
        <v>1.0897488369867416</v>
      </c>
      <c r="I208" s="22">
        <v>1.118548292092167</v>
      </c>
    </row>
    <row r="209" spans="1:10">
      <c r="A209" s="4" t="s">
        <v>57</v>
      </c>
      <c r="B209" s="4" t="s">
        <v>133</v>
      </c>
      <c r="C209" s="4">
        <v>48</v>
      </c>
      <c r="D209" s="4" t="s">
        <v>20</v>
      </c>
      <c r="E209" s="13">
        <v>45568.782789351855</v>
      </c>
      <c r="F209" s="1">
        <v>0.78869047619047628</v>
      </c>
      <c r="G209" s="1" t="s">
        <v>11</v>
      </c>
    </row>
    <row r="210" spans="1:10" s="14" customFormat="1" ht="10.5" customHeight="1">
      <c r="A210" s="9"/>
      <c r="B210" s="9"/>
      <c r="C210" s="9"/>
      <c r="D210" s="9"/>
      <c r="E210" s="12"/>
      <c r="F210" s="10"/>
      <c r="G210" s="10"/>
      <c r="H210" s="11"/>
      <c r="I210" s="23"/>
      <c r="J210" s="9"/>
    </row>
    <row r="211" spans="1:10">
      <c r="A211" s="4" t="s">
        <v>72</v>
      </c>
      <c r="B211" s="4">
        <v>211976585</v>
      </c>
      <c r="C211" s="4">
        <v>60</v>
      </c>
      <c r="D211" s="4" t="s">
        <v>10</v>
      </c>
      <c r="E211" s="7" t="s">
        <v>65</v>
      </c>
      <c r="F211" s="1">
        <v>1.1771000535045477</v>
      </c>
      <c r="G211" s="1">
        <v>1.1620117710005353</v>
      </c>
      <c r="H211" s="5">
        <v>0.72916666666666663</v>
      </c>
      <c r="I211" s="22">
        <v>0.77821250222935612</v>
      </c>
    </row>
    <row r="212" spans="1:10">
      <c r="A212" s="4" t="s">
        <v>18</v>
      </c>
      <c r="B212" s="4">
        <v>211973423</v>
      </c>
      <c r="C212" s="4">
        <v>288</v>
      </c>
      <c r="D212" s="4" t="s">
        <v>14</v>
      </c>
      <c r="E212" s="7" t="s">
        <v>65</v>
      </c>
      <c r="F212" s="1">
        <v>2.428571428571427</v>
      </c>
      <c r="G212" s="1">
        <v>1.9523809523809526</v>
      </c>
      <c r="H212" s="5">
        <v>0.77821250222935612</v>
      </c>
      <c r="I212" s="22">
        <v>0.87940297841983228</v>
      </c>
    </row>
    <row r="213" spans="1:10">
      <c r="A213" s="4" t="s">
        <v>21</v>
      </c>
      <c r="B213" s="4">
        <v>211974055</v>
      </c>
      <c r="C213" s="4">
        <v>48</v>
      </c>
      <c r="D213" s="4" t="s">
        <v>14</v>
      </c>
      <c r="E213" s="7" t="s">
        <v>65</v>
      </c>
      <c r="F213" s="1">
        <v>0.75420015367682192</v>
      </c>
      <c r="G213" s="1">
        <v>0.84665545241210305</v>
      </c>
      <c r="H213" s="5">
        <v>0.87940297841983228</v>
      </c>
      <c r="I213" s="22">
        <v>0.91082798482303318</v>
      </c>
    </row>
    <row r="214" spans="1:10">
      <c r="A214" s="4" t="s">
        <v>106</v>
      </c>
      <c r="B214" s="4">
        <v>211976584</v>
      </c>
      <c r="C214" s="4">
        <v>60</v>
      </c>
      <c r="D214" s="4" t="s">
        <v>10</v>
      </c>
      <c r="E214" s="7" t="s">
        <v>65</v>
      </c>
      <c r="F214" s="1">
        <v>0.24850645386359674</v>
      </c>
      <c r="G214" s="1" t="s">
        <v>11</v>
      </c>
      <c r="H214" s="5">
        <v>0.91082798482303318</v>
      </c>
      <c r="I214" s="22">
        <v>0.92118242040068299</v>
      </c>
    </row>
    <row r="215" spans="1:10">
      <c r="A215" s="4" t="s">
        <v>148</v>
      </c>
      <c r="B215" s="4">
        <v>211976424</v>
      </c>
      <c r="C215" s="4">
        <v>24</v>
      </c>
      <c r="D215" s="4" t="s">
        <v>20</v>
      </c>
      <c r="E215" s="7" t="s">
        <v>65</v>
      </c>
      <c r="F215" s="16">
        <v>1</v>
      </c>
      <c r="G215" s="1" t="s">
        <v>11</v>
      </c>
      <c r="H215" s="5">
        <v>0.92118242040068299</v>
      </c>
      <c r="I215" s="22">
        <v>0.96284908706734962</v>
      </c>
    </row>
    <row r="216" spans="1:10">
      <c r="A216" s="4" t="s">
        <v>97</v>
      </c>
      <c r="B216" s="4">
        <v>211973513</v>
      </c>
      <c r="C216" s="4">
        <v>96</v>
      </c>
      <c r="D216" s="4" t="s">
        <v>20</v>
      </c>
      <c r="E216" s="7" t="s">
        <v>65</v>
      </c>
      <c r="F216" s="1">
        <v>3.2485481997677121</v>
      </c>
      <c r="G216" s="1" t="s">
        <v>11</v>
      </c>
      <c r="H216" s="5">
        <v>0.96284908706734962</v>
      </c>
      <c r="I216" s="22">
        <v>1.098205262057671</v>
      </c>
    </row>
    <row r="217" spans="1:10">
      <c r="A217" s="4" t="s">
        <v>73</v>
      </c>
      <c r="B217" s="4">
        <v>211976588</v>
      </c>
      <c r="C217" s="4">
        <v>48</v>
      </c>
      <c r="D217" s="4" t="s">
        <v>20</v>
      </c>
      <c r="E217" s="8">
        <v>45569.772233796299</v>
      </c>
      <c r="F217" s="1">
        <v>1.4298245614035088</v>
      </c>
      <c r="G217" s="1">
        <v>1.275689223057644</v>
      </c>
      <c r="H217" s="5">
        <v>1.098205262057671</v>
      </c>
      <c r="I217" s="22">
        <v>1.1577812854494838</v>
      </c>
    </row>
    <row r="218" spans="1:10">
      <c r="A218" s="4" t="s">
        <v>18</v>
      </c>
      <c r="B218" s="4">
        <v>211973423</v>
      </c>
      <c r="C218" s="4">
        <v>288</v>
      </c>
      <c r="D218" s="4" t="s">
        <v>14</v>
      </c>
      <c r="E218" s="8">
        <v>45569.783912037034</v>
      </c>
      <c r="F218" s="1">
        <v>2.428571428571427</v>
      </c>
      <c r="G218" s="1">
        <v>1.9523809523809526</v>
      </c>
      <c r="H218" s="5">
        <v>1.1577812854494838</v>
      </c>
      <c r="I218" s="22">
        <v>1.2589717616399598</v>
      </c>
    </row>
    <row r="219" spans="1:10">
      <c r="A219" s="4" t="s">
        <v>21</v>
      </c>
      <c r="B219" s="4">
        <v>211974055</v>
      </c>
      <c r="C219" s="4">
        <v>48</v>
      </c>
      <c r="D219" s="4" t="s">
        <v>14</v>
      </c>
      <c r="E219" s="8">
        <v>45569.858206018522</v>
      </c>
      <c r="F219" s="1">
        <v>0.75420015367682192</v>
      </c>
      <c r="G219" s="1">
        <v>0.84665545241210305</v>
      </c>
      <c r="H219" s="5">
        <v>1.2589717616399598</v>
      </c>
      <c r="I219" s="22">
        <v>1.2903967680431607</v>
      </c>
    </row>
    <row r="220" spans="1:10">
      <c r="A220" s="4" t="s">
        <v>149</v>
      </c>
      <c r="B220" s="4">
        <v>211976593</v>
      </c>
      <c r="C220" s="4">
        <v>60</v>
      </c>
      <c r="D220" s="4" t="s">
        <v>20</v>
      </c>
      <c r="E220" s="8">
        <v>45569.860011574077</v>
      </c>
      <c r="F220" s="1">
        <v>2.2643343051506313</v>
      </c>
      <c r="G220" s="1" t="s">
        <v>11</v>
      </c>
      <c r="H220" s="5">
        <v>1.2903967680431607</v>
      </c>
      <c r="I220" s="22">
        <v>1.3847440307577703</v>
      </c>
    </row>
    <row r="221" spans="1:10">
      <c r="A221" s="4" t="s">
        <v>35</v>
      </c>
      <c r="B221" s="4">
        <v>211976602</v>
      </c>
      <c r="C221" s="4">
        <v>48</v>
      </c>
      <c r="D221" s="4" t="s">
        <v>14</v>
      </c>
      <c r="E221" s="8">
        <v>45569.905810185184</v>
      </c>
      <c r="F221" s="1">
        <v>0.67878561904761914</v>
      </c>
      <c r="G221" s="1">
        <v>0.66262704761904767</v>
      </c>
      <c r="H221" s="5">
        <v>1.3847440307577703</v>
      </c>
      <c r="I221" s="22">
        <v>1.4130267648847545</v>
      </c>
    </row>
    <row r="222" spans="1:10">
      <c r="A222" s="4" t="s">
        <v>138</v>
      </c>
      <c r="B222" s="4">
        <v>130007761</v>
      </c>
      <c r="C222" s="4">
        <v>14</v>
      </c>
      <c r="D222" s="4" t="s">
        <v>20</v>
      </c>
      <c r="E222" s="7" t="s">
        <v>65</v>
      </c>
    </row>
    <row r="223" spans="1:10">
      <c r="A223" s="4" t="s">
        <v>140</v>
      </c>
      <c r="B223" s="4">
        <v>130007764</v>
      </c>
      <c r="C223" s="4">
        <v>30</v>
      </c>
      <c r="D223" s="4" t="s">
        <v>14</v>
      </c>
      <c r="E223" s="7" t="s">
        <v>65</v>
      </c>
    </row>
    <row r="224" spans="1:10">
      <c r="A224" s="4" t="s">
        <v>142</v>
      </c>
      <c r="B224" s="4">
        <v>130007762</v>
      </c>
      <c r="C224" s="4">
        <v>14</v>
      </c>
      <c r="D224" s="4" t="s">
        <v>20</v>
      </c>
      <c r="E224" s="7" t="s">
        <v>65</v>
      </c>
    </row>
    <row r="225" spans="1:10">
      <c r="A225" s="4" t="s">
        <v>144</v>
      </c>
      <c r="B225" s="4">
        <v>130007763</v>
      </c>
      <c r="C225" s="4">
        <v>3</v>
      </c>
      <c r="D225" s="4" t="s">
        <v>20</v>
      </c>
      <c r="E225" s="7" t="s">
        <v>65</v>
      </c>
    </row>
    <row r="226" spans="1:10">
      <c r="A226" s="4" t="s">
        <v>146</v>
      </c>
      <c r="B226" s="4">
        <v>130007765</v>
      </c>
      <c r="C226" s="4">
        <v>15</v>
      </c>
      <c r="D226" s="4" t="s">
        <v>14</v>
      </c>
      <c r="E226" s="7" t="s">
        <v>65</v>
      </c>
    </row>
    <row r="227" spans="1:10" s="14" customFormat="1" ht="10.5" customHeight="1">
      <c r="A227" s="9"/>
      <c r="B227" s="9"/>
      <c r="C227" s="9"/>
      <c r="D227" s="9"/>
      <c r="E227" s="12"/>
      <c r="F227" s="10"/>
      <c r="G227" s="10"/>
      <c r="H227" s="11"/>
      <c r="I227" s="23"/>
      <c r="J227" s="9"/>
    </row>
    <row r="228" spans="1:10">
      <c r="A228" s="4" t="s">
        <v>44</v>
      </c>
      <c r="B228" s="4" t="s">
        <v>157</v>
      </c>
      <c r="C228" s="4">
        <v>60</v>
      </c>
      <c r="D228" s="4" t="s">
        <v>10</v>
      </c>
      <c r="E228" s="17" t="s">
        <v>65</v>
      </c>
      <c r="F228" s="1">
        <v>1.8286112596039952</v>
      </c>
      <c r="G228" s="1">
        <v>2.2697923545381169</v>
      </c>
      <c r="H228" s="5">
        <v>0.72916666666666663</v>
      </c>
      <c r="I228" s="22">
        <v>0.80535880248349978</v>
      </c>
    </row>
    <row r="229" spans="1:10">
      <c r="A229" s="4" t="s">
        <v>18</v>
      </c>
      <c r="B229" s="4" t="s">
        <v>160</v>
      </c>
      <c r="C229" s="4">
        <v>288</v>
      </c>
      <c r="D229" s="4" t="s">
        <v>14</v>
      </c>
      <c r="E229" s="17" t="s">
        <v>65</v>
      </c>
      <c r="F229" s="1">
        <v>2.428571428571427</v>
      </c>
      <c r="G229" s="1">
        <v>1.9523809523809526</v>
      </c>
      <c r="H229" s="5">
        <v>0.80535880248349978</v>
      </c>
      <c r="I229" s="22">
        <v>0.90654927867397594</v>
      </c>
    </row>
    <row r="230" spans="1:10">
      <c r="A230" s="4" t="s">
        <v>64</v>
      </c>
      <c r="B230" s="4" t="s">
        <v>164</v>
      </c>
      <c r="C230" s="4">
        <v>48</v>
      </c>
      <c r="D230" s="4" t="s">
        <v>10</v>
      </c>
      <c r="E230" s="17" t="s">
        <v>65</v>
      </c>
      <c r="F230" s="1">
        <v>1.1933611768060515</v>
      </c>
      <c r="G230" s="1">
        <v>0.90150790855264284</v>
      </c>
      <c r="H230" s="5">
        <v>0.90654927867397594</v>
      </c>
      <c r="I230" s="22">
        <v>0.9562726610408947</v>
      </c>
    </row>
    <row r="231" spans="1:10">
      <c r="A231" s="4" t="s">
        <v>64</v>
      </c>
      <c r="B231" s="4" t="s">
        <v>164</v>
      </c>
      <c r="C231" s="4">
        <v>48</v>
      </c>
      <c r="D231" s="4" t="s">
        <v>10</v>
      </c>
      <c r="E231" s="8">
        <v>45572.72457175926</v>
      </c>
      <c r="F231" s="1">
        <v>1.1933611768060515</v>
      </c>
      <c r="G231" s="1">
        <v>0.90150790855264284</v>
      </c>
      <c r="H231" s="5">
        <v>0.9562726610408947</v>
      </c>
      <c r="I231" s="22">
        <v>1.0059960434078135</v>
      </c>
    </row>
    <row r="232" spans="1:10">
      <c r="A232" s="4" t="s">
        <v>18</v>
      </c>
      <c r="B232" s="4" t="s">
        <v>160</v>
      </c>
      <c r="C232" s="4">
        <v>288</v>
      </c>
      <c r="D232" s="4" t="s">
        <v>14</v>
      </c>
      <c r="E232" s="8">
        <v>45572.737476851849</v>
      </c>
      <c r="F232" s="1">
        <v>2.428571428571427</v>
      </c>
      <c r="G232" s="1">
        <v>1.9523809523809526</v>
      </c>
      <c r="H232" s="5">
        <v>1.0059960434078135</v>
      </c>
      <c r="I232" s="22">
        <v>1.1071865195982895</v>
      </c>
    </row>
    <row r="233" spans="1:10">
      <c r="A233" s="4" t="s">
        <v>61</v>
      </c>
      <c r="B233" s="4" t="s">
        <v>172</v>
      </c>
      <c r="C233" s="4">
        <v>144</v>
      </c>
      <c r="D233" s="4" t="s">
        <v>14</v>
      </c>
      <c r="E233" s="8">
        <v>45572.875659722224</v>
      </c>
      <c r="F233" s="1">
        <v>1.89</v>
      </c>
      <c r="G233" s="1">
        <v>1.26</v>
      </c>
      <c r="H233" s="5">
        <v>1.1071865195982895</v>
      </c>
      <c r="I233" s="22">
        <v>1.1859365195982896</v>
      </c>
    </row>
    <row r="234" spans="1:10">
      <c r="A234" s="4" t="s">
        <v>149</v>
      </c>
      <c r="B234" s="4" t="s">
        <v>150</v>
      </c>
      <c r="C234" s="4">
        <v>60</v>
      </c>
      <c r="D234" s="4" t="s">
        <v>20</v>
      </c>
      <c r="E234" s="17" t="s">
        <v>65</v>
      </c>
      <c r="F234" s="1">
        <v>2.2643343051506313</v>
      </c>
      <c r="G234" s="1" t="s">
        <v>11</v>
      </c>
      <c r="H234" s="5">
        <v>1.1859365195982896</v>
      </c>
      <c r="I234" s="22">
        <v>1.2802837823128992</v>
      </c>
    </row>
    <row r="235" spans="1:10">
      <c r="A235" s="4" t="s">
        <v>151</v>
      </c>
      <c r="B235" s="4" t="s">
        <v>152</v>
      </c>
      <c r="C235" s="4">
        <v>72</v>
      </c>
      <c r="D235" s="4" t="s">
        <v>10</v>
      </c>
      <c r="E235" s="17" t="s">
        <v>65</v>
      </c>
      <c r="F235" s="1">
        <v>0.49999995238095235</v>
      </c>
      <c r="G235" s="1" t="s">
        <v>11</v>
      </c>
      <c r="H235" s="5">
        <v>1.2802837823128992</v>
      </c>
      <c r="I235" s="22">
        <v>1.3011171136621056</v>
      </c>
    </row>
    <row r="236" spans="1:10">
      <c r="A236" s="4" t="s">
        <v>106</v>
      </c>
      <c r="B236" s="4" t="s">
        <v>158</v>
      </c>
      <c r="C236" s="4">
        <v>60</v>
      </c>
      <c r="D236" s="4" t="s">
        <v>10</v>
      </c>
      <c r="E236" s="17" t="s">
        <v>65</v>
      </c>
      <c r="F236" s="1">
        <v>0.24850645386359674</v>
      </c>
      <c r="G236" s="1" t="s">
        <v>11</v>
      </c>
      <c r="H236" s="5">
        <v>1.3011171136621056</v>
      </c>
      <c r="I236" s="22">
        <v>1.3114715492397555</v>
      </c>
    </row>
    <row r="237" spans="1:10">
      <c r="A237" s="4" t="s">
        <v>85</v>
      </c>
      <c r="B237" s="4" t="s">
        <v>159</v>
      </c>
      <c r="C237" s="4">
        <v>48</v>
      </c>
      <c r="D237" s="4" t="s">
        <v>10</v>
      </c>
      <c r="E237" s="17" t="s">
        <v>65</v>
      </c>
      <c r="F237" s="1">
        <v>0.25685527019796683</v>
      </c>
      <c r="G237" s="1" t="s">
        <v>11</v>
      </c>
      <c r="H237" s="5">
        <v>1.3114715492397555</v>
      </c>
      <c r="I237" s="22">
        <v>1.3221738521646709</v>
      </c>
    </row>
    <row r="238" spans="1:10">
      <c r="A238" s="4" t="s">
        <v>12</v>
      </c>
      <c r="B238" s="4" t="s">
        <v>161</v>
      </c>
      <c r="C238" s="4">
        <v>60</v>
      </c>
      <c r="D238" s="4" t="s">
        <v>10</v>
      </c>
      <c r="E238" s="17" t="s">
        <v>65</v>
      </c>
      <c r="F238" s="1">
        <v>0.27796085959579803</v>
      </c>
      <c r="G238" s="1" t="s">
        <v>11</v>
      </c>
      <c r="H238" s="5">
        <v>1.3221738521646709</v>
      </c>
      <c r="I238" s="22">
        <v>1.333755554647829</v>
      </c>
    </row>
    <row r="239" spans="1:10">
      <c r="A239" s="4" t="s">
        <v>70</v>
      </c>
      <c r="B239" s="4" t="s">
        <v>167</v>
      </c>
      <c r="C239" s="4">
        <v>12</v>
      </c>
      <c r="D239" s="4" t="s">
        <v>20</v>
      </c>
      <c r="E239" s="8">
        <v>45572.735300925924</v>
      </c>
      <c r="F239" s="1">
        <v>0.30078520770010131</v>
      </c>
      <c r="G239" s="1" t="s">
        <v>11</v>
      </c>
      <c r="H239" s="5">
        <v>1.333755554647829</v>
      </c>
      <c r="I239" s="22">
        <v>1.3462882716353333</v>
      </c>
    </row>
    <row r="240" spans="1:10">
      <c r="A240" s="4" t="s">
        <v>63</v>
      </c>
      <c r="B240" s="4" t="s">
        <v>168</v>
      </c>
      <c r="C240" s="4">
        <v>60</v>
      </c>
      <c r="D240" s="4" t="s">
        <v>10</v>
      </c>
      <c r="E240" s="8">
        <v>45572.768206018518</v>
      </c>
      <c r="F240" s="1">
        <v>0.52633281573498936</v>
      </c>
      <c r="G240" s="1" t="s">
        <v>11</v>
      </c>
      <c r="H240" s="5">
        <v>1.3462882716353333</v>
      </c>
      <c r="I240" s="22">
        <v>1.3682188056242912</v>
      </c>
    </row>
    <row r="241" spans="1:10">
      <c r="A241" s="4" t="s">
        <v>169</v>
      </c>
      <c r="B241" s="4" t="s">
        <v>170</v>
      </c>
      <c r="C241" s="4">
        <v>24</v>
      </c>
      <c r="D241" s="4" t="s">
        <v>20</v>
      </c>
      <c r="E241" s="8">
        <v>45572.785717592589</v>
      </c>
      <c r="F241" s="1">
        <v>0.58333333333333326</v>
      </c>
      <c r="G241" s="1" t="s">
        <v>11</v>
      </c>
      <c r="H241" s="5">
        <v>1.3682188056242912</v>
      </c>
      <c r="I241" s="22">
        <v>1.3925243611798468</v>
      </c>
    </row>
    <row r="242" spans="1:10">
      <c r="A242" s="4" t="s">
        <v>91</v>
      </c>
      <c r="B242" s="4" t="s">
        <v>171</v>
      </c>
      <c r="C242" s="4">
        <v>24</v>
      </c>
      <c r="D242" s="4" t="s">
        <v>20</v>
      </c>
      <c r="E242" s="8">
        <v>45572.821620370371</v>
      </c>
      <c r="F242" s="1">
        <v>1.0666666666666669</v>
      </c>
      <c r="G242" s="1" t="s">
        <v>11</v>
      </c>
      <c r="H242" s="5">
        <v>1.3925243611798468</v>
      </c>
      <c r="I242" s="22">
        <v>1.4369688056242913</v>
      </c>
    </row>
    <row r="243" spans="1:10">
      <c r="A243" s="4" t="s">
        <v>119</v>
      </c>
      <c r="B243" s="4" t="s">
        <v>173</v>
      </c>
      <c r="C243" s="4">
        <v>200</v>
      </c>
      <c r="D243" s="4" t="s">
        <v>20</v>
      </c>
      <c r="E243" s="8">
        <v>45572.877662037034</v>
      </c>
      <c r="F243" s="1">
        <v>0.32379790310918294</v>
      </c>
      <c r="G243" s="1" t="s">
        <v>11</v>
      </c>
      <c r="H243" s="5">
        <v>1.4369688056242913</v>
      </c>
      <c r="I243" s="22">
        <v>1.4504603849205073</v>
      </c>
    </row>
    <row r="244" spans="1:10">
      <c r="A244" s="4" t="s">
        <v>93</v>
      </c>
      <c r="B244" s="4" t="s">
        <v>174</v>
      </c>
      <c r="C244" s="4">
        <v>24</v>
      </c>
      <c r="D244" s="4" t="s">
        <v>20</v>
      </c>
      <c r="E244" s="8">
        <v>45572.91138888889</v>
      </c>
      <c r="F244" s="1">
        <v>0.53463203463203457</v>
      </c>
      <c r="G244" s="1" t="s">
        <v>11</v>
      </c>
      <c r="H244" s="5">
        <v>1.4504603849205073</v>
      </c>
      <c r="I244" s="22">
        <v>1.4727367196968422</v>
      </c>
    </row>
    <row r="245" spans="1:10">
      <c r="A245" s="4" t="s">
        <v>138</v>
      </c>
      <c r="B245" s="4" t="s">
        <v>139</v>
      </c>
      <c r="C245" s="4">
        <v>14</v>
      </c>
      <c r="D245" s="4" t="s">
        <v>20</v>
      </c>
      <c r="E245" s="17" t="s">
        <v>65</v>
      </c>
      <c r="F245" s="1" t="s">
        <v>11</v>
      </c>
      <c r="G245" s="1" t="s">
        <v>11</v>
      </c>
      <c r="H245" s="3"/>
      <c r="I245" s="3"/>
    </row>
    <row r="246" spans="1:10">
      <c r="A246" s="4" t="s">
        <v>140</v>
      </c>
      <c r="B246" s="4" t="s">
        <v>141</v>
      </c>
      <c r="C246" s="4">
        <v>30</v>
      </c>
      <c r="D246" s="4" t="s">
        <v>14</v>
      </c>
      <c r="E246" s="17" t="s">
        <v>65</v>
      </c>
      <c r="F246" s="1" t="s">
        <v>11</v>
      </c>
      <c r="G246" s="1" t="s">
        <v>11</v>
      </c>
      <c r="H246" s="3"/>
      <c r="I246" s="3"/>
    </row>
    <row r="247" spans="1:10">
      <c r="A247" s="4" t="s">
        <v>142</v>
      </c>
      <c r="B247" s="4" t="s">
        <v>143</v>
      </c>
      <c r="C247" s="4">
        <v>14</v>
      </c>
      <c r="D247" s="4" t="s">
        <v>20</v>
      </c>
      <c r="E247" s="17" t="s">
        <v>65</v>
      </c>
      <c r="F247" s="1" t="s">
        <v>11</v>
      </c>
      <c r="G247" s="1" t="s">
        <v>11</v>
      </c>
      <c r="H247" s="3"/>
      <c r="I247" s="3"/>
    </row>
    <row r="248" spans="1:10">
      <c r="A248" s="4" t="s">
        <v>144</v>
      </c>
      <c r="B248" s="4" t="s">
        <v>145</v>
      </c>
      <c r="C248" s="4">
        <v>3</v>
      </c>
      <c r="D248" s="4" t="s">
        <v>20</v>
      </c>
      <c r="E248" s="17" t="s">
        <v>65</v>
      </c>
      <c r="F248" s="1" t="s">
        <v>11</v>
      </c>
      <c r="G248" s="1" t="s">
        <v>11</v>
      </c>
      <c r="H248" s="3"/>
      <c r="I248" s="3"/>
    </row>
    <row r="249" spans="1:10">
      <c r="A249" s="4" t="s">
        <v>146</v>
      </c>
      <c r="B249" s="4" t="s">
        <v>147</v>
      </c>
      <c r="C249" s="4">
        <v>15</v>
      </c>
      <c r="D249" s="4" t="s">
        <v>14</v>
      </c>
      <c r="E249" s="17" t="s">
        <v>65</v>
      </c>
      <c r="F249" s="1" t="s">
        <v>11</v>
      </c>
      <c r="G249" s="1" t="s">
        <v>11</v>
      </c>
      <c r="H249" s="3"/>
      <c r="I249" s="3"/>
    </row>
    <row r="250" spans="1:10">
      <c r="A250" s="4" t="s">
        <v>153</v>
      </c>
      <c r="B250" s="4" t="s">
        <v>154</v>
      </c>
      <c r="C250" s="4">
        <v>25</v>
      </c>
      <c r="D250" s="4" t="s">
        <v>14</v>
      </c>
      <c r="E250" s="17" t="s">
        <v>65</v>
      </c>
      <c r="F250" s="1" t="s">
        <v>11</v>
      </c>
      <c r="G250" s="1" t="s">
        <v>11</v>
      </c>
      <c r="H250" s="3"/>
      <c r="I250" s="3"/>
    </row>
    <row r="251" spans="1:10">
      <c r="A251" s="4" t="s">
        <v>155</v>
      </c>
      <c r="B251" s="4" t="s">
        <v>156</v>
      </c>
      <c r="C251" s="4">
        <v>10</v>
      </c>
      <c r="D251" s="4" t="s">
        <v>20</v>
      </c>
      <c r="E251" s="17" t="s">
        <v>65</v>
      </c>
      <c r="F251" s="1" t="s">
        <v>11</v>
      </c>
      <c r="G251" s="1" t="s">
        <v>11</v>
      </c>
      <c r="H251" s="3"/>
      <c r="I251" s="3"/>
    </row>
    <row r="252" spans="1:10">
      <c r="A252" s="4" t="s">
        <v>165</v>
      </c>
      <c r="B252" s="4" t="s">
        <v>166</v>
      </c>
      <c r="C252" s="4">
        <v>14</v>
      </c>
      <c r="D252" s="4" t="s">
        <v>20</v>
      </c>
      <c r="E252" s="17" t="s">
        <v>65</v>
      </c>
      <c r="F252" s="1" t="s">
        <v>11</v>
      </c>
      <c r="G252" s="1" t="s">
        <v>11</v>
      </c>
      <c r="H252" s="3"/>
      <c r="I252" s="3"/>
    </row>
    <row r="253" spans="1:10">
      <c r="A253" s="4" t="s">
        <v>162</v>
      </c>
      <c r="B253" s="4" t="s">
        <v>163</v>
      </c>
      <c r="C253" s="4">
        <v>3</v>
      </c>
      <c r="D253" s="4" t="s">
        <v>20</v>
      </c>
      <c r="E253" s="17" t="s">
        <v>65</v>
      </c>
      <c r="F253" s="1" t="s">
        <v>11</v>
      </c>
      <c r="G253" s="1" t="s">
        <v>11</v>
      </c>
      <c r="H253" s="3"/>
      <c r="I253" s="3"/>
    </row>
    <row r="254" spans="1:10" s="14" customFormat="1" ht="10.5" customHeight="1">
      <c r="A254" s="9"/>
      <c r="B254" s="9"/>
      <c r="C254" s="9"/>
      <c r="D254" s="9"/>
      <c r="E254" s="12"/>
      <c r="F254" s="10"/>
      <c r="G254" s="10"/>
      <c r="H254" s="11"/>
      <c r="I254" s="23"/>
      <c r="J254" s="9"/>
    </row>
    <row r="255" spans="1:10">
      <c r="A255" s="4" t="s">
        <v>0</v>
      </c>
      <c r="B255" s="4" t="s">
        <v>1</v>
      </c>
      <c r="C255" s="4" t="s">
        <v>2</v>
      </c>
      <c r="D255" s="4" t="s">
        <v>3</v>
      </c>
      <c r="E255" s="7" t="s">
        <v>17</v>
      </c>
      <c r="F255" s="1" t="s">
        <v>5</v>
      </c>
      <c r="G255" s="1" t="s">
        <v>6</v>
      </c>
      <c r="H255" s="4" t="s">
        <v>7</v>
      </c>
      <c r="I255" s="24" t="s">
        <v>8</v>
      </c>
    </row>
    <row r="256" spans="1:10">
      <c r="A256" s="4" t="s">
        <v>44</v>
      </c>
      <c r="B256" s="4" t="s">
        <v>180</v>
      </c>
      <c r="C256" s="4">
        <v>60</v>
      </c>
      <c r="D256" s="4" t="s">
        <v>10</v>
      </c>
      <c r="E256" s="17" t="s">
        <v>177</v>
      </c>
      <c r="F256" s="1">
        <v>1.8286112596039952</v>
      </c>
      <c r="G256" s="1">
        <v>2.2697923545381169</v>
      </c>
      <c r="H256" s="5">
        <v>0.72916666666666663</v>
      </c>
      <c r="I256" s="22">
        <v>0.80535880248349978</v>
      </c>
    </row>
    <row r="257" spans="1:9">
      <c r="A257" s="4" t="s">
        <v>31</v>
      </c>
      <c r="B257" s="4" t="s">
        <v>182</v>
      </c>
      <c r="C257" s="4">
        <v>240</v>
      </c>
      <c r="D257" s="4" t="s">
        <v>20</v>
      </c>
      <c r="E257" s="17" t="s">
        <v>177</v>
      </c>
      <c r="F257" s="1">
        <v>1.3637425534400189</v>
      </c>
      <c r="G257" s="1">
        <v>0.95569053459486664</v>
      </c>
      <c r="H257" s="5">
        <v>0.80535880248349978</v>
      </c>
      <c r="I257" s="22">
        <v>0.86218140887683392</v>
      </c>
    </row>
    <row r="258" spans="1:9">
      <c r="A258" s="4" t="s">
        <v>105</v>
      </c>
      <c r="B258" s="4" t="s">
        <v>183</v>
      </c>
      <c r="C258" s="4">
        <v>48</v>
      </c>
      <c r="D258" s="4" t="s">
        <v>20</v>
      </c>
      <c r="E258" s="17" t="s">
        <v>177</v>
      </c>
      <c r="F258" s="1">
        <v>0.81351981351981351</v>
      </c>
      <c r="G258" s="1">
        <v>0.34998334998335007</v>
      </c>
      <c r="H258" s="5">
        <v>0.86218140887683392</v>
      </c>
      <c r="I258" s="22">
        <v>0.89607806777349286</v>
      </c>
    </row>
    <row r="259" spans="1:9">
      <c r="A259" s="4" t="s">
        <v>18</v>
      </c>
      <c r="B259" s="4" t="s">
        <v>186</v>
      </c>
      <c r="C259" s="4">
        <v>288</v>
      </c>
      <c r="D259" s="4" t="s">
        <v>14</v>
      </c>
      <c r="E259" s="17" t="s">
        <v>177</v>
      </c>
      <c r="F259" s="1">
        <v>2.428571428571427</v>
      </c>
      <c r="G259" s="1">
        <v>1.9523809523809526</v>
      </c>
      <c r="H259" s="5">
        <v>0.89607806777349286</v>
      </c>
      <c r="I259" s="22">
        <v>0.99726854396396902</v>
      </c>
    </row>
    <row r="260" spans="1:9">
      <c r="A260" s="4" t="s">
        <v>31</v>
      </c>
      <c r="B260" s="4" t="s">
        <v>182</v>
      </c>
      <c r="C260" s="4">
        <v>240</v>
      </c>
      <c r="D260" s="4" t="s">
        <v>20</v>
      </c>
      <c r="E260" s="7">
        <v>45573.723946759259</v>
      </c>
      <c r="F260" s="1">
        <v>1.3637425534400189</v>
      </c>
      <c r="G260" s="1">
        <v>0.95569053459486664</v>
      </c>
      <c r="H260" s="5">
        <v>0.99726854396396902</v>
      </c>
      <c r="I260" s="22">
        <v>1.0540911503573032</v>
      </c>
    </row>
    <row r="261" spans="1:9">
      <c r="A261" s="4" t="s">
        <v>105</v>
      </c>
      <c r="B261" s="4" t="s">
        <v>183</v>
      </c>
      <c r="C261" s="4">
        <v>48</v>
      </c>
      <c r="D261" s="4" t="s">
        <v>20</v>
      </c>
      <c r="E261" s="7">
        <v>45573.740810185183</v>
      </c>
      <c r="F261" s="1">
        <v>0.81351981351981351</v>
      </c>
      <c r="G261" s="1">
        <v>0.34998334998335007</v>
      </c>
      <c r="H261" s="5">
        <v>1.0540911503573032</v>
      </c>
      <c r="I261" s="22">
        <v>1.0879878092539621</v>
      </c>
    </row>
    <row r="262" spans="1:9">
      <c r="A262" s="4" t="s">
        <v>21</v>
      </c>
      <c r="B262" s="4" t="s">
        <v>188</v>
      </c>
      <c r="C262" s="4">
        <v>48</v>
      </c>
      <c r="D262" s="4" t="s">
        <v>14</v>
      </c>
      <c r="E262" s="7">
        <v>45573.752025462964</v>
      </c>
      <c r="F262" s="1">
        <v>0.75420015367682192</v>
      </c>
      <c r="G262" s="1">
        <v>0.84665545241210305</v>
      </c>
      <c r="H262" s="5">
        <v>1.0879878092539621</v>
      </c>
      <c r="I262" s="22">
        <v>1.119412815657163</v>
      </c>
    </row>
    <row r="263" spans="1:9">
      <c r="A263" s="4" t="s">
        <v>21</v>
      </c>
      <c r="B263" s="4" t="s">
        <v>190</v>
      </c>
      <c r="C263" s="4">
        <v>48</v>
      </c>
      <c r="D263" s="4" t="s">
        <v>14</v>
      </c>
      <c r="E263" s="7">
        <v>45573.80201388889</v>
      </c>
      <c r="F263" s="1">
        <v>0.75420015367682192</v>
      </c>
      <c r="G263" s="1">
        <v>0.84665545241210305</v>
      </c>
      <c r="H263" s="5">
        <v>1.119412815657163</v>
      </c>
      <c r="I263" s="22">
        <v>1.1508378220603639</v>
      </c>
    </row>
    <row r="264" spans="1:9">
      <c r="A264" s="4" t="s">
        <v>72</v>
      </c>
      <c r="B264" s="4" t="s">
        <v>191</v>
      </c>
      <c r="C264" s="4">
        <v>60</v>
      </c>
      <c r="D264" s="4" t="s">
        <v>10</v>
      </c>
      <c r="E264" s="7">
        <v>45573.80568287037</v>
      </c>
      <c r="F264" s="1">
        <v>1.1771000535045477</v>
      </c>
      <c r="G264" s="1">
        <v>1.1620117710005353</v>
      </c>
      <c r="H264" s="5">
        <v>1.1508378220603639</v>
      </c>
      <c r="I264" s="22">
        <v>1.1998836576230534</v>
      </c>
    </row>
    <row r="265" spans="1:9">
      <c r="A265" s="4" t="s">
        <v>41</v>
      </c>
      <c r="B265" s="4" t="s">
        <v>192</v>
      </c>
      <c r="C265" s="4">
        <v>240</v>
      </c>
      <c r="D265" s="4" t="s">
        <v>20</v>
      </c>
      <c r="E265" s="7">
        <v>45573.821157407408</v>
      </c>
      <c r="F265" s="1">
        <v>0.42412698412698413</v>
      </c>
      <c r="G265" s="1">
        <v>0.2904761904761905</v>
      </c>
      <c r="H265" s="5">
        <v>1.1998836576230534</v>
      </c>
      <c r="I265" s="22">
        <v>1.2175556152950111</v>
      </c>
    </row>
    <row r="266" spans="1:9">
      <c r="A266" s="4" t="s">
        <v>35</v>
      </c>
      <c r="B266" s="4" t="s">
        <v>193</v>
      </c>
      <c r="C266" s="4">
        <v>48</v>
      </c>
      <c r="D266" s="4" t="s">
        <v>14</v>
      </c>
      <c r="E266" s="7">
        <v>45573.873923611114</v>
      </c>
      <c r="F266" s="1">
        <v>0.67878561904761914</v>
      </c>
      <c r="G266" s="1">
        <v>0.66262704761904767</v>
      </c>
      <c r="H266" s="5">
        <v>1.2175556152950111</v>
      </c>
      <c r="I266" s="22">
        <v>1.2458383494219953</v>
      </c>
    </row>
    <row r="267" spans="1:9">
      <c r="A267" s="4" t="s">
        <v>178</v>
      </c>
      <c r="B267" s="4" t="s">
        <v>179</v>
      </c>
      <c r="C267" s="4">
        <v>12</v>
      </c>
      <c r="D267" s="4" t="s">
        <v>20</v>
      </c>
      <c r="E267" s="17" t="s">
        <v>177</v>
      </c>
      <c r="F267" s="1">
        <v>1.2</v>
      </c>
      <c r="G267" s="1" t="s">
        <v>11</v>
      </c>
      <c r="H267" s="5">
        <v>1.2458383494219953</v>
      </c>
      <c r="I267" s="22">
        <v>1.2958383494219954</v>
      </c>
    </row>
    <row r="268" spans="1:9">
      <c r="A268" s="4" t="s">
        <v>12</v>
      </c>
      <c r="B268" s="4" t="s">
        <v>181</v>
      </c>
      <c r="C268" s="4">
        <v>60</v>
      </c>
      <c r="D268" s="4" t="s">
        <v>10</v>
      </c>
      <c r="E268" s="17" t="s">
        <v>177</v>
      </c>
      <c r="F268" s="1">
        <v>0.27796085959579803</v>
      </c>
      <c r="G268" s="1" t="s">
        <v>11</v>
      </c>
      <c r="H268" s="5">
        <v>1.2958383494219954</v>
      </c>
      <c r="I268" s="22">
        <v>1.3074200519051535</v>
      </c>
    </row>
    <row r="269" spans="1:9">
      <c r="A269" s="4" t="s">
        <v>184</v>
      </c>
      <c r="B269" s="4" t="s">
        <v>185</v>
      </c>
      <c r="C269" s="4">
        <v>48</v>
      </c>
      <c r="D269" s="4" t="s">
        <v>10</v>
      </c>
      <c r="E269" s="17" t="s">
        <v>177</v>
      </c>
      <c r="F269" s="1">
        <v>0.93290043290043234</v>
      </c>
      <c r="G269" s="1" t="s">
        <v>11</v>
      </c>
      <c r="H269" s="5">
        <v>1.3074200519051535</v>
      </c>
      <c r="I269" s="22">
        <v>1.3462909032760049</v>
      </c>
    </row>
    <row r="270" spans="1:9">
      <c r="A270" s="4" t="s">
        <v>63</v>
      </c>
      <c r="B270" s="4" t="s">
        <v>187</v>
      </c>
      <c r="C270" s="4">
        <v>60</v>
      </c>
      <c r="D270" s="4" t="s">
        <v>10</v>
      </c>
      <c r="E270" s="7">
        <v>45573.742210648146</v>
      </c>
      <c r="F270" s="1">
        <v>0.52633281573498936</v>
      </c>
      <c r="G270" s="1" t="s">
        <v>11</v>
      </c>
      <c r="H270" s="5">
        <v>1.3462909032760049</v>
      </c>
      <c r="I270" s="22">
        <v>1.3682214372649628</v>
      </c>
    </row>
    <row r="271" spans="1:9">
      <c r="A271" s="4" t="s">
        <v>58</v>
      </c>
      <c r="B271" s="4" t="s">
        <v>189</v>
      </c>
      <c r="C271" s="4">
        <v>96</v>
      </c>
      <c r="D271" s="4" t="s">
        <v>20</v>
      </c>
      <c r="E271" s="7">
        <v>45573.767592592594</v>
      </c>
      <c r="F271" s="1">
        <v>0.49404761904761907</v>
      </c>
      <c r="G271" s="1" t="s">
        <v>11</v>
      </c>
      <c r="H271" s="5">
        <v>1.3682214372649628</v>
      </c>
      <c r="I271" s="22">
        <v>1.3888067547252803</v>
      </c>
    </row>
    <row r="272" spans="1:9">
      <c r="A272" s="4" t="s">
        <v>138</v>
      </c>
      <c r="B272" s="4" t="s">
        <v>139</v>
      </c>
      <c r="C272" s="4">
        <v>14</v>
      </c>
      <c r="D272" s="4" t="s">
        <v>20</v>
      </c>
      <c r="E272" s="7" t="s">
        <v>177</v>
      </c>
      <c r="F272" s="1" t="s">
        <v>11</v>
      </c>
      <c r="G272" s="1" t="s">
        <v>11</v>
      </c>
    </row>
    <row r="273" spans="1:10">
      <c r="A273" s="4" t="s">
        <v>140</v>
      </c>
      <c r="B273" s="4" t="s">
        <v>141</v>
      </c>
      <c r="C273" s="4">
        <v>30</v>
      </c>
      <c r="D273" s="4" t="s">
        <v>14</v>
      </c>
      <c r="E273" s="7" t="s">
        <v>177</v>
      </c>
      <c r="F273" s="1" t="s">
        <v>11</v>
      </c>
      <c r="G273" s="1" t="s">
        <v>11</v>
      </c>
    </row>
    <row r="274" spans="1:10">
      <c r="A274" s="4" t="s">
        <v>142</v>
      </c>
      <c r="B274" s="4" t="s">
        <v>143</v>
      </c>
      <c r="C274" s="4">
        <v>14</v>
      </c>
      <c r="D274" s="4" t="s">
        <v>20</v>
      </c>
      <c r="E274" s="7" t="s">
        <v>177</v>
      </c>
      <c r="F274" s="1" t="s">
        <v>11</v>
      </c>
      <c r="G274" s="1" t="s">
        <v>11</v>
      </c>
    </row>
    <row r="275" spans="1:10">
      <c r="A275" s="4" t="s">
        <v>144</v>
      </c>
      <c r="B275" s="4" t="s">
        <v>145</v>
      </c>
      <c r="C275" s="4">
        <v>3</v>
      </c>
      <c r="D275" s="4" t="s">
        <v>20</v>
      </c>
      <c r="E275" s="7" t="s">
        <v>177</v>
      </c>
      <c r="F275" s="1" t="s">
        <v>11</v>
      </c>
      <c r="G275" s="1" t="s">
        <v>11</v>
      </c>
    </row>
    <row r="276" spans="1:10">
      <c r="A276" s="4" t="s">
        <v>146</v>
      </c>
      <c r="B276" s="4" t="s">
        <v>147</v>
      </c>
      <c r="C276" s="4">
        <v>15</v>
      </c>
      <c r="D276" s="4" t="s">
        <v>14</v>
      </c>
      <c r="E276" s="7" t="s">
        <v>177</v>
      </c>
      <c r="F276" s="1" t="s">
        <v>11</v>
      </c>
      <c r="G276" s="1" t="s">
        <v>11</v>
      </c>
    </row>
    <row r="277" spans="1:10">
      <c r="A277" s="4" t="s">
        <v>153</v>
      </c>
      <c r="B277" s="4" t="s">
        <v>154</v>
      </c>
      <c r="C277" s="4">
        <v>25</v>
      </c>
      <c r="D277" s="4" t="s">
        <v>14</v>
      </c>
      <c r="E277" s="7" t="s">
        <v>177</v>
      </c>
      <c r="F277" s="1" t="s">
        <v>11</v>
      </c>
      <c r="G277" s="1" t="s">
        <v>11</v>
      </c>
    </row>
    <row r="278" spans="1:10">
      <c r="A278" s="4" t="s">
        <v>155</v>
      </c>
      <c r="B278" s="4" t="s">
        <v>156</v>
      </c>
      <c r="C278" s="4">
        <v>10</v>
      </c>
      <c r="D278" s="4" t="s">
        <v>20</v>
      </c>
      <c r="E278" s="7" t="s">
        <v>177</v>
      </c>
      <c r="F278" s="1" t="s">
        <v>11</v>
      </c>
      <c r="G278" s="1" t="s">
        <v>11</v>
      </c>
    </row>
    <row r="279" spans="1:10">
      <c r="A279" s="4" t="s">
        <v>165</v>
      </c>
      <c r="B279" s="4" t="s">
        <v>166</v>
      </c>
      <c r="C279" s="4">
        <v>14</v>
      </c>
      <c r="D279" s="4" t="s">
        <v>20</v>
      </c>
      <c r="E279" s="7" t="s">
        <v>177</v>
      </c>
      <c r="F279" s="1" t="s">
        <v>11</v>
      </c>
      <c r="G279" s="1" t="s">
        <v>11</v>
      </c>
    </row>
    <row r="280" spans="1:10">
      <c r="A280" s="4" t="s">
        <v>162</v>
      </c>
      <c r="B280" s="4" t="s">
        <v>163</v>
      </c>
      <c r="C280" s="4">
        <v>3</v>
      </c>
      <c r="D280" s="4" t="s">
        <v>20</v>
      </c>
      <c r="E280" s="7" t="s">
        <v>177</v>
      </c>
      <c r="F280" s="1" t="s">
        <v>11</v>
      </c>
      <c r="G280" s="1" t="s">
        <v>11</v>
      </c>
    </row>
    <row r="281" spans="1:10">
      <c r="A281" s="4" t="s">
        <v>175</v>
      </c>
      <c r="B281" s="4" t="s">
        <v>176</v>
      </c>
      <c r="C281" s="4">
        <v>60</v>
      </c>
      <c r="D281" s="4" t="s">
        <v>14</v>
      </c>
      <c r="E281" s="7" t="s">
        <v>177</v>
      </c>
      <c r="F281" s="1" t="s">
        <v>11</v>
      </c>
      <c r="G281" s="1" t="s">
        <v>11</v>
      </c>
    </row>
    <row r="282" spans="1:10" s="14" customFormat="1" ht="10.5" customHeight="1">
      <c r="A282" s="9"/>
      <c r="B282" s="9"/>
      <c r="C282" s="9"/>
      <c r="D282" s="9"/>
      <c r="E282" s="12"/>
      <c r="F282" s="10"/>
      <c r="G282" s="10"/>
      <c r="H282" s="11"/>
      <c r="I282" s="23"/>
      <c r="J282" s="9"/>
    </row>
    <row r="283" spans="1:10">
      <c r="A283" s="4" t="s">
        <v>214</v>
      </c>
      <c r="B283" s="4" t="s">
        <v>215</v>
      </c>
      <c r="C283" s="4">
        <v>48</v>
      </c>
      <c r="D283" s="4" t="s">
        <v>14</v>
      </c>
      <c r="E283" s="19" t="s">
        <v>65</v>
      </c>
      <c r="F283" s="15">
        <v>1</v>
      </c>
      <c r="G283" s="15">
        <v>1</v>
      </c>
      <c r="H283" s="5">
        <v>0.72916666666666663</v>
      </c>
      <c r="I283" s="22">
        <v>0.77083333333333326</v>
      </c>
      <c r="J283" s="4" t="s">
        <v>245</v>
      </c>
    </row>
    <row r="284" spans="1:10">
      <c r="A284" s="4" t="s">
        <v>18</v>
      </c>
      <c r="B284" s="4" t="s">
        <v>199</v>
      </c>
      <c r="C284" s="4">
        <v>288</v>
      </c>
      <c r="D284" s="4" t="s">
        <v>14</v>
      </c>
      <c r="E284" s="19" t="s">
        <v>65</v>
      </c>
      <c r="F284" s="1">
        <v>2.428571428571427</v>
      </c>
      <c r="G284" s="1">
        <v>1.9523809523809526</v>
      </c>
      <c r="H284" s="5">
        <v>0.77083333333333326</v>
      </c>
      <c r="I284" s="22">
        <v>0.87202380952380942</v>
      </c>
      <c r="J284" s="4" t="s">
        <v>245</v>
      </c>
    </row>
    <row r="285" spans="1:10">
      <c r="A285" s="4" t="s">
        <v>202</v>
      </c>
      <c r="B285" s="4" t="s">
        <v>203</v>
      </c>
      <c r="C285" s="4">
        <v>1</v>
      </c>
      <c r="D285" s="4" t="s">
        <v>20</v>
      </c>
      <c r="E285" s="17">
        <v>45574.72415509259</v>
      </c>
      <c r="F285" s="1">
        <v>0.33333333333333337</v>
      </c>
      <c r="G285" s="1" t="s">
        <v>11</v>
      </c>
      <c r="H285" s="5">
        <v>0.87202380952380942</v>
      </c>
      <c r="I285" s="22">
        <v>0.88591269841269826</v>
      </c>
      <c r="J285" s="4" t="s">
        <v>245</v>
      </c>
    </row>
    <row r="286" spans="1:10">
      <c r="A286" s="4" t="s">
        <v>206</v>
      </c>
      <c r="B286" s="4" t="s">
        <v>207</v>
      </c>
      <c r="C286" s="4">
        <v>24</v>
      </c>
      <c r="D286" s="4" t="s">
        <v>20</v>
      </c>
      <c r="E286" s="17">
        <v>45574.790613425925</v>
      </c>
      <c r="F286" s="1">
        <v>0.36734693877551017</v>
      </c>
      <c r="G286" s="1" t="s">
        <v>11</v>
      </c>
      <c r="H286" s="5">
        <v>0.88591269841269826</v>
      </c>
      <c r="I286" s="22">
        <v>0.90121882086167782</v>
      </c>
      <c r="J286" s="4" t="s">
        <v>245</v>
      </c>
    </row>
    <row r="287" spans="1:10">
      <c r="A287" s="4" t="s">
        <v>208</v>
      </c>
      <c r="B287" s="4" t="s">
        <v>209</v>
      </c>
      <c r="C287" s="4">
        <v>48</v>
      </c>
      <c r="D287" s="4" t="s">
        <v>20</v>
      </c>
      <c r="E287" s="17">
        <v>45574.814479166664</v>
      </c>
      <c r="F287" s="1">
        <v>0.29563492063492047</v>
      </c>
      <c r="G287" s="1" t="s">
        <v>11</v>
      </c>
      <c r="H287" s="5">
        <v>0.90121882086167782</v>
      </c>
      <c r="I287" s="22">
        <v>0.91353694255479945</v>
      </c>
      <c r="J287" s="4" t="s">
        <v>245</v>
      </c>
    </row>
    <row r="288" spans="1:10">
      <c r="A288" s="4" t="s">
        <v>210</v>
      </c>
      <c r="B288" s="4" t="s">
        <v>211</v>
      </c>
      <c r="C288" s="4">
        <v>5</v>
      </c>
      <c r="D288" s="4" t="s">
        <v>20</v>
      </c>
      <c r="E288" s="7">
        <v>45574.850671296299</v>
      </c>
      <c r="F288" s="1">
        <v>0.25793650793650796</v>
      </c>
      <c r="G288" s="1" t="s">
        <v>11</v>
      </c>
      <c r="H288" s="5">
        <v>0.91353694255479945</v>
      </c>
      <c r="I288" s="22">
        <v>0.92428429705215398</v>
      </c>
      <c r="J288" s="4" t="s">
        <v>245</v>
      </c>
    </row>
    <row r="289" spans="1:10">
      <c r="A289" s="4" t="s">
        <v>64</v>
      </c>
      <c r="B289" s="4" t="s">
        <v>197</v>
      </c>
      <c r="C289" s="4">
        <v>48</v>
      </c>
      <c r="D289" s="4" t="s">
        <v>10</v>
      </c>
      <c r="E289" s="7" t="s">
        <v>65</v>
      </c>
      <c r="F289" s="1">
        <v>1.1933611768060515</v>
      </c>
      <c r="G289" s="1">
        <v>0.90150790855264284</v>
      </c>
      <c r="H289" s="5">
        <v>0.72916666666666663</v>
      </c>
      <c r="I289" s="22">
        <v>0.7788900490335855</v>
      </c>
      <c r="J289" s="4" t="s">
        <v>246</v>
      </c>
    </row>
    <row r="290" spans="1:10">
      <c r="A290" s="4" t="s">
        <v>31</v>
      </c>
      <c r="B290" s="4" t="s">
        <v>198</v>
      </c>
      <c r="C290" s="4">
        <v>240</v>
      </c>
      <c r="D290" s="4" t="s">
        <v>20</v>
      </c>
      <c r="E290" s="7" t="s">
        <v>65</v>
      </c>
      <c r="F290" s="1">
        <v>1.3637425534400189</v>
      </c>
      <c r="G290" s="1">
        <v>0.95569053459486664</v>
      </c>
      <c r="H290" s="5">
        <v>0.7788900490335855</v>
      </c>
      <c r="I290" s="22">
        <v>0.83571265542691964</v>
      </c>
      <c r="J290" s="4" t="s">
        <v>246</v>
      </c>
    </row>
    <row r="291" spans="1:10">
      <c r="A291" s="4" t="s">
        <v>200</v>
      </c>
      <c r="B291" s="4" t="s">
        <v>201</v>
      </c>
      <c r="C291" s="4">
        <v>96</v>
      </c>
      <c r="D291" s="4" t="s">
        <v>20</v>
      </c>
      <c r="E291" s="7" t="s">
        <v>65</v>
      </c>
      <c r="F291" s="1">
        <v>0.51322751322751325</v>
      </c>
      <c r="G291" s="1">
        <v>0.44444444444444448</v>
      </c>
      <c r="H291" s="5">
        <v>0.83571265542691964</v>
      </c>
      <c r="I291" s="22">
        <v>0.85709713514473274</v>
      </c>
      <c r="J291" s="4" t="s">
        <v>246</v>
      </c>
    </row>
    <row r="292" spans="1:10">
      <c r="A292" s="4" t="s">
        <v>204</v>
      </c>
      <c r="B292" s="4" t="s">
        <v>205</v>
      </c>
      <c r="C292" s="4">
        <v>24</v>
      </c>
      <c r="D292" s="4" t="s">
        <v>20</v>
      </c>
      <c r="E292" s="7">
        <v>45574.777719907404</v>
      </c>
      <c r="F292" s="1">
        <v>0.42063492063492069</v>
      </c>
      <c r="G292" s="1">
        <v>1.3929333333333334</v>
      </c>
      <c r="H292" s="5">
        <v>0.85709713514473274</v>
      </c>
      <c r="I292" s="22">
        <v>0.87462359017118774</v>
      </c>
      <c r="J292" s="4" t="s">
        <v>246</v>
      </c>
    </row>
    <row r="293" spans="1:10">
      <c r="A293" s="4" t="s">
        <v>71</v>
      </c>
      <c r="B293" s="4" t="s">
        <v>212</v>
      </c>
      <c r="C293" s="4">
        <v>48</v>
      </c>
      <c r="D293" s="4" t="s">
        <v>20</v>
      </c>
      <c r="E293" s="7">
        <v>45574.889155092591</v>
      </c>
      <c r="F293" s="1">
        <v>1.0952380952380953</v>
      </c>
      <c r="G293" s="1">
        <v>0.4844178509099975</v>
      </c>
      <c r="H293" s="5">
        <v>0.87462359017118774</v>
      </c>
      <c r="I293" s="22">
        <v>0.92025851080610832</v>
      </c>
      <c r="J293" s="4" t="s">
        <v>246</v>
      </c>
    </row>
    <row r="294" spans="1:10">
      <c r="A294" s="4" t="s">
        <v>79</v>
      </c>
      <c r="B294" s="4" t="s">
        <v>213</v>
      </c>
      <c r="C294" s="4">
        <v>48</v>
      </c>
      <c r="D294" s="4" t="s">
        <v>20</v>
      </c>
      <c r="E294" s="7">
        <v>45574.932152777779</v>
      </c>
      <c r="F294" s="1">
        <v>0.32837301587301587</v>
      </c>
      <c r="G294" s="1">
        <v>1.142857142857143</v>
      </c>
      <c r="H294" s="5">
        <v>0.92025851080610832</v>
      </c>
      <c r="I294" s="22">
        <v>0.93394071980081728</v>
      </c>
      <c r="J294" s="4" t="s">
        <v>246</v>
      </c>
    </row>
    <row r="295" spans="1:10">
      <c r="A295" s="4" t="s">
        <v>178</v>
      </c>
      <c r="B295" s="4" t="s">
        <v>179</v>
      </c>
      <c r="C295" s="4">
        <v>12</v>
      </c>
      <c r="D295" s="4" t="s">
        <v>20</v>
      </c>
      <c r="E295" s="7" t="s">
        <v>65</v>
      </c>
      <c r="F295" s="1">
        <v>1.2</v>
      </c>
      <c r="G295" s="1" t="s">
        <v>11</v>
      </c>
      <c r="H295" s="5">
        <v>0.93394071980081728</v>
      </c>
      <c r="I295" s="22">
        <v>0.98394071980081732</v>
      </c>
      <c r="J295" s="4" t="s">
        <v>246</v>
      </c>
    </row>
    <row r="296" spans="1:10" s="14" customFormat="1" ht="10.5" customHeight="1">
      <c r="A296" s="9"/>
      <c r="B296" s="9"/>
      <c r="C296" s="9"/>
      <c r="D296" s="9"/>
      <c r="E296" s="12"/>
      <c r="F296" s="10"/>
      <c r="G296" s="10"/>
      <c r="H296" s="11"/>
      <c r="I296" s="23"/>
      <c r="J296" s="9"/>
    </row>
    <row r="297" spans="1:10">
      <c r="A297" s="4" t="s">
        <v>18</v>
      </c>
      <c r="B297" s="4" t="s">
        <v>223</v>
      </c>
      <c r="C297" s="4">
        <v>288</v>
      </c>
      <c r="D297" s="4" t="s">
        <v>14</v>
      </c>
      <c r="E297" s="17" t="s">
        <v>65</v>
      </c>
      <c r="F297" s="1">
        <v>2.428571428571427</v>
      </c>
      <c r="G297" s="1">
        <v>1.9523809523809526</v>
      </c>
      <c r="H297" s="5">
        <v>0.72916666666666663</v>
      </c>
      <c r="I297" s="22">
        <v>0.83035714285714279</v>
      </c>
      <c r="J297" s="4" t="s">
        <v>245</v>
      </c>
    </row>
    <row r="298" spans="1:10">
      <c r="A298" s="4" t="s">
        <v>116</v>
      </c>
      <c r="B298" s="4" t="s">
        <v>226</v>
      </c>
      <c r="C298" s="4">
        <v>24</v>
      </c>
      <c r="D298" s="4" t="s">
        <v>20</v>
      </c>
      <c r="E298" s="17" t="s">
        <v>65</v>
      </c>
      <c r="F298" s="1">
        <v>0.85714285714285721</v>
      </c>
      <c r="G298" s="1">
        <v>1.0952380952380953</v>
      </c>
      <c r="H298" s="5">
        <v>0.83035714285714279</v>
      </c>
      <c r="I298" s="22">
        <v>0.86607142857142849</v>
      </c>
      <c r="J298" s="4" t="s">
        <v>245</v>
      </c>
    </row>
    <row r="299" spans="1:10">
      <c r="A299" s="4" t="s">
        <v>218</v>
      </c>
      <c r="B299" s="4" t="s">
        <v>219</v>
      </c>
      <c r="C299" s="4">
        <v>12</v>
      </c>
      <c r="D299" s="4" t="s">
        <v>20</v>
      </c>
      <c r="E299" s="17" t="s">
        <v>65</v>
      </c>
      <c r="F299" s="15">
        <v>0.5</v>
      </c>
      <c r="G299" s="1" t="s">
        <v>11</v>
      </c>
      <c r="H299" s="5">
        <v>0.86607142857142849</v>
      </c>
      <c r="I299" s="22">
        <v>0.88690476190476186</v>
      </c>
      <c r="J299" s="4" t="s">
        <v>245</v>
      </c>
    </row>
    <row r="300" spans="1:10">
      <c r="A300" s="4" t="s">
        <v>220</v>
      </c>
      <c r="B300" s="4" t="s">
        <v>221</v>
      </c>
      <c r="C300" s="4">
        <v>1</v>
      </c>
      <c r="D300" s="4" t="s">
        <v>20</v>
      </c>
      <c r="E300" s="17" t="s">
        <v>65</v>
      </c>
      <c r="F300" s="1">
        <v>0.26984126984126983</v>
      </c>
      <c r="G300" s="1" t="s">
        <v>11</v>
      </c>
      <c r="H300" s="5">
        <v>0.88690476190476186</v>
      </c>
      <c r="I300" s="22">
        <v>0.89814814814814814</v>
      </c>
      <c r="J300" s="4" t="s">
        <v>245</v>
      </c>
    </row>
    <row r="301" spans="1:10">
      <c r="A301" s="4" t="s">
        <v>228</v>
      </c>
      <c r="B301" s="4" t="s">
        <v>229</v>
      </c>
      <c r="C301" s="4">
        <v>24</v>
      </c>
      <c r="D301" s="4" t="s">
        <v>20</v>
      </c>
      <c r="E301" s="17" t="s">
        <v>65</v>
      </c>
      <c r="F301" s="1">
        <v>2.7947962690230734</v>
      </c>
      <c r="G301" s="1" t="s">
        <v>11</v>
      </c>
      <c r="H301" s="5">
        <v>0.89814814814814814</v>
      </c>
      <c r="I301" s="22">
        <v>1.0145979926907762</v>
      </c>
      <c r="J301" s="4" t="s">
        <v>245</v>
      </c>
    </row>
    <row r="302" spans="1:10">
      <c r="A302" s="4" t="s">
        <v>231</v>
      </c>
      <c r="B302" s="4" t="s">
        <v>232</v>
      </c>
      <c r="C302" s="4">
        <v>96</v>
      </c>
      <c r="D302" s="4" t="s">
        <v>20</v>
      </c>
      <c r="E302" s="17" t="s">
        <v>65</v>
      </c>
      <c r="F302" s="1">
        <v>0.32279550651158173</v>
      </c>
      <c r="G302" s="1" t="s">
        <v>11</v>
      </c>
      <c r="H302" s="5">
        <v>1.0145979926907762</v>
      </c>
      <c r="I302" s="22">
        <v>1.0280478054620921</v>
      </c>
      <c r="J302" s="4" t="s">
        <v>245</v>
      </c>
    </row>
    <row r="303" spans="1:10">
      <c r="A303" s="4" t="s">
        <v>234</v>
      </c>
      <c r="B303" s="4" t="s">
        <v>235</v>
      </c>
      <c r="C303" s="4">
        <v>168</v>
      </c>
      <c r="D303" s="4" t="s">
        <v>20</v>
      </c>
      <c r="E303" s="7">
        <v>45575.769837962966</v>
      </c>
      <c r="F303" s="1">
        <v>0.43750000000000006</v>
      </c>
      <c r="G303" s="1" t="s">
        <v>11</v>
      </c>
      <c r="H303" s="5">
        <v>1.0280478054620921</v>
      </c>
      <c r="I303" s="22">
        <v>1.0462769721287588</v>
      </c>
      <c r="J303" s="4" t="s">
        <v>245</v>
      </c>
    </row>
    <row r="304" spans="1:10">
      <c r="A304" s="4" t="s">
        <v>44</v>
      </c>
      <c r="B304" s="4" t="s">
        <v>222</v>
      </c>
      <c r="C304" s="4">
        <v>60</v>
      </c>
      <c r="D304" s="4" t="s">
        <v>10</v>
      </c>
      <c r="E304" s="7" t="s">
        <v>65</v>
      </c>
      <c r="F304" s="1">
        <v>1.8286112596039952</v>
      </c>
      <c r="G304" s="1">
        <v>2.2697923545381169</v>
      </c>
      <c r="H304" s="5">
        <v>0.72916666666666663</v>
      </c>
      <c r="I304" s="22">
        <v>0.80535880248349978</v>
      </c>
      <c r="J304" s="4" t="s">
        <v>246</v>
      </c>
    </row>
    <row r="305" spans="1:10">
      <c r="A305" s="4" t="s">
        <v>74</v>
      </c>
      <c r="B305" s="4" t="s">
        <v>227</v>
      </c>
      <c r="C305" s="4">
        <v>60</v>
      </c>
      <c r="D305" s="4" t="s">
        <v>10</v>
      </c>
      <c r="E305" s="7" t="s">
        <v>65</v>
      </c>
      <c r="F305" s="1">
        <v>0.40219222485232387</v>
      </c>
      <c r="G305" s="1">
        <v>0.43721877465719833</v>
      </c>
      <c r="H305" s="5">
        <v>0.80535880248349978</v>
      </c>
      <c r="I305" s="22">
        <v>0.82211681185234664</v>
      </c>
      <c r="J305" s="4" t="s">
        <v>246</v>
      </c>
    </row>
    <row r="306" spans="1:10">
      <c r="A306" s="4" t="s">
        <v>106</v>
      </c>
      <c r="B306" s="4" t="s">
        <v>224</v>
      </c>
      <c r="C306" s="4">
        <v>60</v>
      </c>
      <c r="D306" s="4" t="s">
        <v>10</v>
      </c>
      <c r="E306" s="7" t="s">
        <v>65</v>
      </c>
      <c r="F306" s="1">
        <v>0.24850645386359674</v>
      </c>
      <c r="G306" s="1" t="s">
        <v>11</v>
      </c>
      <c r="H306" s="5">
        <v>0.82211681185234664</v>
      </c>
      <c r="I306" s="22">
        <v>0.83247124742999645</v>
      </c>
      <c r="J306" s="4" t="s">
        <v>246</v>
      </c>
    </row>
    <row r="307" spans="1:10">
      <c r="A307" s="4" t="s">
        <v>85</v>
      </c>
      <c r="B307" s="4" t="s">
        <v>225</v>
      </c>
      <c r="C307" s="4">
        <v>48</v>
      </c>
      <c r="D307" s="4" t="s">
        <v>10</v>
      </c>
      <c r="E307" s="7" t="s">
        <v>65</v>
      </c>
      <c r="F307" s="1">
        <v>0.25685527019796683</v>
      </c>
      <c r="G307" s="1" t="s">
        <v>11</v>
      </c>
      <c r="H307" s="5">
        <v>0.83247124742999645</v>
      </c>
      <c r="I307" s="22">
        <v>0.84317355035491171</v>
      </c>
      <c r="J307" s="4" t="s">
        <v>246</v>
      </c>
    </row>
    <row r="308" spans="1:10">
      <c r="A308" s="4" t="s">
        <v>9</v>
      </c>
      <c r="B308" s="4" t="s">
        <v>230</v>
      </c>
      <c r="C308" s="4">
        <v>48</v>
      </c>
      <c r="D308" s="4" t="s">
        <v>10</v>
      </c>
      <c r="E308" s="7" t="s">
        <v>65</v>
      </c>
      <c r="F308" s="1">
        <v>0.26879181424635967</v>
      </c>
      <c r="G308" s="1" t="s">
        <v>11</v>
      </c>
      <c r="H308" s="5">
        <v>0.84317355035491171</v>
      </c>
      <c r="I308" s="22">
        <v>0.85437320928184335</v>
      </c>
      <c r="J308" s="4" t="s">
        <v>246</v>
      </c>
    </row>
    <row r="309" spans="1:10">
      <c r="A309" s="4" t="s">
        <v>12</v>
      </c>
      <c r="B309" s="4" t="s">
        <v>233</v>
      </c>
      <c r="C309" s="4">
        <v>60</v>
      </c>
      <c r="D309" s="4" t="s">
        <v>10</v>
      </c>
      <c r="E309" s="7">
        <v>45575.742442129631</v>
      </c>
      <c r="F309" s="1">
        <v>0.27796085959579803</v>
      </c>
      <c r="G309" s="1" t="s">
        <v>11</v>
      </c>
      <c r="H309" s="5">
        <v>0.85437320928184335</v>
      </c>
      <c r="I309" s="22">
        <v>0.86595491176500161</v>
      </c>
      <c r="J309" s="4" t="s">
        <v>246</v>
      </c>
    </row>
    <row r="310" spans="1:10">
      <c r="A310" s="4" t="s">
        <v>72</v>
      </c>
      <c r="B310" s="4" t="s">
        <v>239</v>
      </c>
      <c r="C310" s="4">
        <v>60</v>
      </c>
      <c r="D310" s="4" t="s">
        <v>10</v>
      </c>
      <c r="E310" s="7">
        <v>45575.873854166668</v>
      </c>
      <c r="F310" s="1">
        <v>1.1771000535045477</v>
      </c>
      <c r="G310" s="1">
        <v>1.1620117710005353</v>
      </c>
      <c r="H310" s="5">
        <v>0.86595491176500161</v>
      </c>
      <c r="I310" s="22">
        <v>0.9150007473276911</v>
      </c>
      <c r="J310" s="4" t="s">
        <v>246</v>
      </c>
    </row>
    <row r="311" spans="1:10">
      <c r="A311" s="4" t="s">
        <v>63</v>
      </c>
      <c r="B311" s="4" t="s">
        <v>236</v>
      </c>
      <c r="C311" s="4">
        <v>60</v>
      </c>
      <c r="D311" s="4" t="s">
        <v>10</v>
      </c>
      <c r="E311" s="7">
        <v>45575.786076388889</v>
      </c>
      <c r="F311" s="1">
        <v>0.52633281573498936</v>
      </c>
      <c r="G311" s="1" t="s">
        <v>11</v>
      </c>
      <c r="H311" s="5">
        <v>0.9150007473276911</v>
      </c>
      <c r="I311" s="22">
        <v>0.93693128131664905</v>
      </c>
      <c r="J311" s="4" t="s">
        <v>246</v>
      </c>
    </row>
    <row r="312" spans="1:10">
      <c r="A312" s="4" t="s">
        <v>241</v>
      </c>
      <c r="B312" s="4" t="s">
        <v>242</v>
      </c>
      <c r="C312" s="4">
        <v>96</v>
      </c>
      <c r="D312" s="4" t="s">
        <v>10</v>
      </c>
      <c r="E312" s="7">
        <v>45576.70103009259</v>
      </c>
      <c r="F312" s="1">
        <v>0.25652841904761908</v>
      </c>
      <c r="G312" s="1" t="s">
        <v>11</v>
      </c>
      <c r="H312" s="5">
        <v>0.93693128131664905</v>
      </c>
      <c r="I312" s="22">
        <v>0.94761996544363314</v>
      </c>
      <c r="J312" s="4" t="s">
        <v>246</v>
      </c>
    </row>
    <row r="313" spans="1:10">
      <c r="A313" s="4" t="s">
        <v>237</v>
      </c>
      <c r="B313" s="4" t="s">
        <v>238</v>
      </c>
      <c r="C313" s="4">
        <v>48</v>
      </c>
      <c r="D313" s="4" t="s">
        <v>20</v>
      </c>
      <c r="E313" s="7">
        <v>45575.796620370369</v>
      </c>
      <c r="F313" s="1">
        <v>0.5357142857142857</v>
      </c>
      <c r="G313" s="1" t="s">
        <v>11</v>
      </c>
      <c r="H313" s="5">
        <v>0.94761996544363314</v>
      </c>
      <c r="I313" s="22">
        <v>0.96994139401506174</v>
      </c>
      <c r="J313" s="4" t="s">
        <v>246</v>
      </c>
    </row>
    <row r="314" spans="1:10">
      <c r="A314" s="4" t="s">
        <v>82</v>
      </c>
      <c r="B314" s="4" t="s">
        <v>240</v>
      </c>
      <c r="C314" s="4">
        <v>96</v>
      </c>
      <c r="D314" s="4" t="s">
        <v>20</v>
      </c>
      <c r="E314" s="7">
        <v>45575.902962962966</v>
      </c>
      <c r="F314" s="1">
        <v>0.85634920634920642</v>
      </c>
      <c r="G314" s="1" t="s">
        <v>11</v>
      </c>
      <c r="H314" s="5">
        <v>0.96994139401506174</v>
      </c>
      <c r="I314" s="22">
        <v>1.0056226109462787</v>
      </c>
      <c r="J314" s="4" t="s">
        <v>246</v>
      </c>
    </row>
    <row r="315" spans="1:10" s="14" customFormat="1" ht="10.5" customHeight="1">
      <c r="A315" s="9"/>
      <c r="B315" s="9"/>
      <c r="C315" s="9"/>
      <c r="D315" s="9"/>
      <c r="E315" s="12"/>
      <c r="F315" s="10"/>
      <c r="G315" s="10"/>
      <c r="H315" s="11"/>
      <c r="I315" s="23"/>
      <c r="J315" s="9"/>
    </row>
    <row r="316" spans="1:10">
      <c r="A316" s="4" t="s">
        <v>21</v>
      </c>
      <c r="B316" s="4" t="s">
        <v>248</v>
      </c>
      <c r="C316" s="4">
        <v>48</v>
      </c>
      <c r="D316" s="4" t="s">
        <v>14</v>
      </c>
      <c r="E316" s="7" t="s">
        <v>65</v>
      </c>
      <c r="F316" s="1">
        <v>0.75420015367682192</v>
      </c>
      <c r="G316" s="1">
        <v>0.84665545241210305</v>
      </c>
      <c r="H316" s="5">
        <v>0.72916666666666663</v>
      </c>
      <c r="I316" s="5">
        <v>0.76059167306986752</v>
      </c>
      <c r="J316" s="4" t="s">
        <v>245</v>
      </c>
    </row>
    <row r="317" spans="1:10">
      <c r="A317" s="4" t="s">
        <v>18</v>
      </c>
      <c r="B317" s="4" t="s">
        <v>252</v>
      </c>
      <c r="C317" s="4">
        <v>288</v>
      </c>
      <c r="D317" s="4" t="s">
        <v>14</v>
      </c>
      <c r="E317" s="7">
        <v>45576.778298611112</v>
      </c>
      <c r="F317" s="1">
        <v>2.428571428571427</v>
      </c>
      <c r="G317" s="1">
        <v>1.9523809523809526</v>
      </c>
      <c r="H317" s="5">
        <v>0.76059167306986752</v>
      </c>
      <c r="I317" s="5">
        <v>0.86178214926034369</v>
      </c>
      <c r="J317" s="4" t="s">
        <v>245</v>
      </c>
    </row>
    <row r="318" spans="1:10">
      <c r="A318" s="4" t="s">
        <v>253</v>
      </c>
      <c r="B318" s="4" t="s">
        <v>254</v>
      </c>
      <c r="C318" s="4">
        <v>20</v>
      </c>
      <c r="D318" s="4" t="s">
        <v>20</v>
      </c>
      <c r="E318" s="7" t="s">
        <v>65</v>
      </c>
      <c r="F318" s="1">
        <v>1.1428571428571426</v>
      </c>
      <c r="G318" s="1" t="s">
        <v>11</v>
      </c>
      <c r="H318" s="5">
        <v>0.86178214926034369</v>
      </c>
      <c r="I318" s="5">
        <v>0.90940119687939125</v>
      </c>
      <c r="J318" s="4" t="s">
        <v>245</v>
      </c>
    </row>
    <row r="319" spans="1:10">
      <c r="A319" s="4" t="s">
        <v>122</v>
      </c>
      <c r="B319" s="4" t="s">
        <v>256</v>
      </c>
      <c r="C319" s="4">
        <v>12</v>
      </c>
      <c r="D319" s="4" t="s">
        <v>20</v>
      </c>
      <c r="E319" s="7" t="s">
        <v>65</v>
      </c>
      <c r="F319" s="1">
        <v>0.85</v>
      </c>
      <c r="G319" s="1" t="s">
        <v>11</v>
      </c>
      <c r="H319" s="5">
        <v>0.90940119687939125</v>
      </c>
      <c r="I319" s="5">
        <v>0.9448178635460579</v>
      </c>
      <c r="J319" s="4" t="s">
        <v>245</v>
      </c>
    </row>
    <row r="320" spans="1:10">
      <c r="A320" s="4" t="s">
        <v>35</v>
      </c>
      <c r="B320" s="4" t="s">
        <v>257</v>
      </c>
      <c r="C320" s="4">
        <v>48</v>
      </c>
      <c r="D320" s="4" t="s">
        <v>14</v>
      </c>
      <c r="E320" s="7">
        <v>45576.850208333337</v>
      </c>
      <c r="F320" s="1">
        <v>0.67878561904761914</v>
      </c>
      <c r="G320" s="1">
        <v>0.66262704761904767</v>
      </c>
      <c r="H320" s="5">
        <v>0.9448178635460579</v>
      </c>
      <c r="I320" s="5">
        <v>0.97310059767304202</v>
      </c>
      <c r="J320" s="4" t="s">
        <v>245</v>
      </c>
    </row>
    <row r="321" spans="1:10">
      <c r="A321" s="4" t="s">
        <v>120</v>
      </c>
      <c r="B321" s="4" t="s">
        <v>264</v>
      </c>
      <c r="C321" s="4">
        <v>48</v>
      </c>
      <c r="D321" s="4" t="s">
        <v>20</v>
      </c>
      <c r="E321" s="7">
        <v>45576.919976851852</v>
      </c>
      <c r="F321" s="1">
        <v>1.2225957049486458</v>
      </c>
      <c r="G321" s="1">
        <v>1.2913165266106443</v>
      </c>
      <c r="H321" s="5">
        <v>0.97310059767304202</v>
      </c>
      <c r="I321" s="5">
        <v>1.0240420853792356</v>
      </c>
      <c r="J321" s="4" t="s">
        <v>245</v>
      </c>
    </row>
    <row r="322" spans="1:10">
      <c r="A322" s="4" t="s">
        <v>266</v>
      </c>
      <c r="B322" s="4" t="s">
        <v>267</v>
      </c>
      <c r="C322" s="4">
        <v>100</v>
      </c>
      <c r="D322" s="4" t="s">
        <v>20</v>
      </c>
      <c r="E322" s="7">
        <v>45576.982129629629</v>
      </c>
      <c r="F322" s="1">
        <v>0.70436507936507942</v>
      </c>
      <c r="G322" s="1">
        <v>0.56547619047619047</v>
      </c>
      <c r="H322" s="5">
        <v>1.0240420853792356</v>
      </c>
      <c r="I322" s="5">
        <v>1.0533906303527805</v>
      </c>
      <c r="J322" s="4" t="s">
        <v>245</v>
      </c>
    </row>
    <row r="323" spans="1:10">
      <c r="A323" s="4" t="s">
        <v>22</v>
      </c>
      <c r="B323" s="4" t="s">
        <v>259</v>
      </c>
      <c r="C323" s="4">
        <v>96</v>
      </c>
      <c r="D323" s="4" t="s">
        <v>20</v>
      </c>
      <c r="E323" s="7">
        <v>45576.781145833331</v>
      </c>
      <c r="F323" s="1">
        <v>0.50793650793650802</v>
      </c>
      <c r="G323" s="1" t="s">
        <v>11</v>
      </c>
      <c r="H323" s="5">
        <v>1.0533906303527805</v>
      </c>
      <c r="I323" s="5">
        <v>1.0745546515168016</v>
      </c>
      <c r="J323" s="4" t="s">
        <v>245</v>
      </c>
    </row>
    <row r="324" spans="1:10">
      <c r="A324" s="4" t="s">
        <v>119</v>
      </c>
      <c r="B324" s="4" t="s">
        <v>261</v>
      </c>
      <c r="C324" s="4">
        <v>200</v>
      </c>
      <c r="D324" s="4" t="s">
        <v>20</v>
      </c>
      <c r="E324" s="7">
        <v>45576.812881944446</v>
      </c>
      <c r="F324" s="1">
        <v>0.32379790310918294</v>
      </c>
      <c r="G324" s="1" t="s">
        <v>11</v>
      </c>
      <c r="H324" s="5">
        <v>1.0745546515168016</v>
      </c>
      <c r="I324" s="5">
        <v>1.0880462308130177</v>
      </c>
      <c r="J324" s="4" t="s">
        <v>245</v>
      </c>
    </row>
    <row r="325" spans="1:10">
      <c r="A325" s="4" t="s">
        <v>80</v>
      </c>
      <c r="B325" s="4" t="s">
        <v>262</v>
      </c>
      <c r="C325" s="4">
        <v>48</v>
      </c>
      <c r="D325" s="4" t="s">
        <v>20</v>
      </c>
      <c r="E325" s="7">
        <v>45576.862442129626</v>
      </c>
      <c r="F325" s="1">
        <v>0.46638655462184869</v>
      </c>
      <c r="G325" s="1" t="s">
        <v>11</v>
      </c>
      <c r="H325" s="5">
        <v>1.0880462308130177</v>
      </c>
      <c r="I325" s="5">
        <v>1.1074790039222613</v>
      </c>
      <c r="J325" s="4" t="s">
        <v>245</v>
      </c>
    </row>
    <row r="326" spans="1:10">
      <c r="A326" s="4" t="s">
        <v>81</v>
      </c>
      <c r="B326" s="4" t="s">
        <v>247</v>
      </c>
      <c r="C326" s="4">
        <v>48</v>
      </c>
      <c r="D326" s="4" t="s">
        <v>10</v>
      </c>
      <c r="E326" s="7" t="s">
        <v>65</v>
      </c>
      <c r="F326" s="1">
        <v>0.37202380952380959</v>
      </c>
      <c r="G326" s="1">
        <v>0.85</v>
      </c>
      <c r="H326" s="5">
        <v>0.72916666666666663</v>
      </c>
      <c r="I326" s="5">
        <v>0.74466765873015872</v>
      </c>
      <c r="J326" s="4" t="s">
        <v>246</v>
      </c>
    </row>
    <row r="327" spans="1:10">
      <c r="A327" s="4" t="s">
        <v>37</v>
      </c>
      <c r="B327" s="4" t="s">
        <v>250</v>
      </c>
      <c r="C327" s="4">
        <v>24</v>
      </c>
      <c r="D327" s="4" t="s">
        <v>10</v>
      </c>
      <c r="E327" s="7" t="s">
        <v>65</v>
      </c>
      <c r="F327" s="1">
        <v>0.8183150182857144</v>
      </c>
      <c r="G327" s="1">
        <v>0.85</v>
      </c>
      <c r="H327" s="5">
        <v>0.74466765873015872</v>
      </c>
      <c r="I327" s="5">
        <v>0.77876411782539678</v>
      </c>
      <c r="J327" s="4" t="s">
        <v>246</v>
      </c>
    </row>
    <row r="328" spans="1:10">
      <c r="A328" s="4" t="s">
        <v>44</v>
      </c>
      <c r="B328" s="4" t="s">
        <v>255</v>
      </c>
      <c r="C328" s="4">
        <v>60</v>
      </c>
      <c r="D328" s="4" t="s">
        <v>10</v>
      </c>
      <c r="E328" s="7">
        <v>45576.742245370369</v>
      </c>
      <c r="F328" s="1">
        <v>1.8286112596039952</v>
      </c>
      <c r="G328" s="1">
        <v>2.2697923545381169</v>
      </c>
      <c r="H328" s="5">
        <v>0.77876411782539678</v>
      </c>
      <c r="I328" s="5">
        <v>0.85495625364222994</v>
      </c>
      <c r="J328" s="4" t="s">
        <v>246</v>
      </c>
    </row>
    <row r="329" spans="1:10">
      <c r="A329" s="4" t="s">
        <v>151</v>
      </c>
      <c r="B329" s="4" t="s">
        <v>249</v>
      </c>
      <c r="C329" s="4">
        <v>72</v>
      </c>
      <c r="D329" s="4" t="s">
        <v>10</v>
      </c>
      <c r="E329" s="7" t="s">
        <v>65</v>
      </c>
      <c r="F329" s="1">
        <v>0.49999995238095235</v>
      </c>
      <c r="G329" s="1" t="s">
        <v>11</v>
      </c>
      <c r="H329" s="5">
        <v>0.85495625364222994</v>
      </c>
      <c r="I329" s="5">
        <v>0.87578958499143633</v>
      </c>
      <c r="J329" s="4" t="s">
        <v>246</v>
      </c>
    </row>
    <row r="330" spans="1:10">
      <c r="A330" s="4" t="s">
        <v>96</v>
      </c>
      <c r="B330" s="4" t="s">
        <v>251</v>
      </c>
      <c r="C330" s="4">
        <v>20</v>
      </c>
      <c r="D330" s="4" t="s">
        <v>10</v>
      </c>
      <c r="E330" s="7" t="s">
        <v>65</v>
      </c>
      <c r="F330" s="1">
        <v>0.85</v>
      </c>
      <c r="G330" s="1" t="s">
        <v>11</v>
      </c>
      <c r="H330" s="5">
        <v>0.87578958499143633</v>
      </c>
      <c r="I330" s="5">
        <v>0.91120625165810298</v>
      </c>
      <c r="J330" s="4" t="s">
        <v>246</v>
      </c>
    </row>
    <row r="331" spans="1:10">
      <c r="A331" s="4" t="s">
        <v>72</v>
      </c>
      <c r="B331" s="4" t="s">
        <v>265</v>
      </c>
      <c r="C331" s="4">
        <v>60</v>
      </c>
      <c r="D331" s="4" t="s">
        <v>10</v>
      </c>
      <c r="E331" s="7">
        <v>45576.927199074074</v>
      </c>
      <c r="F331" s="1">
        <v>1.1771000535045477</v>
      </c>
      <c r="G331" s="1">
        <v>1.1620117710005353</v>
      </c>
      <c r="H331" s="5">
        <v>0.91120625165810298</v>
      </c>
      <c r="I331" s="5">
        <v>0.96025208722079247</v>
      </c>
      <c r="J331" s="4" t="s">
        <v>246</v>
      </c>
    </row>
    <row r="332" spans="1:10">
      <c r="A332" s="4" t="s">
        <v>9</v>
      </c>
      <c r="B332" s="4" t="s">
        <v>258</v>
      </c>
      <c r="C332" s="4">
        <v>48</v>
      </c>
      <c r="D332" s="4" t="s">
        <v>10</v>
      </c>
      <c r="E332" s="7">
        <v>45576.766041666669</v>
      </c>
      <c r="F332" s="1">
        <v>0.26879181424635967</v>
      </c>
      <c r="G332" s="1" t="s">
        <v>11</v>
      </c>
      <c r="H332" s="5">
        <v>0.96025208722079247</v>
      </c>
      <c r="I332" s="5">
        <v>0.97145174614772412</v>
      </c>
      <c r="J332" s="4" t="s">
        <v>246</v>
      </c>
    </row>
    <row r="333" spans="1:10">
      <c r="A333" s="4" t="s">
        <v>12</v>
      </c>
      <c r="B333" s="4" t="s">
        <v>260</v>
      </c>
      <c r="C333" s="4">
        <v>60</v>
      </c>
      <c r="D333" s="4" t="s">
        <v>10</v>
      </c>
      <c r="E333" s="7">
        <v>45576.795787037037</v>
      </c>
      <c r="F333" s="1">
        <v>0.27796085959579803</v>
      </c>
      <c r="G333" s="1" t="s">
        <v>11</v>
      </c>
      <c r="H333" s="5">
        <v>0.97145174614772412</v>
      </c>
      <c r="I333" s="5">
        <v>0.98303344863088238</v>
      </c>
      <c r="J333" s="4" t="s">
        <v>246</v>
      </c>
    </row>
    <row r="334" spans="1:10">
      <c r="A334" s="4" t="s">
        <v>63</v>
      </c>
      <c r="B334" s="4" t="s">
        <v>263</v>
      </c>
      <c r="C334" s="4">
        <v>60</v>
      </c>
      <c r="D334" s="4" t="s">
        <v>10</v>
      </c>
      <c r="E334" s="7">
        <v>45576.863726851851</v>
      </c>
      <c r="F334" s="1">
        <v>0.52633281573498936</v>
      </c>
      <c r="G334" s="1" t="s">
        <v>11</v>
      </c>
      <c r="H334" s="5">
        <v>0.98303344863088238</v>
      </c>
      <c r="I334" s="5">
        <v>1.0049639826198402</v>
      </c>
      <c r="J334" s="4" t="s">
        <v>246</v>
      </c>
    </row>
    <row r="335" spans="1:10" s="14" customFormat="1" ht="10.5" customHeight="1">
      <c r="A335" s="9"/>
      <c r="B335" s="9"/>
      <c r="C335" s="9"/>
      <c r="D335" s="9"/>
      <c r="E335" s="12"/>
      <c r="F335" s="10"/>
      <c r="G335" s="10"/>
      <c r="H335" s="11"/>
      <c r="I335" s="23"/>
      <c r="J335" s="9"/>
    </row>
    <row r="336" spans="1:10">
      <c r="A336" s="4" t="s">
        <v>120</v>
      </c>
      <c r="B336" s="4" t="s">
        <v>270</v>
      </c>
      <c r="C336" s="4">
        <v>48</v>
      </c>
      <c r="D336" s="4" t="s">
        <v>20</v>
      </c>
      <c r="E336" s="18" t="s">
        <v>65</v>
      </c>
      <c r="F336" s="1">
        <v>1.2225957049486458</v>
      </c>
      <c r="G336" s="1">
        <v>1.2913165266106443</v>
      </c>
      <c r="H336" s="5">
        <v>0.72916666666666663</v>
      </c>
      <c r="I336" s="5">
        <v>0.78010815437286019</v>
      </c>
      <c r="J336" s="4" t="s">
        <v>245</v>
      </c>
    </row>
    <row r="337" spans="1:10">
      <c r="A337" s="4" t="s">
        <v>41</v>
      </c>
      <c r="B337" s="4" t="s">
        <v>272</v>
      </c>
      <c r="C337" s="4">
        <v>240</v>
      </c>
      <c r="D337" s="4" t="s">
        <v>20</v>
      </c>
      <c r="E337" s="18" t="s">
        <v>65</v>
      </c>
      <c r="F337" s="1">
        <v>0.42412698412698413</v>
      </c>
      <c r="G337" s="1">
        <v>0.2904761904761905</v>
      </c>
      <c r="H337" s="5">
        <v>0.78010815437286019</v>
      </c>
      <c r="I337" s="5">
        <v>0.7977801120448178</v>
      </c>
      <c r="J337" s="4" t="s">
        <v>245</v>
      </c>
    </row>
    <row r="338" spans="1:10">
      <c r="A338" s="4" t="s">
        <v>18</v>
      </c>
      <c r="B338" s="4" t="s">
        <v>278</v>
      </c>
      <c r="C338" s="4">
        <v>288</v>
      </c>
      <c r="D338" s="4" t="s">
        <v>14</v>
      </c>
      <c r="E338" s="18" t="s">
        <v>65</v>
      </c>
      <c r="F338" s="1">
        <v>2.428571428571427</v>
      </c>
      <c r="G338" s="1">
        <v>1.9523809523809526</v>
      </c>
      <c r="H338" s="5">
        <v>0.7977801120448178</v>
      </c>
      <c r="I338" s="5">
        <v>0.89897058823529397</v>
      </c>
      <c r="J338" s="4" t="s">
        <v>245</v>
      </c>
    </row>
    <row r="339" spans="1:10">
      <c r="A339" s="4" t="s">
        <v>21</v>
      </c>
      <c r="B339" s="4" t="s">
        <v>279</v>
      </c>
      <c r="C339" s="4">
        <v>48</v>
      </c>
      <c r="D339" s="4" t="s">
        <v>14</v>
      </c>
      <c r="E339" s="18" t="s">
        <v>65</v>
      </c>
      <c r="F339" s="1">
        <v>0.75420015367682192</v>
      </c>
      <c r="G339" s="1">
        <v>0.84665545241210305</v>
      </c>
      <c r="H339" s="5">
        <v>0.89897058823529397</v>
      </c>
      <c r="I339" s="5">
        <v>0.93039559463849486</v>
      </c>
      <c r="J339" s="4" t="s">
        <v>245</v>
      </c>
    </row>
    <row r="340" spans="1:10">
      <c r="A340" s="4" t="s">
        <v>35</v>
      </c>
      <c r="B340" s="4" t="s">
        <v>284</v>
      </c>
      <c r="C340" s="4">
        <v>60</v>
      </c>
      <c r="D340" s="4" t="s">
        <v>14</v>
      </c>
      <c r="E340" s="6">
        <v>45580.81009259259</v>
      </c>
      <c r="F340" s="1">
        <v>0.78895821428571433</v>
      </c>
      <c r="G340" s="1">
        <v>0.76876000000000011</v>
      </c>
      <c r="H340" s="5">
        <v>0.93039559463849486</v>
      </c>
      <c r="I340" s="5">
        <v>0.96326885356706626</v>
      </c>
      <c r="J340" s="4" t="s">
        <v>245</v>
      </c>
    </row>
    <row r="341" spans="1:10">
      <c r="A341" s="4" t="s">
        <v>104</v>
      </c>
      <c r="B341" s="4" t="s">
        <v>289</v>
      </c>
      <c r="C341" s="4">
        <v>48</v>
      </c>
      <c r="D341" s="4" t="s">
        <v>20</v>
      </c>
      <c r="E341" s="6">
        <v>45580.904988425929</v>
      </c>
      <c r="F341" s="1">
        <v>1.0198412698412695</v>
      </c>
      <c r="G341" s="1">
        <v>1.3789682539682542</v>
      </c>
      <c r="H341" s="5">
        <v>0.96326885356706626</v>
      </c>
      <c r="I341" s="5">
        <v>1.0057622398104524</v>
      </c>
      <c r="J341" s="4" t="s">
        <v>245</v>
      </c>
    </row>
    <row r="342" spans="1:10">
      <c r="A342" s="4" t="s">
        <v>70</v>
      </c>
      <c r="B342" s="4" t="s">
        <v>274</v>
      </c>
      <c r="C342" s="4">
        <v>18</v>
      </c>
      <c r="D342" s="4" t="s">
        <v>20</v>
      </c>
      <c r="E342" s="18" t="s">
        <v>65</v>
      </c>
      <c r="F342" s="1">
        <v>0.33213019250253289</v>
      </c>
      <c r="G342" s="1" t="s">
        <v>11</v>
      </c>
      <c r="H342" s="5">
        <v>1.0057622398104524</v>
      </c>
      <c r="I342" s="5">
        <v>1.0196009978313914</v>
      </c>
      <c r="J342" s="4" t="s">
        <v>245</v>
      </c>
    </row>
    <row r="343" spans="1:10">
      <c r="A343" s="4" t="s">
        <v>275</v>
      </c>
      <c r="B343" s="4" t="s">
        <v>276</v>
      </c>
      <c r="C343" s="4">
        <v>24</v>
      </c>
      <c r="D343" s="4" t="s">
        <v>20</v>
      </c>
      <c r="E343" s="18" t="s">
        <v>65</v>
      </c>
      <c r="F343" s="1">
        <v>0.30734610917537747</v>
      </c>
      <c r="G343" s="1" t="s">
        <v>11</v>
      </c>
      <c r="H343" s="5">
        <v>1.0196009978313914</v>
      </c>
      <c r="I343" s="5">
        <v>1.0324070857136987</v>
      </c>
      <c r="J343" s="4" t="s">
        <v>245</v>
      </c>
    </row>
    <row r="344" spans="1:10">
      <c r="A344" s="4" t="s">
        <v>281</v>
      </c>
      <c r="B344" s="4" t="s">
        <v>282</v>
      </c>
      <c r="C344" s="4">
        <v>96</v>
      </c>
      <c r="D344" s="4" t="s">
        <v>20</v>
      </c>
      <c r="E344" s="6">
        <v>45580.788391203707</v>
      </c>
      <c r="F344" s="1">
        <v>0.41666666666666674</v>
      </c>
      <c r="G344" s="1" t="s">
        <v>11</v>
      </c>
      <c r="H344" s="5">
        <v>1.0324070857136987</v>
      </c>
      <c r="I344" s="5">
        <v>1.0497681968248098</v>
      </c>
      <c r="J344" s="4" t="s">
        <v>245</v>
      </c>
    </row>
    <row r="345" spans="1:10">
      <c r="A345" s="4" t="s">
        <v>44</v>
      </c>
      <c r="B345" s="4" t="s">
        <v>271</v>
      </c>
      <c r="C345" s="4">
        <v>60</v>
      </c>
      <c r="D345" s="4" t="s">
        <v>10</v>
      </c>
      <c r="E345" s="18" t="s">
        <v>65</v>
      </c>
      <c r="F345" s="1">
        <v>1.8286112596039952</v>
      </c>
      <c r="G345" s="1">
        <v>2.2697923545381169</v>
      </c>
      <c r="H345" s="5">
        <v>0.72916666666666663</v>
      </c>
      <c r="I345" s="5">
        <v>0.80535880248349978</v>
      </c>
      <c r="J345" s="4" t="s">
        <v>246</v>
      </c>
    </row>
    <row r="346" spans="1:10">
      <c r="A346" s="4" t="s">
        <v>64</v>
      </c>
      <c r="B346" s="4" t="s">
        <v>273</v>
      </c>
      <c r="C346" s="4">
        <v>48</v>
      </c>
      <c r="D346" s="4" t="s">
        <v>10</v>
      </c>
      <c r="E346" s="18" t="s">
        <v>65</v>
      </c>
      <c r="F346" s="1">
        <v>1.1933611768060515</v>
      </c>
      <c r="G346" s="1">
        <v>0.90150790855264284</v>
      </c>
      <c r="H346" s="5">
        <v>0.80535880248349978</v>
      </c>
      <c r="I346" s="5">
        <v>0.85508218485041865</v>
      </c>
      <c r="J346" s="4" t="s">
        <v>246</v>
      </c>
    </row>
    <row r="347" spans="1:10">
      <c r="A347" s="4" t="s">
        <v>72</v>
      </c>
      <c r="B347" s="4" t="s">
        <v>280</v>
      </c>
      <c r="C347" s="4">
        <v>60</v>
      </c>
      <c r="D347" s="4" t="s">
        <v>10</v>
      </c>
      <c r="E347" s="18" t="s">
        <v>65</v>
      </c>
      <c r="F347" s="1">
        <v>1.1771000535045477</v>
      </c>
      <c r="G347" s="1">
        <v>1.1620117710005353</v>
      </c>
      <c r="H347" s="5">
        <v>0.85508218485041865</v>
      </c>
      <c r="I347" s="5">
        <v>0.90412802041310814</v>
      </c>
      <c r="J347" s="4" t="s">
        <v>246</v>
      </c>
    </row>
    <row r="348" spans="1:10">
      <c r="A348" s="4" t="s">
        <v>33</v>
      </c>
      <c r="B348" s="4" t="s">
        <v>285</v>
      </c>
      <c r="C348" s="4">
        <v>24</v>
      </c>
      <c r="D348" s="4" t="s">
        <v>20</v>
      </c>
      <c r="E348" s="6">
        <v>45580.8121875</v>
      </c>
      <c r="F348" s="1">
        <v>0.35833333333333339</v>
      </c>
      <c r="G348" s="1">
        <v>0.43571428571428572</v>
      </c>
      <c r="H348" s="5">
        <v>0.90412802041310814</v>
      </c>
      <c r="I348" s="5">
        <v>0.91905857596866369</v>
      </c>
      <c r="J348" s="4" t="s">
        <v>246</v>
      </c>
    </row>
    <row r="349" spans="1:10">
      <c r="A349" s="4" t="s">
        <v>37</v>
      </c>
      <c r="B349" s="4" t="s">
        <v>288</v>
      </c>
      <c r="C349" s="4">
        <v>24</v>
      </c>
      <c r="D349" s="4" t="s">
        <v>10</v>
      </c>
      <c r="E349" s="6">
        <v>45580.854456018518</v>
      </c>
      <c r="F349" s="1">
        <v>0.8183150182857144</v>
      </c>
      <c r="G349" s="15">
        <v>0.75</v>
      </c>
      <c r="H349" s="5">
        <v>0.91905857596866369</v>
      </c>
      <c r="I349" s="5">
        <v>0.95315503506390176</v>
      </c>
      <c r="J349" s="4" t="s">
        <v>246</v>
      </c>
    </row>
    <row r="350" spans="1:10">
      <c r="A350" s="4" t="s">
        <v>63</v>
      </c>
      <c r="B350" s="4" t="s">
        <v>277</v>
      </c>
      <c r="C350" s="4">
        <v>60</v>
      </c>
      <c r="D350" s="4" t="s">
        <v>10</v>
      </c>
      <c r="E350" s="18" t="s">
        <v>65</v>
      </c>
      <c r="F350" s="1">
        <v>0.52633281573498936</v>
      </c>
      <c r="G350" s="1" t="s">
        <v>11</v>
      </c>
      <c r="H350" s="5">
        <v>0.95315503506390176</v>
      </c>
      <c r="I350" s="5">
        <v>0.9750855690528597</v>
      </c>
      <c r="J350" s="4" t="s">
        <v>246</v>
      </c>
    </row>
    <row r="351" spans="1:10">
      <c r="A351" s="4" t="s">
        <v>151</v>
      </c>
      <c r="B351" s="4" t="s">
        <v>283</v>
      </c>
      <c r="C351" s="4">
        <v>72</v>
      </c>
      <c r="D351" s="4" t="s">
        <v>10</v>
      </c>
      <c r="E351" s="6">
        <v>45580.796423611115</v>
      </c>
      <c r="F351" s="1">
        <v>0.49999995238095235</v>
      </c>
      <c r="G351" s="1" t="s">
        <v>11</v>
      </c>
      <c r="H351" s="5">
        <v>0.9750855690528597</v>
      </c>
      <c r="I351" s="5">
        <v>0.9959189004020661</v>
      </c>
      <c r="J351" s="4" t="s">
        <v>246</v>
      </c>
    </row>
    <row r="352" spans="1:10">
      <c r="A352" s="4" t="s">
        <v>286</v>
      </c>
      <c r="B352" s="4" t="s">
        <v>287</v>
      </c>
      <c r="C352" s="4">
        <v>12</v>
      </c>
      <c r="D352" s="4" t="s">
        <v>20</v>
      </c>
      <c r="E352" s="6">
        <v>45580.851759259262</v>
      </c>
      <c r="F352" s="15">
        <v>0.75</v>
      </c>
      <c r="G352" s="1" t="s">
        <v>11</v>
      </c>
      <c r="H352" s="5">
        <v>0.9959189004020661</v>
      </c>
      <c r="I352" s="5">
        <v>1.0271689004020661</v>
      </c>
      <c r="J352" s="4" t="s">
        <v>246</v>
      </c>
    </row>
    <row r="353" spans="1:10">
      <c r="A353" s="4" t="s">
        <v>45</v>
      </c>
      <c r="B353" s="4" t="s">
        <v>290</v>
      </c>
      <c r="C353" s="4">
        <v>48</v>
      </c>
      <c r="D353" s="4" t="s">
        <v>20</v>
      </c>
      <c r="E353" s="6">
        <v>45580.965497685182</v>
      </c>
      <c r="F353" s="1">
        <v>1.1731601731601735</v>
      </c>
      <c r="G353" s="1">
        <v>0.54578754578754574</v>
      </c>
      <c r="H353" s="5">
        <v>1.0271689004020661</v>
      </c>
      <c r="I353" s="5">
        <v>1.0760505742837401</v>
      </c>
      <c r="J353" s="4" t="s">
        <v>246</v>
      </c>
    </row>
    <row r="354" spans="1:10">
      <c r="A354" s="4" t="s">
        <v>268</v>
      </c>
      <c r="B354" s="4" t="s">
        <v>269</v>
      </c>
      <c r="C354" s="4">
        <v>62</v>
      </c>
      <c r="D354" s="4" t="s">
        <v>20</v>
      </c>
      <c r="E354" s="18" t="s">
        <v>65</v>
      </c>
      <c r="F354" s="1" t="s">
        <v>11</v>
      </c>
      <c r="G354" s="1" t="s">
        <v>11</v>
      </c>
      <c r="H354" s="1" t="s">
        <v>11</v>
      </c>
      <c r="I354" s="1" t="s">
        <v>11</v>
      </c>
    </row>
    <row r="355" spans="1:10" s="14" customFormat="1" ht="10.5" customHeight="1">
      <c r="A355" s="9"/>
      <c r="B355" s="9"/>
      <c r="C355" s="9"/>
      <c r="D355" s="9"/>
      <c r="E355" s="12"/>
      <c r="F355" s="10"/>
      <c r="G355" s="10"/>
      <c r="H355" s="11"/>
      <c r="I355" s="23"/>
      <c r="J355" s="9"/>
    </row>
    <row r="356" spans="1:10">
      <c r="A356" s="4" t="s">
        <v>18</v>
      </c>
      <c r="B356" s="4" t="s">
        <v>295</v>
      </c>
      <c r="C356" s="4">
        <v>144</v>
      </c>
      <c r="D356" s="4" t="s">
        <v>14</v>
      </c>
      <c r="E356" s="18" t="s">
        <v>65</v>
      </c>
      <c r="F356" s="1">
        <v>1.3333333333333326</v>
      </c>
      <c r="G356" s="1">
        <v>1.0952380952380953</v>
      </c>
      <c r="H356" s="5">
        <v>0.72916666666666663</v>
      </c>
      <c r="I356" s="5">
        <v>0.7847222222222221</v>
      </c>
      <c r="J356" s="4" t="s">
        <v>245</v>
      </c>
    </row>
    <row r="357" spans="1:10">
      <c r="A357" s="4" t="s">
        <v>296</v>
      </c>
      <c r="B357" s="4" t="s">
        <v>297</v>
      </c>
      <c r="C357" s="4">
        <v>96</v>
      </c>
      <c r="D357" s="4" t="s">
        <v>20</v>
      </c>
      <c r="E357" s="18" t="s">
        <v>65</v>
      </c>
      <c r="F357" s="1">
        <v>0.65272019097876666</v>
      </c>
      <c r="G357" s="1" t="s">
        <v>11</v>
      </c>
      <c r="H357" s="5">
        <v>0.7847222222222221</v>
      </c>
      <c r="I357" s="5">
        <v>0.81191889684633733</v>
      </c>
      <c r="J357" s="4" t="s">
        <v>245</v>
      </c>
    </row>
    <row r="358" spans="1:10">
      <c r="A358" s="4" t="s">
        <v>76</v>
      </c>
      <c r="B358" s="4" t="s">
        <v>298</v>
      </c>
      <c r="C358" s="4">
        <v>24</v>
      </c>
      <c r="D358" s="4" t="s">
        <v>20</v>
      </c>
      <c r="E358" s="18" t="s">
        <v>65</v>
      </c>
      <c r="F358" s="1">
        <v>0.46520146520146527</v>
      </c>
      <c r="G358" s="1" t="s">
        <v>11</v>
      </c>
      <c r="H358" s="5">
        <v>0.81191889684633733</v>
      </c>
      <c r="I358" s="5">
        <v>0.83130229122973176</v>
      </c>
      <c r="J358" s="4" t="s">
        <v>245</v>
      </c>
    </row>
    <row r="359" spans="1:10">
      <c r="A359" s="4" t="s">
        <v>23</v>
      </c>
      <c r="B359" s="4" t="s">
        <v>299</v>
      </c>
      <c r="C359" s="4">
        <v>48</v>
      </c>
      <c r="D359" s="4" t="s">
        <v>20</v>
      </c>
      <c r="E359" s="18" t="s">
        <v>65</v>
      </c>
      <c r="F359" s="1">
        <v>0.24032738095238099</v>
      </c>
      <c r="G359" s="1" t="s">
        <v>11</v>
      </c>
      <c r="H359" s="5">
        <v>0.83130229122973176</v>
      </c>
      <c r="I359" s="5">
        <v>0.84131593210274769</v>
      </c>
      <c r="J359" s="4" t="s">
        <v>245</v>
      </c>
    </row>
    <row r="360" spans="1:10">
      <c r="A360" s="4" t="s">
        <v>300</v>
      </c>
      <c r="B360" s="4" t="s">
        <v>301</v>
      </c>
      <c r="C360" s="4">
        <v>144</v>
      </c>
      <c r="D360" s="4" t="s">
        <v>20</v>
      </c>
      <c r="E360" s="18" t="s">
        <v>65</v>
      </c>
      <c r="F360" s="1">
        <v>0.3126984126984127</v>
      </c>
      <c r="G360" s="1" t="s">
        <v>11</v>
      </c>
      <c r="H360" s="5">
        <v>0.84131593210274769</v>
      </c>
      <c r="I360" s="5">
        <v>0.85434503263184824</v>
      </c>
      <c r="J360" s="4" t="s">
        <v>245</v>
      </c>
    </row>
    <row r="361" spans="1:10">
      <c r="A361" s="4" t="s">
        <v>31</v>
      </c>
      <c r="B361" s="4" t="s">
        <v>303</v>
      </c>
      <c r="C361" s="4">
        <v>240</v>
      </c>
      <c r="D361" s="4" t="s">
        <v>20</v>
      </c>
      <c r="E361" s="6">
        <v>45581.854398148149</v>
      </c>
      <c r="F361" s="1">
        <v>1.3637425534400189</v>
      </c>
      <c r="G361" s="1">
        <v>0.95569053459486664</v>
      </c>
      <c r="H361" s="5">
        <v>0.85434503263184824</v>
      </c>
      <c r="I361" s="5">
        <v>0.91116763902518239</v>
      </c>
      <c r="J361" s="4" t="s">
        <v>245</v>
      </c>
    </row>
    <row r="362" spans="1:10">
      <c r="A362" s="4" t="s">
        <v>83</v>
      </c>
      <c r="B362" s="4" t="s">
        <v>304</v>
      </c>
      <c r="C362" s="4">
        <v>160</v>
      </c>
      <c r="D362" s="4" t="s">
        <v>20</v>
      </c>
      <c r="E362" s="6">
        <v>45581.934421296297</v>
      </c>
      <c r="F362" s="1">
        <v>0.56277056277056281</v>
      </c>
      <c r="G362" s="1" t="s">
        <v>11</v>
      </c>
      <c r="H362" s="5">
        <v>0.91116763902518239</v>
      </c>
      <c r="I362" s="5">
        <v>0.93461641247395588</v>
      </c>
      <c r="J362" s="4" t="s">
        <v>245</v>
      </c>
    </row>
    <row r="363" spans="1:10">
      <c r="A363" s="4" t="s">
        <v>47</v>
      </c>
      <c r="B363" s="4" t="s">
        <v>293</v>
      </c>
      <c r="C363" s="4">
        <v>46</v>
      </c>
      <c r="D363" s="4" t="s">
        <v>10</v>
      </c>
      <c r="E363" s="18" t="s">
        <v>65</v>
      </c>
      <c r="F363" s="15">
        <v>0.75</v>
      </c>
      <c r="G363" s="15">
        <v>0.75</v>
      </c>
      <c r="H363" s="5">
        <v>0.72916666666666663</v>
      </c>
      <c r="I363" s="5">
        <v>0.76041666666666663</v>
      </c>
      <c r="J363" s="4" t="s">
        <v>246</v>
      </c>
    </row>
    <row r="364" spans="1:10">
      <c r="A364" s="4" t="s">
        <v>15</v>
      </c>
      <c r="B364" s="4" t="s">
        <v>294</v>
      </c>
      <c r="C364" s="4">
        <v>60</v>
      </c>
      <c r="D364" s="4" t="s">
        <v>10</v>
      </c>
      <c r="E364" s="18" t="s">
        <v>65</v>
      </c>
      <c r="F364" s="1">
        <v>0.72184429325396837</v>
      </c>
      <c r="G364" s="15">
        <v>0.75</v>
      </c>
      <c r="H364" s="5">
        <v>0.76041666666666663</v>
      </c>
      <c r="I364" s="5">
        <v>0.79049351221891528</v>
      </c>
      <c r="J364" s="4" t="s">
        <v>246</v>
      </c>
    </row>
    <row r="365" spans="1:10">
      <c r="A365" s="4" t="s">
        <v>64</v>
      </c>
      <c r="B365" s="4" t="s">
        <v>302</v>
      </c>
      <c r="C365" s="4">
        <v>48</v>
      </c>
      <c r="D365" s="4" t="s">
        <v>10</v>
      </c>
      <c r="E365" s="18" t="s">
        <v>65</v>
      </c>
      <c r="F365" s="1">
        <v>1.1933611768060515</v>
      </c>
      <c r="G365" s="1">
        <v>0.90150790855264284</v>
      </c>
      <c r="H365" s="5">
        <v>0.79049351221891528</v>
      </c>
      <c r="I365" s="5">
        <v>0.84021689458583415</v>
      </c>
      <c r="J365" s="4" t="s">
        <v>246</v>
      </c>
    </row>
    <row r="366" spans="1:10" s="14" customFormat="1" ht="10.5" customHeight="1">
      <c r="A366" s="9"/>
      <c r="B366" s="9"/>
      <c r="C366" s="9"/>
      <c r="D366" s="9"/>
      <c r="E366" s="12"/>
      <c r="F366" s="10"/>
      <c r="G366" s="10"/>
      <c r="H366" s="11"/>
      <c r="I366" s="23"/>
      <c r="J366" s="9"/>
    </row>
    <row r="367" spans="1:10">
      <c r="A367" s="4" t="s">
        <v>61</v>
      </c>
      <c r="B367" s="4" t="s">
        <v>313</v>
      </c>
      <c r="C367" s="4">
        <v>48</v>
      </c>
      <c r="D367" s="4" t="s">
        <v>14</v>
      </c>
      <c r="E367" s="18" t="s">
        <v>65</v>
      </c>
      <c r="F367" s="1">
        <v>0.78886118038237707</v>
      </c>
      <c r="G367" s="1">
        <v>0.57938487115544479</v>
      </c>
      <c r="H367" s="5">
        <v>0.72916666666666663</v>
      </c>
      <c r="I367" s="5">
        <v>0.76203588251593235</v>
      </c>
      <c r="J367" s="4" t="s">
        <v>245</v>
      </c>
    </row>
    <row r="368" spans="1:10">
      <c r="A368" s="4" t="s">
        <v>18</v>
      </c>
      <c r="B368" s="4" t="s">
        <v>312</v>
      </c>
      <c r="C368" s="4">
        <v>288</v>
      </c>
      <c r="D368" s="4" t="s">
        <v>14</v>
      </c>
      <c r="E368" s="6">
        <v>45582.705694444441</v>
      </c>
      <c r="F368" s="1">
        <v>2.428571428571427</v>
      </c>
      <c r="G368" s="1">
        <v>1.9523809523809526</v>
      </c>
      <c r="H368" s="5">
        <v>0.76203588251593235</v>
      </c>
      <c r="I368" s="5">
        <v>0.86322635870640851</v>
      </c>
      <c r="J368" s="4" t="s">
        <v>245</v>
      </c>
    </row>
    <row r="369" spans="1:10">
      <c r="A369" s="4" t="s">
        <v>309</v>
      </c>
      <c r="B369" s="4" t="s">
        <v>310</v>
      </c>
      <c r="C369" s="4">
        <v>12</v>
      </c>
      <c r="D369" s="4" t="s">
        <v>20</v>
      </c>
      <c r="E369" s="18" t="s">
        <v>65</v>
      </c>
      <c r="F369" s="15">
        <v>0.75</v>
      </c>
      <c r="G369" s="1" t="s">
        <v>11</v>
      </c>
      <c r="H369" s="5">
        <v>0.86322635870640851</v>
      </c>
      <c r="I369" s="5">
        <v>0.89447635870640851</v>
      </c>
      <c r="J369" s="4" t="s">
        <v>245</v>
      </c>
    </row>
    <row r="370" spans="1:10">
      <c r="A370" s="4" t="s">
        <v>68</v>
      </c>
      <c r="B370" s="4" t="s">
        <v>311</v>
      </c>
      <c r="C370" s="4">
        <v>12</v>
      </c>
      <c r="D370" s="4" t="s">
        <v>20</v>
      </c>
      <c r="E370" s="18" t="s">
        <v>65</v>
      </c>
      <c r="F370" s="15">
        <v>0.75</v>
      </c>
      <c r="G370" s="1" t="s">
        <v>11</v>
      </c>
      <c r="H370" s="5">
        <v>0.89447635870640851</v>
      </c>
      <c r="I370" s="5">
        <v>0.92572635870640851</v>
      </c>
      <c r="J370" s="4" t="s">
        <v>245</v>
      </c>
    </row>
    <row r="371" spans="1:10">
      <c r="A371" s="4" t="s">
        <v>47</v>
      </c>
      <c r="B371" s="4" t="s">
        <v>308</v>
      </c>
      <c r="C371" s="4">
        <v>48</v>
      </c>
      <c r="D371" s="4" t="s">
        <v>10</v>
      </c>
      <c r="E371" s="18" t="s">
        <v>65</v>
      </c>
      <c r="F371" s="15">
        <v>0.75</v>
      </c>
      <c r="G371" s="15">
        <v>0.75</v>
      </c>
      <c r="H371" s="5">
        <v>0.72916666666666663</v>
      </c>
      <c r="I371" s="5">
        <v>0.76041666666666663</v>
      </c>
      <c r="J371" s="4" t="s">
        <v>246</v>
      </c>
    </row>
    <row r="372" spans="1:10">
      <c r="A372" s="4" t="s">
        <v>37</v>
      </c>
      <c r="B372" s="4" t="s">
        <v>314</v>
      </c>
      <c r="C372" s="4">
        <v>59</v>
      </c>
      <c r="D372" s="4" t="s">
        <v>10</v>
      </c>
      <c r="E372" s="18" t="s">
        <v>65</v>
      </c>
      <c r="F372" s="1">
        <v>1.6644688643968255</v>
      </c>
      <c r="G372" s="15">
        <v>0.75</v>
      </c>
      <c r="H372" s="5">
        <v>0.76041666666666663</v>
      </c>
      <c r="I372" s="5">
        <v>0.82976953601653436</v>
      </c>
      <c r="J372" s="4" t="s">
        <v>246</v>
      </c>
    </row>
    <row r="373" spans="1:10">
      <c r="A373" s="4" t="s">
        <v>15</v>
      </c>
      <c r="B373" s="4" t="s">
        <v>315</v>
      </c>
      <c r="C373" s="4">
        <v>36</v>
      </c>
      <c r="D373" s="4" t="s">
        <v>10</v>
      </c>
      <c r="E373" s="18" t="s">
        <v>65</v>
      </c>
      <c r="F373" s="1">
        <v>0.52834467119047612</v>
      </c>
      <c r="G373" s="15">
        <v>0.75</v>
      </c>
      <c r="H373" s="5">
        <v>0.82976953601653436</v>
      </c>
      <c r="I373" s="5">
        <v>0.85178389731613757</v>
      </c>
      <c r="J373" s="4" t="s">
        <v>246</v>
      </c>
    </row>
    <row r="374" spans="1:10">
      <c r="A374" s="4" t="s">
        <v>72</v>
      </c>
      <c r="B374" s="4" t="s">
        <v>318</v>
      </c>
      <c r="C374" s="4">
        <v>60</v>
      </c>
      <c r="D374" s="4" t="s">
        <v>10</v>
      </c>
      <c r="E374" s="6">
        <v>45582.785960648151</v>
      </c>
      <c r="F374" s="1">
        <v>1.1771000535045477</v>
      </c>
      <c r="G374" s="1">
        <v>1.1620117710005353</v>
      </c>
      <c r="H374" s="5">
        <v>0.85178389731613757</v>
      </c>
      <c r="I374" s="5">
        <v>0.90082973287882706</v>
      </c>
      <c r="J374" s="4" t="s">
        <v>246</v>
      </c>
    </row>
    <row r="375" spans="1:10">
      <c r="A375" s="4" t="s">
        <v>93</v>
      </c>
      <c r="B375" s="4" t="s">
        <v>316</v>
      </c>
      <c r="C375" s="4">
        <v>24</v>
      </c>
      <c r="D375" s="4" t="s">
        <v>20</v>
      </c>
      <c r="E375" s="6">
        <v>45582.759351851855</v>
      </c>
      <c r="F375" s="1">
        <v>0.53463203463203457</v>
      </c>
      <c r="G375" s="1" t="s">
        <v>11</v>
      </c>
      <c r="H375" s="5">
        <v>0.90082973287882706</v>
      </c>
      <c r="I375" s="5">
        <v>0.92310606765516179</v>
      </c>
      <c r="J375" s="4" t="s">
        <v>246</v>
      </c>
    </row>
    <row r="376" spans="1:10">
      <c r="A376" s="4" t="s">
        <v>130</v>
      </c>
      <c r="B376" s="4" t="s">
        <v>317</v>
      </c>
      <c r="C376" s="4">
        <v>12</v>
      </c>
      <c r="D376" s="4" t="s">
        <v>20</v>
      </c>
      <c r="E376" s="6">
        <v>45582.773240740738</v>
      </c>
      <c r="F376" s="1">
        <v>0.40952380952380957</v>
      </c>
      <c r="G376" s="1" t="s">
        <v>11</v>
      </c>
      <c r="H376" s="5">
        <v>0.92310606765516179</v>
      </c>
      <c r="I376" s="5">
        <v>0.9401695597186539</v>
      </c>
      <c r="J376" s="4" t="s">
        <v>246</v>
      </c>
    </row>
    <row r="377" spans="1:10" s="14" customFormat="1" ht="10.5" customHeight="1">
      <c r="A377" s="9"/>
      <c r="B377" s="9"/>
      <c r="C377" s="9"/>
      <c r="D377" s="9"/>
      <c r="E377" s="12"/>
      <c r="F377" s="10"/>
      <c r="G377" s="10"/>
      <c r="H377" s="11"/>
      <c r="I377" s="23"/>
      <c r="J377" s="9"/>
    </row>
    <row r="378" spans="1:10">
      <c r="A378" s="4" t="s">
        <v>39</v>
      </c>
      <c r="B378" s="4" t="s">
        <v>323</v>
      </c>
      <c r="C378" s="4">
        <v>30</v>
      </c>
      <c r="D378" s="4" t="s">
        <v>20</v>
      </c>
      <c r="E378" s="18" t="s">
        <v>65</v>
      </c>
      <c r="F378" s="1">
        <v>0.49285714285714283</v>
      </c>
      <c r="G378" s="1">
        <v>0.37023809523809526</v>
      </c>
      <c r="H378" s="5">
        <v>0.75</v>
      </c>
      <c r="I378" s="5">
        <v>0.77053571428571432</v>
      </c>
      <c r="J378" s="4" t="s">
        <v>245</v>
      </c>
    </row>
    <row r="379" spans="1:10">
      <c r="A379" s="4" t="s">
        <v>329</v>
      </c>
      <c r="B379" s="4" t="s">
        <v>330</v>
      </c>
      <c r="C379" s="4">
        <v>270</v>
      </c>
      <c r="D379" s="4" t="s">
        <v>20</v>
      </c>
      <c r="E379" s="18" t="s">
        <v>65</v>
      </c>
      <c r="F379" s="15">
        <v>0.75</v>
      </c>
      <c r="G379" s="1">
        <v>0.43333333333333307</v>
      </c>
      <c r="H379" s="5">
        <v>0.77053571428571432</v>
      </c>
      <c r="I379" s="5">
        <v>0.80178571428571432</v>
      </c>
      <c r="J379" s="4" t="s">
        <v>245</v>
      </c>
    </row>
    <row r="380" spans="1:10">
      <c r="A380" s="4" t="s">
        <v>18</v>
      </c>
      <c r="B380" s="4" t="s">
        <v>328</v>
      </c>
      <c r="C380" s="4">
        <v>288</v>
      </c>
      <c r="D380" s="4" t="s">
        <v>14</v>
      </c>
      <c r="E380" s="18" t="s">
        <v>65</v>
      </c>
      <c r="F380" s="1">
        <v>2.428571428571427</v>
      </c>
      <c r="G380" s="1">
        <v>1.9523809523809526</v>
      </c>
      <c r="H380" s="5">
        <v>0.80178571428571432</v>
      </c>
      <c r="I380" s="5">
        <v>0.90297619047619049</v>
      </c>
      <c r="J380" s="4" t="s">
        <v>245</v>
      </c>
    </row>
    <row r="381" spans="1:10">
      <c r="A381" s="4" t="s">
        <v>21</v>
      </c>
      <c r="B381" s="4" t="s">
        <v>279</v>
      </c>
      <c r="C381" s="4">
        <v>48</v>
      </c>
      <c r="D381" s="4" t="s">
        <v>14</v>
      </c>
      <c r="E381" s="18" t="s">
        <v>65</v>
      </c>
      <c r="F381" s="1">
        <v>0.75420015367682192</v>
      </c>
      <c r="G381" s="1">
        <v>0.84665545241210305</v>
      </c>
      <c r="H381" s="5">
        <v>0.90297619047619049</v>
      </c>
      <c r="I381" s="5">
        <v>0.93440119687939138</v>
      </c>
      <c r="J381" s="4" t="s">
        <v>245</v>
      </c>
    </row>
    <row r="382" spans="1:10">
      <c r="A382" s="4" t="s">
        <v>112</v>
      </c>
      <c r="B382" s="4" t="s">
        <v>321</v>
      </c>
      <c r="C382" s="4">
        <v>24</v>
      </c>
      <c r="D382" s="4" t="s">
        <v>20</v>
      </c>
      <c r="E382" s="18" t="s">
        <v>65</v>
      </c>
      <c r="F382" s="1">
        <v>0.59126984126984128</v>
      </c>
      <c r="G382" s="1" t="s">
        <v>11</v>
      </c>
      <c r="H382" s="5">
        <v>0.93440119687939138</v>
      </c>
      <c r="I382" s="5">
        <v>0.95903744026563476</v>
      </c>
      <c r="J382" s="4" t="s">
        <v>245</v>
      </c>
    </row>
    <row r="383" spans="1:10">
      <c r="A383" s="4" t="s">
        <v>119</v>
      </c>
      <c r="B383" s="4" t="s">
        <v>322</v>
      </c>
      <c r="C383" s="4">
        <v>120</v>
      </c>
      <c r="D383" s="4" t="s">
        <v>20</v>
      </c>
      <c r="E383" s="18" t="s">
        <v>65</v>
      </c>
      <c r="F383" s="1">
        <v>0.28951683710360498</v>
      </c>
      <c r="G383" s="1" t="s">
        <v>11</v>
      </c>
      <c r="H383" s="5">
        <v>0.95903744026563476</v>
      </c>
      <c r="I383" s="5">
        <v>0.97110064181161826</v>
      </c>
      <c r="J383" s="4" t="s">
        <v>245</v>
      </c>
    </row>
    <row r="384" spans="1:10">
      <c r="A384" s="4" t="s">
        <v>80</v>
      </c>
      <c r="B384" s="4" t="s">
        <v>324</v>
      </c>
      <c r="C384" s="4">
        <v>48</v>
      </c>
      <c r="D384" s="4" t="s">
        <v>20</v>
      </c>
      <c r="E384" s="18" t="s">
        <v>65</v>
      </c>
      <c r="F384" s="1">
        <v>0.46638655462184869</v>
      </c>
      <c r="G384" s="1" t="s">
        <v>11</v>
      </c>
      <c r="H384" s="5">
        <v>0.97110064181161826</v>
      </c>
      <c r="I384" s="5">
        <v>0.990533414920862</v>
      </c>
      <c r="J384" s="4" t="s">
        <v>245</v>
      </c>
    </row>
    <row r="385" spans="1:10">
      <c r="A385" s="4" t="s">
        <v>64</v>
      </c>
      <c r="B385" s="4" t="s">
        <v>325</v>
      </c>
      <c r="C385" s="4">
        <v>48</v>
      </c>
      <c r="D385" s="4" t="s">
        <v>10</v>
      </c>
      <c r="E385" s="17" t="s">
        <v>65</v>
      </c>
      <c r="F385" s="1">
        <v>1.1933611768060515</v>
      </c>
      <c r="G385" s="1">
        <v>0.90150790855264284</v>
      </c>
      <c r="H385" s="5">
        <v>0.75</v>
      </c>
      <c r="I385" s="5">
        <v>0.79972338236691876</v>
      </c>
      <c r="J385" s="4" t="s">
        <v>246</v>
      </c>
    </row>
    <row r="386" spans="1:10">
      <c r="A386" s="4" t="s">
        <v>72</v>
      </c>
      <c r="B386" s="4" t="s">
        <v>327</v>
      </c>
      <c r="C386" s="4">
        <v>60</v>
      </c>
      <c r="D386" s="4" t="s">
        <v>10</v>
      </c>
      <c r="E386" s="17" t="s">
        <v>65</v>
      </c>
      <c r="F386" s="1">
        <v>1.1771000535045477</v>
      </c>
      <c r="G386" s="1">
        <v>1.1620117710005353</v>
      </c>
      <c r="H386" s="5">
        <v>0.79972338236691876</v>
      </c>
      <c r="I386" s="5">
        <v>0.84876921792960824</v>
      </c>
      <c r="J386" s="4" t="s">
        <v>246</v>
      </c>
    </row>
    <row r="387" spans="1:10">
      <c r="A387" s="4" t="s">
        <v>184</v>
      </c>
      <c r="B387" s="4" t="s">
        <v>326</v>
      </c>
      <c r="C387" s="4">
        <v>48</v>
      </c>
      <c r="D387" s="4" t="s">
        <v>10</v>
      </c>
      <c r="E387" s="17" t="s">
        <v>65</v>
      </c>
      <c r="F387" s="1">
        <v>0.93290043290043234</v>
      </c>
      <c r="G387" s="1" t="s">
        <v>11</v>
      </c>
      <c r="H387" s="5">
        <v>0.84876921792960824</v>
      </c>
      <c r="I387" s="5">
        <v>0.88764006930045958</v>
      </c>
      <c r="J387" s="4" t="s">
        <v>246</v>
      </c>
    </row>
    <row r="388" spans="1:10" s="14" customFormat="1" ht="10.5" customHeight="1">
      <c r="A388" s="9"/>
      <c r="B388" s="9"/>
      <c r="C388" s="9"/>
      <c r="D388" s="9"/>
      <c r="E388" s="12"/>
      <c r="F388" s="10"/>
      <c r="G388" s="10"/>
      <c r="H388" s="11"/>
      <c r="I388" s="23"/>
      <c r="J388" s="9"/>
    </row>
    <row r="389" spans="1:10">
      <c r="A389" s="4" t="s">
        <v>35</v>
      </c>
      <c r="B389" s="4" t="s">
        <v>336</v>
      </c>
      <c r="C389" s="4">
        <v>48</v>
      </c>
      <c r="D389" s="4" t="s">
        <v>14</v>
      </c>
      <c r="E389" s="18" t="s">
        <v>65</v>
      </c>
      <c r="F389" s="1">
        <v>0.67878561904761914</v>
      </c>
      <c r="G389" s="1">
        <v>0.66262704761904767</v>
      </c>
      <c r="H389" s="5">
        <v>0.75</v>
      </c>
      <c r="I389" s="5">
        <v>0.77828273412698412</v>
      </c>
      <c r="J389" s="4" t="s">
        <v>245</v>
      </c>
    </row>
    <row r="390" spans="1:10">
      <c r="A390" s="4" t="s">
        <v>97</v>
      </c>
      <c r="B390" s="4" t="s">
        <v>338</v>
      </c>
      <c r="C390" s="4">
        <v>96</v>
      </c>
      <c r="D390" s="4" t="s">
        <v>20</v>
      </c>
      <c r="E390" s="18" t="s">
        <v>65</v>
      </c>
      <c r="F390" s="1">
        <v>3.2485481997677121</v>
      </c>
      <c r="G390" s="1" t="s">
        <v>11</v>
      </c>
      <c r="H390" s="5">
        <v>0.77828273412698412</v>
      </c>
      <c r="I390" s="5">
        <v>0.9136389091173055</v>
      </c>
      <c r="J390" s="4" t="s">
        <v>245</v>
      </c>
    </row>
    <row r="391" spans="1:10">
      <c r="A391" s="4" t="s">
        <v>281</v>
      </c>
      <c r="B391" s="4" t="s">
        <v>339</v>
      </c>
      <c r="C391" s="4">
        <v>96</v>
      </c>
      <c r="D391" s="4" t="s">
        <v>20</v>
      </c>
      <c r="E391" s="18">
        <v>45586.734849537039</v>
      </c>
      <c r="F391" s="1">
        <v>0.41666666666666674</v>
      </c>
      <c r="G391" s="1" t="s">
        <v>11</v>
      </c>
      <c r="H391" s="5">
        <v>0.9136389091173055</v>
      </c>
      <c r="I391" s="5">
        <v>0.93100002022841666</v>
      </c>
      <c r="J391" s="4" t="s">
        <v>245</v>
      </c>
    </row>
    <row r="392" spans="1:10">
      <c r="A392" s="4" t="s">
        <v>18</v>
      </c>
      <c r="B392" s="4" t="s">
        <v>337</v>
      </c>
      <c r="C392" s="4">
        <v>288</v>
      </c>
      <c r="D392" s="4" t="s">
        <v>14</v>
      </c>
      <c r="E392" s="7">
        <v>45586.757476851853</v>
      </c>
      <c r="F392" s="1">
        <v>2.428571428571427</v>
      </c>
      <c r="G392" s="1">
        <v>1.9523809523809526</v>
      </c>
      <c r="H392" s="5">
        <v>0.93100002022841666</v>
      </c>
      <c r="I392" s="5">
        <v>1.0321904964188928</v>
      </c>
      <c r="J392" s="4" t="s">
        <v>245</v>
      </c>
    </row>
    <row r="393" spans="1:10">
      <c r="A393" s="4" t="s">
        <v>21</v>
      </c>
      <c r="B393" s="4" t="s">
        <v>345</v>
      </c>
      <c r="C393" s="4">
        <v>48</v>
      </c>
      <c r="D393" s="4" t="s">
        <v>14</v>
      </c>
      <c r="E393" s="7">
        <v>45586.80746527778</v>
      </c>
      <c r="F393" s="1">
        <v>0.75420015367682192</v>
      </c>
      <c r="G393" s="1">
        <v>0.84665545241210305</v>
      </c>
      <c r="H393" s="5">
        <v>1.0321904964188928</v>
      </c>
      <c r="I393" s="5">
        <v>1.0636155028220937</v>
      </c>
      <c r="J393" s="4" t="s">
        <v>245</v>
      </c>
    </row>
    <row r="394" spans="1:10">
      <c r="A394" s="4" t="s">
        <v>71</v>
      </c>
      <c r="B394" s="4" t="s">
        <v>340</v>
      </c>
      <c r="C394" s="4">
        <v>48</v>
      </c>
      <c r="D394" s="4" t="s">
        <v>20</v>
      </c>
      <c r="E394" s="18">
        <v>45586.784224537034</v>
      </c>
      <c r="F394" s="1">
        <v>1.0952380952380953</v>
      </c>
      <c r="G394" s="1">
        <v>0.4844178509099975</v>
      </c>
      <c r="H394" s="5">
        <v>0.75</v>
      </c>
      <c r="I394" s="5">
        <v>0.79563492063492069</v>
      </c>
      <c r="J394" s="4" t="s">
        <v>246</v>
      </c>
    </row>
    <row r="395" spans="1:10">
      <c r="A395" s="4" t="s">
        <v>341</v>
      </c>
      <c r="B395" s="4" t="s">
        <v>342</v>
      </c>
      <c r="C395" s="4">
        <v>12</v>
      </c>
      <c r="D395" s="4" t="s">
        <v>20</v>
      </c>
      <c r="E395" s="7">
        <v>45586.792407407411</v>
      </c>
      <c r="F395" s="1">
        <v>0.25765306122448978</v>
      </c>
      <c r="G395" s="1" t="s">
        <v>11</v>
      </c>
      <c r="H395" s="5">
        <v>0.79563492063492069</v>
      </c>
      <c r="I395" s="5">
        <v>0.80637046485260777</v>
      </c>
      <c r="J395" s="4" t="s">
        <v>246</v>
      </c>
    </row>
    <row r="396" spans="1:10">
      <c r="A396" s="4" t="s">
        <v>24</v>
      </c>
      <c r="B396" s="4" t="s">
        <v>343</v>
      </c>
      <c r="C396" s="4">
        <v>48</v>
      </c>
      <c r="D396" s="4" t="s">
        <v>20</v>
      </c>
      <c r="E396" s="25">
        <v>45586.850439814814</v>
      </c>
      <c r="F396" s="1">
        <v>0.42431972789115618</v>
      </c>
      <c r="G396" s="1">
        <v>0.49319727891156467</v>
      </c>
      <c r="H396" s="5">
        <v>45586.850439814814</v>
      </c>
      <c r="I396" s="5">
        <v>45586.868119803476</v>
      </c>
      <c r="J396" s="4" t="s">
        <v>246</v>
      </c>
    </row>
    <row r="397" spans="1:10">
      <c r="A397" s="4" t="s">
        <v>59</v>
      </c>
      <c r="B397" s="4" t="s">
        <v>344</v>
      </c>
      <c r="C397" s="4">
        <v>48</v>
      </c>
      <c r="D397" s="4" t="s">
        <v>20</v>
      </c>
      <c r="E397" s="25">
        <v>45586.935752314814</v>
      </c>
      <c r="F397" s="1">
        <v>2.1238095238095238</v>
      </c>
      <c r="G397" s="1">
        <v>3.5714285714285716</v>
      </c>
      <c r="H397" s="5">
        <v>45586.935752314814</v>
      </c>
      <c r="I397" s="5">
        <v>45587.024244378306</v>
      </c>
      <c r="J397" s="4" t="s">
        <v>246</v>
      </c>
    </row>
    <row r="398" spans="1:10" s="14" customFormat="1" ht="9.75" customHeight="1">
      <c r="A398" s="9"/>
      <c r="B398" s="9"/>
      <c r="C398" s="9"/>
      <c r="D398" s="9"/>
      <c r="E398" s="12"/>
      <c r="F398" s="10"/>
      <c r="G398" s="11"/>
      <c r="H398" s="11"/>
    </row>
    <row r="399" spans="1:10">
      <c r="A399" s="4" t="s">
        <v>281</v>
      </c>
      <c r="B399" s="4" t="s">
        <v>339</v>
      </c>
      <c r="C399" s="4">
        <v>96</v>
      </c>
      <c r="D399" s="4" t="s">
        <v>20</v>
      </c>
      <c r="E399" s="18" t="s">
        <v>65</v>
      </c>
      <c r="F399" s="1">
        <v>0.41666666666666674</v>
      </c>
      <c r="G399" s="1" t="s">
        <v>11</v>
      </c>
      <c r="H399" s="5">
        <v>0.54166666666666663</v>
      </c>
      <c r="I399" s="5">
        <v>0.55902777777777779</v>
      </c>
      <c r="J399" s="4" t="s">
        <v>245</v>
      </c>
    </row>
    <row r="400" spans="1:10">
      <c r="A400" s="4" t="s">
        <v>71</v>
      </c>
      <c r="B400" s="4" t="s">
        <v>340</v>
      </c>
      <c r="C400" s="4">
        <v>48</v>
      </c>
      <c r="D400" s="4" t="s">
        <v>20</v>
      </c>
      <c r="E400" s="18" t="s">
        <v>65</v>
      </c>
      <c r="F400" s="1">
        <v>1.0952380952380953</v>
      </c>
      <c r="G400" s="1">
        <v>0.4844178509099975</v>
      </c>
      <c r="H400" s="5">
        <v>0.55902777777777779</v>
      </c>
      <c r="I400" s="5">
        <v>0.60466269841269837</v>
      </c>
      <c r="J400" s="4" t="s">
        <v>245</v>
      </c>
    </row>
    <row r="401" spans="1:10">
      <c r="A401" s="4" t="s">
        <v>59</v>
      </c>
      <c r="B401" s="4" t="s">
        <v>344</v>
      </c>
      <c r="C401" s="4">
        <v>48</v>
      </c>
      <c r="D401" s="4" t="s">
        <v>20</v>
      </c>
      <c r="E401" s="18" t="s">
        <v>65</v>
      </c>
      <c r="F401" s="1">
        <v>2.1238095238095238</v>
      </c>
      <c r="G401" s="1">
        <v>3.5714285714285716</v>
      </c>
      <c r="H401" s="5">
        <v>0.60466269841269837</v>
      </c>
      <c r="I401" s="5">
        <v>0.69315476190476188</v>
      </c>
      <c r="J401" s="4" t="s">
        <v>245</v>
      </c>
    </row>
    <row r="402" spans="1:10">
      <c r="A402" s="4" t="s">
        <v>46</v>
      </c>
      <c r="B402" s="4" t="s">
        <v>349</v>
      </c>
      <c r="C402" s="4">
        <v>448</v>
      </c>
      <c r="D402" s="4" t="s">
        <v>14</v>
      </c>
      <c r="E402" s="18" t="s">
        <v>65</v>
      </c>
      <c r="F402" s="1">
        <v>0.25003382192148432</v>
      </c>
      <c r="G402" s="1">
        <v>0.27538584713378622</v>
      </c>
      <c r="H402" s="5">
        <v>0.69315476190476188</v>
      </c>
      <c r="I402" s="5">
        <v>0.70357283781815705</v>
      </c>
      <c r="J402" s="4" t="s">
        <v>245</v>
      </c>
    </row>
    <row r="403" spans="1:10">
      <c r="A403" s="4" t="s">
        <v>73</v>
      </c>
      <c r="B403" s="4" t="s">
        <v>351</v>
      </c>
      <c r="C403" s="4">
        <v>48</v>
      </c>
      <c r="D403" s="4" t="s">
        <v>20</v>
      </c>
      <c r="E403" s="18" t="s">
        <v>65</v>
      </c>
      <c r="F403" s="1">
        <v>1.4298245614035088</v>
      </c>
      <c r="G403" s="1">
        <v>1.275689223057644</v>
      </c>
      <c r="H403" s="5">
        <v>0.70357283781815705</v>
      </c>
      <c r="I403" s="5">
        <v>0.76314886120996994</v>
      </c>
      <c r="J403" s="4" t="s">
        <v>245</v>
      </c>
    </row>
    <row r="404" spans="1:10">
      <c r="A404" s="4" t="s">
        <v>35</v>
      </c>
      <c r="B404" s="4" t="s">
        <v>354</v>
      </c>
      <c r="C404" s="4">
        <v>48</v>
      </c>
      <c r="D404" s="4" t="s">
        <v>14</v>
      </c>
      <c r="E404" s="18" t="s">
        <v>65</v>
      </c>
      <c r="F404" s="1">
        <v>0.67878561904761914</v>
      </c>
      <c r="G404" s="1">
        <v>0.66262704761904767</v>
      </c>
      <c r="H404" s="5">
        <v>0.76314886120996994</v>
      </c>
      <c r="I404" s="5">
        <v>0.79143159533695406</v>
      </c>
      <c r="J404" s="4" t="s">
        <v>245</v>
      </c>
    </row>
    <row r="405" spans="1:10">
      <c r="A405" s="4" t="s">
        <v>25</v>
      </c>
      <c r="B405" s="4" t="s">
        <v>355</v>
      </c>
      <c r="C405" s="4">
        <v>48</v>
      </c>
      <c r="D405" s="4" t="s">
        <v>20</v>
      </c>
      <c r="E405" s="18" t="s">
        <v>65</v>
      </c>
      <c r="F405" s="1">
        <v>0.580952380952381</v>
      </c>
      <c r="G405" s="1" t="s">
        <v>11</v>
      </c>
      <c r="H405" s="5">
        <v>0.79143159533695406</v>
      </c>
      <c r="I405" s="5">
        <v>0.81563794454330329</v>
      </c>
      <c r="J405" s="4" t="s">
        <v>245</v>
      </c>
    </row>
    <row r="406" spans="1:10">
      <c r="A406" s="4" t="s">
        <v>275</v>
      </c>
      <c r="B406" s="4" t="s">
        <v>356</v>
      </c>
      <c r="C406" s="4">
        <v>24</v>
      </c>
      <c r="D406" s="4" t="s">
        <v>20</v>
      </c>
      <c r="E406" s="18" t="s">
        <v>65</v>
      </c>
      <c r="F406" s="1">
        <v>0.30734610917537747</v>
      </c>
      <c r="G406" s="1" t="s">
        <v>11</v>
      </c>
      <c r="H406" s="5">
        <v>0.75</v>
      </c>
      <c r="I406" s="5">
        <v>0.76280608788230742</v>
      </c>
      <c r="J406" s="4" t="s">
        <v>245</v>
      </c>
    </row>
    <row r="407" spans="1:10">
      <c r="A407" s="4" t="s">
        <v>358</v>
      </c>
      <c r="B407" s="4" t="s">
        <v>359</v>
      </c>
      <c r="C407" s="4">
        <v>24</v>
      </c>
      <c r="D407" s="4" t="s">
        <v>20</v>
      </c>
      <c r="E407" s="18" t="s">
        <v>65</v>
      </c>
      <c r="F407" s="1">
        <v>0.24283854166666669</v>
      </c>
      <c r="G407" s="1" t="s">
        <v>11</v>
      </c>
      <c r="H407" s="5">
        <v>0.76280608788230742</v>
      </c>
      <c r="I407" s="5">
        <v>0.77292436045175184</v>
      </c>
      <c r="J407" s="4" t="s">
        <v>245</v>
      </c>
    </row>
    <row r="408" spans="1:10">
      <c r="A408" s="4" t="s">
        <v>91</v>
      </c>
      <c r="B408" s="4" t="s">
        <v>362</v>
      </c>
      <c r="C408" s="4">
        <v>24</v>
      </c>
      <c r="D408" s="4" t="s">
        <v>20</v>
      </c>
      <c r="E408" s="18" t="s">
        <v>65</v>
      </c>
      <c r="F408" s="1">
        <v>1.0666666666666669</v>
      </c>
      <c r="G408" s="1" t="s">
        <v>11</v>
      </c>
      <c r="H408" s="5">
        <v>0.77292436045175184</v>
      </c>
      <c r="I408" s="5">
        <v>0.81736880489619623</v>
      </c>
      <c r="J408" s="4" t="s">
        <v>245</v>
      </c>
    </row>
    <row r="409" spans="1:10">
      <c r="A409" s="4" t="s">
        <v>18</v>
      </c>
      <c r="B409" s="4" t="s">
        <v>368</v>
      </c>
      <c r="C409" s="4">
        <v>288</v>
      </c>
      <c r="D409" s="4" t="s">
        <v>14</v>
      </c>
      <c r="E409" s="18">
        <v>45587.74050925926</v>
      </c>
      <c r="F409" s="1">
        <v>2.428571428571427</v>
      </c>
      <c r="G409" s="1">
        <v>1.9523809523809526</v>
      </c>
      <c r="H409" s="5">
        <v>0.81736880489619623</v>
      </c>
      <c r="I409" s="5">
        <v>0.9185592810866724</v>
      </c>
      <c r="J409" s="4" t="s">
        <v>245</v>
      </c>
    </row>
    <row r="410" spans="1:10">
      <c r="A410" s="4" t="s">
        <v>21</v>
      </c>
      <c r="B410" s="4" t="s">
        <v>369</v>
      </c>
      <c r="C410" s="4">
        <v>48</v>
      </c>
      <c r="D410" s="4" t="s">
        <v>14</v>
      </c>
      <c r="E410" s="18">
        <v>45587.787615740737</v>
      </c>
      <c r="F410" s="1">
        <v>0.75420015367682192</v>
      </c>
      <c r="G410" s="1">
        <v>0.84665545241210305</v>
      </c>
      <c r="H410" s="5">
        <v>0.9185592810866724</v>
      </c>
      <c r="I410" s="5">
        <v>0.94998428748987329</v>
      </c>
      <c r="J410" s="4" t="s">
        <v>245</v>
      </c>
    </row>
    <row r="411" spans="1:10">
      <c r="A411" s="4" t="s">
        <v>119</v>
      </c>
      <c r="B411" s="4" t="s">
        <v>364</v>
      </c>
      <c r="C411" s="4">
        <v>180</v>
      </c>
      <c r="D411" s="4" t="s">
        <v>20</v>
      </c>
      <c r="E411" s="18" t="s">
        <v>65</v>
      </c>
      <c r="F411" s="1">
        <v>0.31522763660778846</v>
      </c>
      <c r="G411" s="1" t="s">
        <v>11</v>
      </c>
      <c r="H411" s="5">
        <v>0.94998428748987329</v>
      </c>
      <c r="I411" s="5">
        <v>0.96311877234853116</v>
      </c>
      <c r="J411" s="4" t="s">
        <v>245</v>
      </c>
    </row>
    <row r="412" spans="1:10">
      <c r="A412" s="4" t="s">
        <v>366</v>
      </c>
      <c r="B412" s="4" t="s">
        <v>367</v>
      </c>
      <c r="C412" s="4">
        <v>72</v>
      </c>
      <c r="D412" s="4" t="s">
        <v>20</v>
      </c>
      <c r="E412" s="18">
        <v>45587.718611111108</v>
      </c>
      <c r="F412" s="1">
        <v>0.28637566137566139</v>
      </c>
      <c r="G412" s="1" t="s">
        <v>11</v>
      </c>
      <c r="H412" s="5">
        <v>0.96311877234853116</v>
      </c>
      <c r="I412" s="5">
        <v>0.97505109157251701</v>
      </c>
      <c r="J412" s="4" t="s">
        <v>245</v>
      </c>
    </row>
    <row r="413" spans="1:10">
      <c r="A413" s="4" t="s">
        <v>31</v>
      </c>
      <c r="B413" s="4" t="s">
        <v>371</v>
      </c>
      <c r="C413" s="4">
        <v>260</v>
      </c>
      <c r="D413" s="4" t="s">
        <v>20</v>
      </c>
      <c r="E413" s="18">
        <v>45587.974432870367</v>
      </c>
      <c r="F413" s="1">
        <v>1.4575464963854177</v>
      </c>
      <c r="G413" s="1">
        <v>1.0154901426365026</v>
      </c>
      <c r="H413" s="5">
        <v>0.97505109157251701</v>
      </c>
      <c r="I413" s="5">
        <v>1.035782195588576</v>
      </c>
      <c r="J413" s="4" t="s">
        <v>245</v>
      </c>
    </row>
    <row r="414" spans="1:10">
      <c r="A414" s="4" t="s">
        <v>15</v>
      </c>
      <c r="B414" s="4" t="s">
        <v>350</v>
      </c>
      <c r="C414" s="4">
        <v>36</v>
      </c>
      <c r="D414" s="4" t="s">
        <v>10</v>
      </c>
      <c r="E414" s="18" t="s">
        <v>65</v>
      </c>
      <c r="F414" s="1">
        <v>0.52834467119047612</v>
      </c>
      <c r="G414" s="1">
        <v>0.23820952380952384</v>
      </c>
      <c r="H414" s="5">
        <v>0.54166666666666663</v>
      </c>
      <c r="I414" s="5">
        <v>0.56368102796626984</v>
      </c>
      <c r="J414" s="4" t="s">
        <v>246</v>
      </c>
    </row>
    <row r="415" spans="1:10">
      <c r="A415" s="4" t="s">
        <v>106</v>
      </c>
      <c r="B415" s="4" t="s">
        <v>352</v>
      </c>
      <c r="C415" s="4">
        <v>60</v>
      </c>
      <c r="D415" s="4" t="s">
        <v>10</v>
      </c>
      <c r="E415" s="18" t="s">
        <v>65</v>
      </c>
      <c r="F415" s="1">
        <v>0.24850645386359674</v>
      </c>
      <c r="G415" s="1" t="s">
        <v>11</v>
      </c>
      <c r="H415" s="5">
        <v>0.56368102796626984</v>
      </c>
      <c r="I415" s="5">
        <v>0.57403546354391966</v>
      </c>
      <c r="J415" s="4" t="s">
        <v>246</v>
      </c>
    </row>
    <row r="416" spans="1:10">
      <c r="A416" s="4" t="s">
        <v>9</v>
      </c>
      <c r="B416" s="4" t="s">
        <v>353</v>
      </c>
      <c r="C416" s="4">
        <v>48</v>
      </c>
      <c r="D416" s="4" t="s">
        <v>10</v>
      </c>
      <c r="E416" s="18" t="s">
        <v>65</v>
      </c>
      <c r="F416" s="1">
        <v>0.26879181424635967</v>
      </c>
      <c r="G416" s="1" t="s">
        <v>11</v>
      </c>
      <c r="H416" s="5">
        <v>0.57403546354391966</v>
      </c>
      <c r="I416" s="5">
        <v>0.5852351224708513</v>
      </c>
      <c r="J416" s="4" t="s">
        <v>246</v>
      </c>
    </row>
    <row r="417" spans="1:10">
      <c r="A417" s="4" t="s">
        <v>64</v>
      </c>
      <c r="B417" s="4" t="s">
        <v>357</v>
      </c>
      <c r="C417" s="4">
        <v>48</v>
      </c>
      <c r="D417" s="4" t="s">
        <v>10</v>
      </c>
      <c r="E417" s="18">
        <v>7.7962499999557622E-2</v>
      </c>
      <c r="F417" s="1">
        <v>1.1933611768060515</v>
      </c>
      <c r="G417" s="1">
        <v>0.90150790855264284</v>
      </c>
      <c r="H417" s="5">
        <v>0.75</v>
      </c>
      <c r="I417" s="5">
        <v>0.79972338236691876</v>
      </c>
      <c r="J417" s="4" t="s">
        <v>246</v>
      </c>
    </row>
    <row r="418" spans="1:10">
      <c r="A418" s="4" t="s">
        <v>127</v>
      </c>
      <c r="B418" s="4" t="s">
        <v>370</v>
      </c>
      <c r="C418" s="4">
        <v>192</v>
      </c>
      <c r="D418" s="4" t="s">
        <v>20</v>
      </c>
      <c r="E418" s="18">
        <v>45587.79173611111</v>
      </c>
      <c r="F418" s="1">
        <v>0.49226190476190484</v>
      </c>
      <c r="G418" s="1">
        <v>4.7523809523809533</v>
      </c>
      <c r="H418" s="5">
        <v>0.79972338236691876</v>
      </c>
      <c r="I418" s="5">
        <v>0.82023429506533141</v>
      </c>
      <c r="J418" s="4" t="s">
        <v>246</v>
      </c>
    </row>
    <row r="419" spans="1:10">
      <c r="A419" s="4" t="s">
        <v>360</v>
      </c>
      <c r="B419" s="4" t="s">
        <v>361</v>
      </c>
      <c r="C419" s="4">
        <v>36</v>
      </c>
      <c r="D419" s="4" t="s">
        <v>20</v>
      </c>
      <c r="E419" s="18">
        <v>0.14076342592306901</v>
      </c>
      <c r="F419" s="1">
        <v>0.26911976911904761</v>
      </c>
      <c r="G419" s="1" t="s">
        <v>11</v>
      </c>
      <c r="H419" s="5">
        <v>0.82023429506533141</v>
      </c>
      <c r="I419" s="5">
        <v>0.83144761877862505</v>
      </c>
      <c r="J419" s="4" t="s">
        <v>246</v>
      </c>
    </row>
    <row r="420" spans="1:10">
      <c r="A420" s="4" t="s">
        <v>178</v>
      </c>
      <c r="B420" s="4" t="s">
        <v>363</v>
      </c>
      <c r="C420" s="4">
        <v>12</v>
      </c>
      <c r="D420" s="4" t="s">
        <v>20</v>
      </c>
      <c r="E420" s="18">
        <v>8.2187037034600507E-2</v>
      </c>
      <c r="F420" s="1">
        <v>1.2</v>
      </c>
      <c r="G420" s="1" t="s">
        <v>11</v>
      </c>
      <c r="H420" s="5">
        <v>0.83144761877862505</v>
      </c>
      <c r="I420" s="5">
        <v>0.8814476187786251</v>
      </c>
      <c r="J420" s="4" t="s">
        <v>246</v>
      </c>
    </row>
    <row r="421" spans="1:10">
      <c r="A421" s="4" t="s">
        <v>119</v>
      </c>
      <c r="B421" s="4" t="s">
        <v>365</v>
      </c>
      <c r="C421" s="4">
        <v>180</v>
      </c>
      <c r="D421" s="4" t="s">
        <v>20</v>
      </c>
      <c r="E421" s="18">
        <v>3.1689351853856351E-2</v>
      </c>
      <c r="F421" s="1">
        <v>0.31522763660778846</v>
      </c>
      <c r="G421" s="1" t="s">
        <v>11</v>
      </c>
      <c r="H421" s="5">
        <v>0.8814476187786251</v>
      </c>
      <c r="I421" s="5">
        <v>0.89458210363728297</v>
      </c>
      <c r="J421" s="4" t="s">
        <v>246</v>
      </c>
    </row>
    <row r="422" spans="1:10" s="14" customFormat="1" ht="9.75" customHeight="1">
      <c r="A422" s="9"/>
      <c r="B422" s="9"/>
      <c r="C422" s="9"/>
      <c r="D422" s="9"/>
      <c r="E422" s="12"/>
      <c r="F422" s="10"/>
      <c r="G422" s="11"/>
      <c r="H422" s="11"/>
    </row>
    <row r="423" spans="1:10">
      <c r="A423" s="4" t="s">
        <v>116</v>
      </c>
      <c r="B423" s="4" t="s">
        <v>375</v>
      </c>
      <c r="C423" s="4">
        <v>24</v>
      </c>
      <c r="D423" s="4" t="s">
        <v>20</v>
      </c>
      <c r="E423" s="19" t="s">
        <v>65</v>
      </c>
      <c r="F423" s="1">
        <v>0.85714285714285721</v>
      </c>
      <c r="G423" s="1">
        <v>1.0952380952380953</v>
      </c>
      <c r="H423" s="5">
        <v>0.75</v>
      </c>
      <c r="I423" s="5">
        <v>0.7857142857142857</v>
      </c>
      <c r="J423" s="4" t="s">
        <v>245</v>
      </c>
    </row>
    <row r="424" spans="1:10">
      <c r="A424" s="4" t="s">
        <v>376</v>
      </c>
      <c r="B424" s="4" t="s">
        <v>377</v>
      </c>
      <c r="C424" s="4">
        <v>144</v>
      </c>
      <c r="D424" s="4" t="s">
        <v>20</v>
      </c>
      <c r="E424" s="19" t="s">
        <v>65</v>
      </c>
      <c r="F424" s="1">
        <v>0.32467532467532467</v>
      </c>
      <c r="G424" s="1" t="s">
        <v>11</v>
      </c>
      <c r="H424" s="5">
        <v>0.7857142857142857</v>
      </c>
      <c r="I424" s="5">
        <v>0.7992424242424242</v>
      </c>
      <c r="J424" s="4" t="s">
        <v>245</v>
      </c>
    </row>
    <row r="425" spans="1:10">
      <c r="A425" s="4" t="s">
        <v>231</v>
      </c>
      <c r="B425" s="4" t="s">
        <v>378</v>
      </c>
      <c r="C425" s="4">
        <v>96</v>
      </c>
      <c r="D425" s="4" t="s">
        <v>20</v>
      </c>
      <c r="E425" s="19" t="s">
        <v>65</v>
      </c>
      <c r="F425" s="1">
        <v>0.32279550651158173</v>
      </c>
      <c r="G425" s="1" t="s">
        <v>11</v>
      </c>
      <c r="H425" s="5">
        <v>0.7992424242424242</v>
      </c>
      <c r="I425" s="5">
        <v>0.81269223701374016</v>
      </c>
      <c r="J425" s="4" t="s">
        <v>245</v>
      </c>
    </row>
    <row r="426" spans="1:10">
      <c r="A426" s="4" t="s">
        <v>379</v>
      </c>
      <c r="B426" s="4" t="s">
        <v>380</v>
      </c>
      <c r="C426" s="4">
        <v>12</v>
      </c>
      <c r="D426" s="4" t="s">
        <v>20</v>
      </c>
      <c r="E426" s="19" t="s">
        <v>65</v>
      </c>
      <c r="F426" s="1">
        <v>0.30952380952380953</v>
      </c>
      <c r="G426" s="1" t="s">
        <v>11</v>
      </c>
      <c r="H426" s="5">
        <v>0.81269223701374016</v>
      </c>
      <c r="I426" s="5">
        <v>0.82558906241056551</v>
      </c>
      <c r="J426" s="4" t="s">
        <v>245</v>
      </c>
    </row>
    <row r="427" spans="1:10">
      <c r="A427" s="4" t="s">
        <v>79</v>
      </c>
      <c r="B427" s="4" t="s">
        <v>390</v>
      </c>
      <c r="C427" s="4">
        <v>48</v>
      </c>
      <c r="D427" s="4" t="s">
        <v>20</v>
      </c>
      <c r="E427" s="7">
        <v>45588.77275462963</v>
      </c>
      <c r="F427" s="1">
        <v>0.32837301587301587</v>
      </c>
      <c r="G427" s="1">
        <v>1.142857142857143</v>
      </c>
      <c r="H427" s="5">
        <v>0.82558906241056551</v>
      </c>
      <c r="I427" s="5">
        <v>0.83927127140527447</v>
      </c>
      <c r="J427" s="4" t="s">
        <v>245</v>
      </c>
    </row>
    <row r="428" spans="1:10">
      <c r="A428" s="4" t="s">
        <v>104</v>
      </c>
      <c r="B428" s="4" t="s">
        <v>391</v>
      </c>
      <c r="C428" s="4">
        <v>48</v>
      </c>
      <c r="D428" s="4" t="s">
        <v>20</v>
      </c>
      <c r="E428" s="7">
        <v>45588.850289351853</v>
      </c>
      <c r="F428" s="1">
        <v>1.0198412698412695</v>
      </c>
      <c r="G428" s="1">
        <v>1.3789682539682542</v>
      </c>
      <c r="H428" s="5">
        <v>0.83927127140527447</v>
      </c>
      <c r="I428" s="5">
        <v>0.88176465764866074</v>
      </c>
      <c r="J428" s="4" t="s">
        <v>245</v>
      </c>
    </row>
    <row r="429" spans="1:10">
      <c r="A429" s="4" t="s">
        <v>392</v>
      </c>
      <c r="B429" s="4" t="s">
        <v>393</v>
      </c>
      <c r="C429" s="4">
        <v>48</v>
      </c>
      <c r="D429" s="4" t="s">
        <v>20</v>
      </c>
      <c r="E429" s="7">
        <v>45588.903854166667</v>
      </c>
      <c r="F429" s="1">
        <v>1.7619047619047621</v>
      </c>
      <c r="G429" s="1" t="s">
        <v>11</v>
      </c>
      <c r="H429" s="5">
        <v>0.88176465764866074</v>
      </c>
      <c r="I429" s="5">
        <v>0.95517735606135912</v>
      </c>
      <c r="J429" s="4" t="s">
        <v>245</v>
      </c>
    </row>
    <row r="430" spans="1:10">
      <c r="A430" s="4" t="s">
        <v>57</v>
      </c>
      <c r="B430" s="4" t="s">
        <v>394</v>
      </c>
      <c r="C430" s="4">
        <v>24</v>
      </c>
      <c r="D430" s="4" t="s">
        <v>20</v>
      </c>
      <c r="E430" s="7">
        <v>45588.936168981483</v>
      </c>
      <c r="F430" s="1">
        <v>0.51339285714285721</v>
      </c>
      <c r="G430" s="1" t="s">
        <v>11</v>
      </c>
      <c r="H430" s="5">
        <v>0.95517735606135912</v>
      </c>
      <c r="I430" s="5">
        <v>0.97656872510897819</v>
      </c>
      <c r="J430" s="4" t="s">
        <v>245</v>
      </c>
    </row>
    <row r="431" spans="1:10">
      <c r="A431" s="4" t="s">
        <v>105</v>
      </c>
      <c r="B431" s="4" t="s">
        <v>395</v>
      </c>
      <c r="C431" s="4">
        <v>48</v>
      </c>
      <c r="D431" s="4" t="s">
        <v>20</v>
      </c>
      <c r="E431" s="7">
        <v>45588.984768518516</v>
      </c>
      <c r="F431" s="1">
        <v>0.81351981351981351</v>
      </c>
      <c r="G431" s="1">
        <v>0.34998334998335007</v>
      </c>
      <c r="H431" s="5">
        <v>0.97656872510897819</v>
      </c>
      <c r="I431" s="5">
        <v>1.010465384005637</v>
      </c>
      <c r="J431" s="4" t="s">
        <v>245</v>
      </c>
    </row>
    <row r="432" spans="1:10">
      <c r="A432" s="4" t="s">
        <v>98</v>
      </c>
      <c r="B432" s="4" t="s">
        <v>396</v>
      </c>
      <c r="C432" s="4">
        <v>96</v>
      </c>
      <c r="D432" s="4" t="s">
        <v>20</v>
      </c>
      <c r="E432" s="7">
        <v>45589.018495370372</v>
      </c>
      <c r="F432" s="1">
        <v>0.32539682539682541</v>
      </c>
      <c r="G432" s="1">
        <v>0.49867724867724872</v>
      </c>
      <c r="H432" s="5">
        <v>1.010465384005637</v>
      </c>
      <c r="I432" s="5">
        <v>1.0240235850638382</v>
      </c>
      <c r="J432" s="4" t="s">
        <v>245</v>
      </c>
    </row>
    <row r="433" spans="1:10">
      <c r="A433" s="4" t="s">
        <v>58</v>
      </c>
      <c r="B433" s="4" t="s">
        <v>397</v>
      </c>
      <c r="C433" s="4">
        <v>96</v>
      </c>
      <c r="D433" s="4" t="s">
        <v>20</v>
      </c>
      <c r="E433" s="7">
        <v>45589.045277777775</v>
      </c>
      <c r="F433" s="1">
        <v>0.49404761904761907</v>
      </c>
      <c r="G433" s="1" t="s">
        <v>11</v>
      </c>
      <c r="H433" s="5">
        <v>1.0240235850638382</v>
      </c>
      <c r="I433" s="5">
        <v>1.0446089025241556</v>
      </c>
      <c r="J433" s="4" t="s">
        <v>245</v>
      </c>
    </row>
    <row r="434" spans="1:10">
      <c r="A434" s="4" t="s">
        <v>381</v>
      </c>
      <c r="B434" s="4" t="s">
        <v>382</v>
      </c>
      <c r="C434" s="4">
        <v>24</v>
      </c>
      <c r="D434" s="4" t="s">
        <v>10</v>
      </c>
      <c r="E434" s="19" t="s">
        <v>65</v>
      </c>
      <c r="F434" s="15">
        <v>0.75</v>
      </c>
      <c r="G434" s="1" t="s">
        <v>11</v>
      </c>
      <c r="H434" s="5">
        <v>0.75</v>
      </c>
      <c r="I434" s="5">
        <v>0.78125</v>
      </c>
      <c r="J434" s="4" t="s">
        <v>246</v>
      </c>
    </row>
    <row r="435" spans="1:10">
      <c r="A435" s="4" t="s">
        <v>151</v>
      </c>
      <c r="B435" s="4" t="s">
        <v>383</v>
      </c>
      <c r="C435" s="4">
        <v>72</v>
      </c>
      <c r="D435" s="4" t="s">
        <v>10</v>
      </c>
      <c r="E435" s="19" t="s">
        <v>65</v>
      </c>
      <c r="F435" s="1">
        <v>0.49999995238095235</v>
      </c>
      <c r="G435" s="1" t="s">
        <v>11</v>
      </c>
      <c r="H435" s="5">
        <v>0.78125</v>
      </c>
      <c r="I435" s="5">
        <v>0.8020833313492064</v>
      </c>
      <c r="J435" s="4" t="s">
        <v>246</v>
      </c>
    </row>
    <row r="436" spans="1:10">
      <c r="A436" s="4" t="s">
        <v>34</v>
      </c>
      <c r="B436" s="4" t="s">
        <v>398</v>
      </c>
      <c r="C436" s="4">
        <v>60</v>
      </c>
      <c r="D436" s="4" t="s">
        <v>10</v>
      </c>
      <c r="E436" s="7">
        <v>45588.75271990741</v>
      </c>
      <c r="F436" s="1">
        <v>0.60442083169355953</v>
      </c>
      <c r="G436" s="1">
        <v>0.50964187327823696</v>
      </c>
      <c r="H436" s="5">
        <v>0.8020833313492064</v>
      </c>
      <c r="I436" s="5">
        <v>0.82726753266977138</v>
      </c>
      <c r="J436" s="4" t="s">
        <v>246</v>
      </c>
    </row>
    <row r="437" spans="1:10">
      <c r="A437" s="4" t="s">
        <v>64</v>
      </c>
      <c r="B437" s="4" t="s">
        <v>400</v>
      </c>
      <c r="C437" s="4">
        <v>48</v>
      </c>
      <c r="D437" s="4" t="s">
        <v>10</v>
      </c>
      <c r="E437" s="7">
        <v>45588.816099537034</v>
      </c>
      <c r="F437" s="1">
        <v>1.1933611768060515</v>
      </c>
      <c r="G437" s="1">
        <v>0.90150790855264284</v>
      </c>
      <c r="H437" s="5">
        <v>0.82726753266977138</v>
      </c>
      <c r="I437" s="5">
        <v>0.87699091503669013</v>
      </c>
      <c r="J437" s="4" t="s">
        <v>246</v>
      </c>
    </row>
    <row r="438" spans="1:10">
      <c r="A438" s="4" t="s">
        <v>96</v>
      </c>
      <c r="B438" s="4" t="s">
        <v>384</v>
      </c>
      <c r="C438" s="4">
        <v>12</v>
      </c>
      <c r="D438" s="4" t="s">
        <v>10</v>
      </c>
      <c r="E438" s="19" t="s">
        <v>65</v>
      </c>
      <c r="F438" s="15">
        <v>0.75</v>
      </c>
      <c r="G438" s="1" t="s">
        <v>11</v>
      </c>
      <c r="H438" s="5">
        <v>0.87699091503669013</v>
      </c>
      <c r="I438" s="5">
        <v>0.90824091503669013</v>
      </c>
      <c r="J438" s="4" t="s">
        <v>246</v>
      </c>
    </row>
    <row r="439" spans="1:10">
      <c r="A439" s="4" t="s">
        <v>385</v>
      </c>
      <c r="B439" s="4" t="s">
        <v>386</v>
      </c>
      <c r="C439" s="4">
        <v>192</v>
      </c>
      <c r="D439" s="4" t="s">
        <v>10</v>
      </c>
      <c r="E439" s="19" t="s">
        <v>65</v>
      </c>
      <c r="F439" s="1">
        <v>1.3880445795339416</v>
      </c>
      <c r="G439" s="1" t="s">
        <v>11</v>
      </c>
      <c r="H439" s="5">
        <v>0.90824091503669013</v>
      </c>
      <c r="I439" s="5">
        <v>0.96607610585060433</v>
      </c>
      <c r="J439" s="4" t="s">
        <v>246</v>
      </c>
    </row>
    <row r="440" spans="1:10">
      <c r="A440" s="4" t="s">
        <v>106</v>
      </c>
      <c r="B440" s="4" t="s">
        <v>399</v>
      </c>
      <c r="C440" s="4">
        <v>60</v>
      </c>
      <c r="D440" s="4" t="s">
        <v>10</v>
      </c>
      <c r="E440" s="7">
        <v>45588.76253472222</v>
      </c>
      <c r="F440" s="1">
        <v>0.24850645386359674</v>
      </c>
      <c r="G440" s="1" t="s">
        <v>11</v>
      </c>
      <c r="H440" s="5">
        <v>0.96607610585060433</v>
      </c>
      <c r="I440" s="5">
        <v>0.97643054142825414</v>
      </c>
      <c r="J440" s="4" t="s">
        <v>246</v>
      </c>
    </row>
    <row r="441" spans="1:10">
      <c r="A441" s="4" t="s">
        <v>21</v>
      </c>
      <c r="B441" s="4" t="s">
        <v>387</v>
      </c>
      <c r="C441" s="4">
        <v>48</v>
      </c>
      <c r="D441" s="4" t="s">
        <v>14</v>
      </c>
      <c r="E441" s="19" t="s">
        <v>65</v>
      </c>
      <c r="F441" s="1">
        <v>0.75420015367682192</v>
      </c>
      <c r="G441" s="1">
        <v>0.84665545241210305</v>
      </c>
      <c r="H441" s="5">
        <v>0.75</v>
      </c>
      <c r="I441" s="5">
        <v>0.78142500640320089</v>
      </c>
      <c r="J441" s="4" t="s">
        <v>402</v>
      </c>
    </row>
    <row r="442" spans="1:10">
      <c r="A442" s="4" t="s">
        <v>373</v>
      </c>
      <c r="B442" s="4" t="s">
        <v>388</v>
      </c>
      <c r="C442" s="4">
        <v>48</v>
      </c>
      <c r="D442" s="4" t="s">
        <v>14</v>
      </c>
      <c r="E442" s="19" t="s">
        <v>65</v>
      </c>
      <c r="F442" s="1">
        <v>0.67878561904761914</v>
      </c>
      <c r="G442" s="1">
        <v>0.66262704761904767</v>
      </c>
      <c r="H442" s="5">
        <v>0.78142500640320089</v>
      </c>
      <c r="I442" s="5">
        <v>0.80970774053018502</v>
      </c>
      <c r="J442" s="4" t="s">
        <v>402</v>
      </c>
    </row>
    <row r="443" spans="1:10">
      <c r="A443" s="4" t="s">
        <v>18</v>
      </c>
      <c r="B443" s="4" t="s">
        <v>389</v>
      </c>
      <c r="C443" s="4">
        <v>288</v>
      </c>
      <c r="D443" s="4" t="s">
        <v>14</v>
      </c>
      <c r="E443" s="7">
        <v>45588.90662037037</v>
      </c>
      <c r="F443" s="1">
        <v>2.428571428571427</v>
      </c>
      <c r="G443" s="1">
        <v>1.9523809523809526</v>
      </c>
      <c r="H443" s="5">
        <v>0.80970774053018502</v>
      </c>
      <c r="I443" s="5">
        <v>0.91089821672066118</v>
      </c>
      <c r="J443" s="4" t="s">
        <v>402</v>
      </c>
    </row>
    <row r="444" spans="1:10">
      <c r="A444" s="4" t="s">
        <v>18</v>
      </c>
      <c r="B444" s="4" t="s">
        <v>401</v>
      </c>
      <c r="C444" s="4">
        <v>288</v>
      </c>
      <c r="D444" s="4" t="s">
        <v>14</v>
      </c>
      <c r="E444" s="7">
        <v>45588.99927083333</v>
      </c>
      <c r="F444" s="1">
        <v>2.428571428571427</v>
      </c>
      <c r="G444" s="1">
        <v>1.9523809523809526</v>
      </c>
      <c r="H444" s="5">
        <v>0.91089821672066118</v>
      </c>
      <c r="I444" s="5">
        <v>1.0120886929111372</v>
      </c>
      <c r="J444" s="4" t="s">
        <v>402</v>
      </c>
    </row>
    <row r="445" spans="1:10" s="14" customFormat="1" ht="9.75" customHeight="1">
      <c r="A445" s="9"/>
      <c r="B445" s="9"/>
      <c r="C445" s="9"/>
      <c r="D445" s="9"/>
      <c r="E445" s="12"/>
      <c r="F445" s="10"/>
      <c r="G445" s="11"/>
      <c r="H445" s="11"/>
    </row>
    <row r="446" spans="1:10">
      <c r="A446" s="4" t="s">
        <v>41</v>
      </c>
      <c r="B446" s="4" t="s">
        <v>403</v>
      </c>
      <c r="C446" s="4">
        <v>240</v>
      </c>
      <c r="D446" s="4" t="s">
        <v>20</v>
      </c>
      <c r="E446" s="7" t="s">
        <v>65</v>
      </c>
      <c r="F446" s="1">
        <v>0.42412698412698413</v>
      </c>
      <c r="G446" s="1">
        <v>0.2904761904761905</v>
      </c>
      <c r="H446" s="5">
        <v>0.75</v>
      </c>
      <c r="I446" s="5">
        <v>0.76767195767195773</v>
      </c>
      <c r="J446" s="4" t="s">
        <v>245</v>
      </c>
    </row>
    <row r="447" spans="1:10">
      <c r="A447" s="4" t="s">
        <v>33</v>
      </c>
      <c r="B447" s="4" t="s">
        <v>405</v>
      </c>
      <c r="C447" s="4">
        <v>24</v>
      </c>
      <c r="D447" s="4" t="s">
        <v>20</v>
      </c>
      <c r="E447" s="7" t="s">
        <v>65</v>
      </c>
      <c r="F447" s="1">
        <v>0.35833333333333339</v>
      </c>
      <c r="G447" s="1">
        <v>0.43571428571428572</v>
      </c>
      <c r="H447" s="5">
        <v>0.76767195767195773</v>
      </c>
      <c r="I447" s="5">
        <v>0.78260251322751329</v>
      </c>
      <c r="J447" s="4" t="s">
        <v>245</v>
      </c>
    </row>
    <row r="448" spans="1:10">
      <c r="A448" s="4" t="s">
        <v>23</v>
      </c>
      <c r="B448" s="4" t="s">
        <v>404</v>
      </c>
      <c r="C448" s="4">
        <v>48</v>
      </c>
      <c r="D448" s="4" t="s">
        <v>20</v>
      </c>
      <c r="E448" s="7" t="s">
        <v>65</v>
      </c>
      <c r="F448" s="1">
        <v>0.24032738095238099</v>
      </c>
      <c r="G448" s="1" t="s">
        <v>11</v>
      </c>
      <c r="H448" s="5">
        <v>0.78260251322751329</v>
      </c>
      <c r="I448" s="5">
        <v>0.79261615410052921</v>
      </c>
      <c r="J448" s="4" t="s">
        <v>245</v>
      </c>
    </row>
    <row r="449" spans="1:10">
      <c r="A449" s="4" t="s">
        <v>130</v>
      </c>
      <c r="B449" s="4" t="s">
        <v>406</v>
      </c>
      <c r="C449" s="4">
        <v>12</v>
      </c>
      <c r="D449" s="4" t="s">
        <v>20</v>
      </c>
      <c r="E449" s="7" t="s">
        <v>65</v>
      </c>
      <c r="F449" s="1">
        <v>0.40952380952380957</v>
      </c>
      <c r="G449" s="1" t="s">
        <v>11</v>
      </c>
      <c r="H449" s="5">
        <v>0.79261615410052921</v>
      </c>
      <c r="I449" s="5">
        <v>0.80967964616402133</v>
      </c>
      <c r="J449" s="4" t="s">
        <v>245</v>
      </c>
    </row>
    <row r="450" spans="1:10">
      <c r="A450" s="4" t="s">
        <v>46</v>
      </c>
      <c r="B450" s="4" t="s">
        <v>407</v>
      </c>
      <c r="C450" s="4">
        <v>448</v>
      </c>
      <c r="D450" s="4" t="s">
        <v>14</v>
      </c>
      <c r="E450" s="7" t="s">
        <v>65</v>
      </c>
      <c r="F450" s="1">
        <v>0.25003382192148432</v>
      </c>
      <c r="G450" s="1">
        <v>0.27538584713378622</v>
      </c>
      <c r="H450" s="5">
        <v>0.75</v>
      </c>
      <c r="I450" s="5">
        <v>0.76041807591339516</v>
      </c>
      <c r="J450" s="4" t="s">
        <v>402</v>
      </c>
    </row>
    <row r="451" spans="1:10">
      <c r="A451" s="4" t="s">
        <v>21</v>
      </c>
      <c r="B451" s="4" t="s">
        <v>408</v>
      </c>
      <c r="C451" s="4">
        <v>48</v>
      </c>
      <c r="D451" s="4" t="s">
        <v>14</v>
      </c>
      <c r="E451" s="7" t="s">
        <v>65</v>
      </c>
      <c r="F451" s="1">
        <v>0.75420015367682192</v>
      </c>
      <c r="G451" s="1">
        <v>0.84665545241210305</v>
      </c>
      <c r="H451" s="5">
        <v>0.76041807591339516</v>
      </c>
      <c r="I451" s="5">
        <v>0.79184308231659606</v>
      </c>
      <c r="J451" s="4" t="s">
        <v>402</v>
      </c>
    </row>
    <row r="452" spans="1:10">
      <c r="A452" s="4" t="s">
        <v>373</v>
      </c>
      <c r="B452" s="4" t="s">
        <v>409</v>
      </c>
      <c r="C452" s="4">
        <v>48</v>
      </c>
      <c r="D452" s="4" t="s">
        <v>14</v>
      </c>
      <c r="E452" s="7" t="s">
        <v>65</v>
      </c>
      <c r="F452" s="1">
        <v>0.67878561904761914</v>
      </c>
      <c r="G452" s="1">
        <v>0.66262704761904767</v>
      </c>
      <c r="H452" s="5">
        <v>0.79184308231659606</v>
      </c>
      <c r="I452" s="5">
        <v>0.82012581644358018</v>
      </c>
      <c r="J452" s="4" t="s">
        <v>402</v>
      </c>
    </row>
    <row r="453" spans="1:10">
      <c r="A453" s="4" t="s">
        <v>18</v>
      </c>
      <c r="B453" s="4" t="s">
        <v>410</v>
      </c>
      <c r="C453" s="4">
        <v>288</v>
      </c>
      <c r="D453" s="4" t="s">
        <v>14</v>
      </c>
      <c r="E453" s="7">
        <v>45589.757754629631</v>
      </c>
      <c r="F453" s="1">
        <v>2.428571428571427</v>
      </c>
      <c r="G453" s="1">
        <v>1.9523809523809526</v>
      </c>
      <c r="H453" s="5">
        <v>0.82012581644358018</v>
      </c>
      <c r="I453" s="5">
        <v>0.92131629263405634</v>
      </c>
      <c r="J453" s="4" t="s">
        <v>402</v>
      </c>
    </row>
    <row r="454" spans="1:10" s="14" customFormat="1" ht="9.75" customHeight="1">
      <c r="A454" s="9"/>
      <c r="B454" s="9"/>
      <c r="C454" s="9"/>
      <c r="D454" s="9"/>
      <c r="E454" s="12"/>
      <c r="F454" s="10"/>
      <c r="G454" s="11"/>
      <c r="H454" s="11"/>
    </row>
    <row r="455" spans="1:10">
      <c r="A455" s="4" t="s">
        <v>411</v>
      </c>
      <c r="B455" s="4" t="s">
        <v>412</v>
      </c>
      <c r="C455" s="4">
        <v>2</v>
      </c>
      <c r="D455" s="4" t="s">
        <v>20</v>
      </c>
      <c r="E455" s="17" t="s">
        <v>65</v>
      </c>
      <c r="F455" s="16">
        <v>0.75</v>
      </c>
      <c r="G455" s="1" t="s">
        <v>11</v>
      </c>
      <c r="H455" s="5">
        <v>0.75</v>
      </c>
      <c r="I455" s="5">
        <v>0.78125</v>
      </c>
      <c r="J455" s="4" t="s">
        <v>245</v>
      </c>
    </row>
    <row r="456" spans="1:10">
      <c r="A456" s="4" t="s">
        <v>413</v>
      </c>
      <c r="B456" s="4" t="s">
        <v>414</v>
      </c>
      <c r="C456" s="4">
        <v>12</v>
      </c>
      <c r="D456" s="4" t="s">
        <v>20</v>
      </c>
      <c r="E456" s="17" t="s">
        <v>65</v>
      </c>
      <c r="F456" s="16">
        <v>0.75</v>
      </c>
      <c r="G456" s="1" t="s">
        <v>11</v>
      </c>
      <c r="H456" s="5">
        <v>0.78125</v>
      </c>
      <c r="I456" s="5">
        <v>0.8125</v>
      </c>
      <c r="J456" s="4" t="s">
        <v>245</v>
      </c>
    </row>
    <row r="457" spans="1:10">
      <c r="A457" s="4" t="s">
        <v>415</v>
      </c>
      <c r="B457" s="4" t="s">
        <v>416</v>
      </c>
      <c r="C457" s="4">
        <v>24</v>
      </c>
      <c r="D457" s="4" t="s">
        <v>20</v>
      </c>
      <c r="E457" s="17" t="s">
        <v>65</v>
      </c>
      <c r="F457" s="1">
        <v>0.50680272108843538</v>
      </c>
      <c r="G457" s="1" t="s">
        <v>11</v>
      </c>
      <c r="H457" s="5">
        <v>0.8125</v>
      </c>
      <c r="I457" s="5">
        <v>0.83361678004535145</v>
      </c>
      <c r="J457" s="4" t="s">
        <v>245</v>
      </c>
    </row>
    <row r="458" spans="1:10" s="14" customFormat="1" ht="9.75" customHeight="1">
      <c r="A458" s="9"/>
      <c r="B458" s="9"/>
      <c r="C458" s="9"/>
      <c r="D458" s="9"/>
      <c r="E458" s="12"/>
      <c r="F458" s="10"/>
      <c r="G458" s="11"/>
      <c r="H458" s="11"/>
    </row>
    <row r="459" spans="1:10">
      <c r="A459" s="4" t="s">
        <v>204</v>
      </c>
      <c r="B459" s="4" t="s">
        <v>417</v>
      </c>
      <c r="C459" s="4">
        <v>24</v>
      </c>
      <c r="D459" s="4" t="s">
        <v>20</v>
      </c>
      <c r="E459" s="17" t="s">
        <v>65</v>
      </c>
      <c r="F459" s="1">
        <v>0.42063492063492069</v>
      </c>
      <c r="G459" s="1">
        <v>1.3929333333333334</v>
      </c>
      <c r="H459" s="5">
        <v>0.75</v>
      </c>
      <c r="I459" s="5">
        <v>0.767526455026455</v>
      </c>
      <c r="J459" s="4" t="s">
        <v>245</v>
      </c>
    </row>
    <row r="460" spans="1:10">
      <c r="A460" s="4" t="s">
        <v>178</v>
      </c>
      <c r="B460" s="4" t="s">
        <v>418</v>
      </c>
      <c r="C460" s="4">
        <v>12</v>
      </c>
      <c r="D460" s="4" t="s">
        <v>20</v>
      </c>
      <c r="E460" s="17" t="s">
        <v>65</v>
      </c>
      <c r="F460" s="1">
        <v>1.2</v>
      </c>
      <c r="G460" s="1" t="s">
        <v>11</v>
      </c>
      <c r="H460" s="5">
        <v>0.767526455026455</v>
      </c>
      <c r="I460" s="5">
        <v>0.81752645502645505</v>
      </c>
      <c r="J460" s="4" t="s">
        <v>245</v>
      </c>
    </row>
    <row r="461" spans="1:10">
      <c r="A461" s="4" t="s">
        <v>119</v>
      </c>
      <c r="B461" s="4" t="s">
        <v>427</v>
      </c>
      <c r="C461" s="4">
        <v>160</v>
      </c>
      <c r="D461" s="4" t="s">
        <v>20</v>
      </c>
      <c r="E461" s="7">
        <v>45601.716805555552</v>
      </c>
      <c r="F461" s="1">
        <v>0.30665737010639399</v>
      </c>
      <c r="G461" s="1" t="s">
        <v>11</v>
      </c>
      <c r="H461" s="5">
        <v>0.81752645502645505</v>
      </c>
      <c r="I461" s="5">
        <v>0.83030384544755476</v>
      </c>
      <c r="J461" s="4" t="s">
        <v>245</v>
      </c>
    </row>
    <row r="462" spans="1:10">
      <c r="A462" s="4" t="s">
        <v>119</v>
      </c>
      <c r="B462" s="4" t="s">
        <v>428</v>
      </c>
      <c r="C462" s="4">
        <v>180</v>
      </c>
      <c r="D462" s="4" t="s">
        <v>20</v>
      </c>
      <c r="E462" s="7">
        <v>45601.777245370373</v>
      </c>
      <c r="F462" s="1">
        <v>0.31522763660778846</v>
      </c>
      <c r="G462" s="1" t="s">
        <v>11</v>
      </c>
      <c r="H462" s="5">
        <v>0.83030384544755476</v>
      </c>
      <c r="I462" s="5">
        <v>0.84343833030621262</v>
      </c>
      <c r="J462" s="4" t="s">
        <v>245</v>
      </c>
    </row>
    <row r="463" spans="1:10">
      <c r="A463" s="4" t="s">
        <v>80</v>
      </c>
      <c r="B463" s="4" t="s">
        <v>429</v>
      </c>
      <c r="C463" s="4">
        <v>48</v>
      </c>
      <c r="D463" s="4" t="s">
        <v>20</v>
      </c>
      <c r="E463" s="7">
        <v>45601.802499999998</v>
      </c>
      <c r="F463" s="1">
        <v>0.46638655462184869</v>
      </c>
      <c r="G463" s="1" t="s">
        <v>11</v>
      </c>
      <c r="H463" s="5">
        <v>0.84343833030621262</v>
      </c>
      <c r="I463" s="5">
        <v>0.86287110341545636</v>
      </c>
      <c r="J463" s="4" t="s">
        <v>245</v>
      </c>
    </row>
    <row r="464" spans="1:10">
      <c r="A464" s="4" t="s">
        <v>82</v>
      </c>
      <c r="B464" s="4" t="s">
        <v>430</v>
      </c>
      <c r="C464" s="4">
        <v>96</v>
      </c>
      <c r="D464" s="4" t="s">
        <v>20</v>
      </c>
      <c r="E464" s="7">
        <v>45601.908310185187</v>
      </c>
      <c r="F464" s="1">
        <v>0.85634920634920642</v>
      </c>
      <c r="G464" s="1" t="s">
        <v>11</v>
      </c>
      <c r="H464" s="5">
        <v>45601.908310185187</v>
      </c>
      <c r="I464" s="5">
        <v>45601.94399140212</v>
      </c>
      <c r="J464" s="4" t="s">
        <v>245</v>
      </c>
    </row>
    <row r="465" spans="1:10">
      <c r="A465" s="4" t="s">
        <v>41</v>
      </c>
      <c r="B465" s="4" t="s">
        <v>431</v>
      </c>
      <c r="C465" s="4">
        <v>240</v>
      </c>
      <c r="D465" s="4" t="s">
        <v>20</v>
      </c>
      <c r="E465" s="7">
        <v>45601.968819444446</v>
      </c>
      <c r="F465" s="1">
        <v>0.42412698412698413</v>
      </c>
      <c r="G465" s="1">
        <v>0.2904761904761905</v>
      </c>
      <c r="H465" s="5">
        <v>45601.968819444446</v>
      </c>
      <c r="I465" s="5">
        <v>45601.986491402116</v>
      </c>
      <c r="J465" s="4" t="s">
        <v>245</v>
      </c>
    </row>
    <row r="466" spans="1:10">
      <c r="A466" s="4" t="s">
        <v>419</v>
      </c>
      <c r="B466" s="4" t="s">
        <v>420</v>
      </c>
      <c r="C466" s="4">
        <v>14</v>
      </c>
      <c r="D466" s="4" t="s">
        <v>20</v>
      </c>
      <c r="E466" s="7">
        <v>9.8293981478491332E-2</v>
      </c>
      <c r="F466" s="1" t="s">
        <v>11</v>
      </c>
      <c r="G466" s="1" t="s">
        <v>11</v>
      </c>
      <c r="H466" s="5" t="e">
        <v>#REF!</v>
      </c>
      <c r="I466" s="5" t="e">
        <v>#REF!</v>
      </c>
      <c r="J466" s="4" t="s">
        <v>245</v>
      </c>
    </row>
    <row r="467" spans="1:10">
      <c r="A467" s="4" t="s">
        <v>44</v>
      </c>
      <c r="B467" s="4" t="s">
        <v>421</v>
      </c>
      <c r="C467" s="4">
        <v>60</v>
      </c>
      <c r="D467" s="4" t="s">
        <v>10</v>
      </c>
      <c r="E467" s="17" t="s">
        <v>65</v>
      </c>
      <c r="F467" s="1">
        <v>1.8286112596039952</v>
      </c>
      <c r="G467" s="1">
        <v>2.2697923545381169</v>
      </c>
      <c r="H467" s="5">
        <v>0.75</v>
      </c>
      <c r="I467" s="5">
        <v>0.82619213581683315</v>
      </c>
      <c r="J467" s="4" t="s">
        <v>246</v>
      </c>
    </row>
    <row r="468" spans="1:10">
      <c r="A468" s="4" t="s">
        <v>106</v>
      </c>
      <c r="B468" s="4" t="s">
        <v>422</v>
      </c>
      <c r="C468" s="4">
        <v>60</v>
      </c>
      <c r="D468" s="4" t="s">
        <v>10</v>
      </c>
      <c r="E468" s="17" t="s">
        <v>65</v>
      </c>
      <c r="F468" s="1">
        <v>0.24850645386359674</v>
      </c>
      <c r="G468" s="1" t="s">
        <v>11</v>
      </c>
      <c r="H468" s="5">
        <v>0.82619213581683315</v>
      </c>
      <c r="I468" s="5">
        <v>0.83654657139448296</v>
      </c>
      <c r="J468" s="4" t="s">
        <v>246</v>
      </c>
    </row>
    <row r="469" spans="1:10">
      <c r="A469" s="4" t="s">
        <v>85</v>
      </c>
      <c r="B469" s="4" t="s">
        <v>423</v>
      </c>
      <c r="C469" s="4">
        <v>48</v>
      </c>
      <c r="D469" s="4" t="s">
        <v>10</v>
      </c>
      <c r="E469" s="17" t="s">
        <v>65</v>
      </c>
      <c r="F469" s="1">
        <v>0.25685527019796683</v>
      </c>
      <c r="G469" s="1" t="s">
        <v>11</v>
      </c>
      <c r="H469" s="5">
        <v>0.83654657139448296</v>
      </c>
      <c r="I469" s="5">
        <v>0.84724887431939822</v>
      </c>
      <c r="J469" s="4" t="s">
        <v>246</v>
      </c>
    </row>
    <row r="470" spans="1:10">
      <c r="A470" s="4" t="s">
        <v>63</v>
      </c>
      <c r="B470" s="4" t="s">
        <v>432</v>
      </c>
      <c r="C470" s="4">
        <v>60</v>
      </c>
      <c r="D470" s="4" t="s">
        <v>10</v>
      </c>
      <c r="E470" s="7">
        <v>45601.774259259262</v>
      </c>
      <c r="F470" s="1">
        <v>0.52633281573498936</v>
      </c>
      <c r="G470" s="1" t="s">
        <v>11</v>
      </c>
      <c r="H470" s="5">
        <v>0.84724887431939822</v>
      </c>
      <c r="I470" s="5">
        <v>0.86917940830835616</v>
      </c>
      <c r="J470" s="4" t="s">
        <v>246</v>
      </c>
    </row>
    <row r="471" spans="1:10">
      <c r="A471" s="4" t="s">
        <v>72</v>
      </c>
      <c r="B471" s="4" t="s">
        <v>433</v>
      </c>
      <c r="C471" s="4">
        <v>60</v>
      </c>
      <c r="D471" s="4" t="s">
        <v>10</v>
      </c>
      <c r="E471" s="7">
        <v>45601.862037037034</v>
      </c>
      <c r="F471" s="1">
        <v>1.1771000535045477</v>
      </c>
      <c r="G471" s="1">
        <v>1.1620117710005353</v>
      </c>
      <c r="H471" s="5">
        <v>0.86917940830835616</v>
      </c>
      <c r="I471" s="5">
        <v>0.91822524387104565</v>
      </c>
      <c r="J471" s="4" t="s">
        <v>246</v>
      </c>
    </row>
    <row r="472" spans="1:10">
      <c r="A472" s="4" t="s">
        <v>21</v>
      </c>
      <c r="B472" s="4" t="s">
        <v>424</v>
      </c>
      <c r="C472" s="4">
        <v>48</v>
      </c>
      <c r="D472" s="4" t="s">
        <v>14</v>
      </c>
      <c r="E472" s="17" t="s">
        <v>65</v>
      </c>
      <c r="F472" s="1">
        <v>0.75420015367682192</v>
      </c>
      <c r="G472" s="1">
        <v>0.84665545241210305</v>
      </c>
      <c r="H472" s="5">
        <v>0.75</v>
      </c>
      <c r="I472" s="5">
        <v>0.78142500640320089</v>
      </c>
      <c r="J472" s="4" t="s">
        <v>402</v>
      </c>
    </row>
    <row r="473" spans="1:10">
      <c r="A473" s="4" t="s">
        <v>373</v>
      </c>
      <c r="B473" s="4" t="s">
        <v>425</v>
      </c>
      <c r="C473" s="4">
        <v>48</v>
      </c>
      <c r="D473" s="4" t="s">
        <v>14</v>
      </c>
      <c r="E473" s="17" t="s">
        <v>65</v>
      </c>
      <c r="F473" s="1">
        <v>0.67878561904761914</v>
      </c>
      <c r="G473" s="1">
        <v>0.66262704761904767</v>
      </c>
      <c r="H473" s="5">
        <v>0.78142500640320089</v>
      </c>
      <c r="I473" s="5">
        <v>0.80970774053018502</v>
      </c>
      <c r="J473" s="4" t="s">
        <v>402</v>
      </c>
    </row>
    <row r="474" spans="1:10">
      <c r="A474" s="4" t="s">
        <v>18</v>
      </c>
      <c r="B474" s="4" t="s">
        <v>426</v>
      </c>
      <c r="C474" s="4">
        <v>288</v>
      </c>
      <c r="D474" s="4" t="s">
        <v>14</v>
      </c>
      <c r="E474" s="7">
        <v>45601.787222222221</v>
      </c>
      <c r="F474" s="1">
        <v>2.428571428571427</v>
      </c>
      <c r="G474" s="1">
        <v>1.9523809523809526</v>
      </c>
      <c r="H474" s="5">
        <v>0.80970774053018502</v>
      </c>
      <c r="I474" s="5">
        <v>0.91089821672066118</v>
      </c>
      <c r="J474" s="4" t="s">
        <v>402</v>
      </c>
    </row>
    <row r="475" spans="1:10" s="14" customFormat="1" ht="9.75" customHeight="1">
      <c r="A475" s="9"/>
      <c r="B475" s="9"/>
      <c r="C475" s="9"/>
      <c r="D475" s="9"/>
      <c r="E475" s="12"/>
      <c r="F475" s="10"/>
      <c r="G475" s="11"/>
      <c r="H475" s="11"/>
    </row>
    <row r="476" spans="1:10">
      <c r="A476" s="4" t="s">
        <v>102</v>
      </c>
      <c r="B476" s="4" t="s">
        <v>439</v>
      </c>
      <c r="C476" s="4">
        <v>12</v>
      </c>
      <c r="D476" s="4" t="s">
        <v>20</v>
      </c>
      <c r="E476" s="18" t="s">
        <v>65</v>
      </c>
      <c r="F476" s="1">
        <v>0.26190476190476192</v>
      </c>
      <c r="G476" s="1">
        <v>0.23812380952380954</v>
      </c>
      <c r="H476" s="5">
        <v>0.75</v>
      </c>
      <c r="I476" s="5">
        <v>0.76091269841269837</v>
      </c>
      <c r="J476" s="4" t="s">
        <v>245</v>
      </c>
    </row>
    <row r="477" spans="1:10">
      <c r="A477" s="4" t="s">
        <v>70</v>
      </c>
      <c r="B477" s="4" t="s">
        <v>436</v>
      </c>
      <c r="C477" s="4">
        <v>12</v>
      </c>
      <c r="D477" s="4" t="s">
        <v>20</v>
      </c>
      <c r="E477" s="18" t="s">
        <v>65</v>
      </c>
      <c r="F477" s="1">
        <v>0.30078520770010131</v>
      </c>
      <c r="G477" s="1" t="s">
        <v>11</v>
      </c>
      <c r="H477" s="5">
        <v>0.76091269841269837</v>
      </c>
      <c r="I477" s="5">
        <v>0.77344541540020262</v>
      </c>
      <c r="J477" s="4" t="s">
        <v>245</v>
      </c>
    </row>
    <row r="478" spans="1:10">
      <c r="A478" s="4" t="s">
        <v>296</v>
      </c>
      <c r="B478" s="4" t="s">
        <v>437</v>
      </c>
      <c r="C478" s="4">
        <v>96</v>
      </c>
      <c r="D478" s="4" t="s">
        <v>20</v>
      </c>
      <c r="E478" s="18" t="s">
        <v>65</v>
      </c>
      <c r="F478" s="1">
        <v>0.65272019097876666</v>
      </c>
      <c r="G478" s="1" t="s">
        <v>11</v>
      </c>
      <c r="H478" s="5">
        <v>0.77344541540020262</v>
      </c>
      <c r="I478" s="5">
        <v>0.80064209002431785</v>
      </c>
      <c r="J478" s="4" t="s">
        <v>245</v>
      </c>
    </row>
    <row r="479" spans="1:10">
      <c r="A479" s="4" t="s">
        <v>92</v>
      </c>
      <c r="B479" s="4" t="s">
        <v>440</v>
      </c>
      <c r="C479" s="4">
        <v>80</v>
      </c>
      <c r="D479" s="4" t="s">
        <v>20</v>
      </c>
      <c r="E479" s="18" t="s">
        <v>65</v>
      </c>
      <c r="F479" s="1">
        <v>0.2510460251046025</v>
      </c>
      <c r="G479" s="1" t="s">
        <v>11</v>
      </c>
      <c r="H479" s="5">
        <v>0.80064209002431785</v>
      </c>
      <c r="I479" s="5">
        <v>0.81110234107034296</v>
      </c>
      <c r="J479" s="4" t="s">
        <v>245</v>
      </c>
    </row>
    <row r="480" spans="1:10">
      <c r="A480" s="4" t="s">
        <v>31</v>
      </c>
      <c r="B480" s="4" t="s">
        <v>441</v>
      </c>
      <c r="C480" s="4">
        <v>400</v>
      </c>
      <c r="D480" s="4" t="s">
        <v>20</v>
      </c>
      <c r="E480" s="7">
        <v>45602.9608912037</v>
      </c>
      <c r="F480" s="1">
        <v>2.1141740970032066</v>
      </c>
      <c r="G480" s="1">
        <v>1.4340873989279523</v>
      </c>
      <c r="H480" s="7">
        <v>45602.9608912037</v>
      </c>
      <c r="I480" s="5">
        <v>45603.048981791078</v>
      </c>
      <c r="J480" s="4" t="s">
        <v>245</v>
      </c>
    </row>
    <row r="481" spans="1:10">
      <c r="A481" s="4" t="s">
        <v>442</v>
      </c>
      <c r="B481" s="4" t="s">
        <v>443</v>
      </c>
      <c r="C481" s="4">
        <v>144</v>
      </c>
      <c r="D481" s="4" t="s">
        <v>20</v>
      </c>
      <c r="E481" s="7">
        <v>45603.045231481483</v>
      </c>
      <c r="F481" s="1">
        <v>0.43166500939122765</v>
      </c>
      <c r="G481" s="1" t="s">
        <v>11</v>
      </c>
      <c r="H481" s="7">
        <v>45603.045231481483</v>
      </c>
      <c r="I481" s="5">
        <v>45603.063217523544</v>
      </c>
      <c r="J481" s="4" t="s">
        <v>245</v>
      </c>
    </row>
    <row r="482" spans="1:10">
      <c r="A482" s="4" t="s">
        <v>44</v>
      </c>
      <c r="B482" s="4" t="s">
        <v>444</v>
      </c>
      <c r="C482" s="4">
        <v>60</v>
      </c>
      <c r="D482" s="4" t="s">
        <v>10</v>
      </c>
      <c r="E482" s="7">
        <v>45602.812800925924</v>
      </c>
      <c r="F482" s="1">
        <v>1.8286112596039952</v>
      </c>
      <c r="G482" s="1">
        <v>2.2697923545381169</v>
      </c>
      <c r="H482" s="5">
        <v>0.75</v>
      </c>
      <c r="I482" s="5">
        <v>0.82619213581683315</v>
      </c>
      <c r="J482" s="4" t="s">
        <v>246</v>
      </c>
    </row>
    <row r="483" spans="1:10">
      <c r="A483" s="4" t="s">
        <v>85</v>
      </c>
      <c r="B483" s="4" t="s">
        <v>445</v>
      </c>
      <c r="C483" s="4">
        <v>48</v>
      </c>
      <c r="D483" s="4" t="s">
        <v>10</v>
      </c>
      <c r="E483" s="7">
        <v>45602.82172453704</v>
      </c>
      <c r="F483" s="1">
        <v>0.25685527019796683</v>
      </c>
      <c r="G483" s="1" t="s">
        <v>11</v>
      </c>
      <c r="H483" s="5">
        <v>0.82619213581683315</v>
      </c>
      <c r="I483" s="5">
        <v>0.8368944387417484</v>
      </c>
      <c r="J483" s="4" t="s">
        <v>246</v>
      </c>
    </row>
    <row r="484" spans="1:10">
      <c r="A484" s="4" t="s">
        <v>9</v>
      </c>
      <c r="B484" s="4" t="s">
        <v>446</v>
      </c>
      <c r="C484" s="4">
        <v>48</v>
      </c>
      <c r="D484" s="4" t="s">
        <v>10</v>
      </c>
      <c r="E484" s="7">
        <v>45602.869826388887</v>
      </c>
      <c r="F484" s="1">
        <v>0.26879181424635967</v>
      </c>
      <c r="G484" s="1" t="s">
        <v>11</v>
      </c>
      <c r="H484" s="7">
        <v>45602.869826388887</v>
      </c>
      <c r="I484" s="5">
        <v>45602.881026047813</v>
      </c>
      <c r="J484" s="4" t="s">
        <v>246</v>
      </c>
    </row>
    <row r="485" spans="1:10">
      <c r="A485" s="4" t="s">
        <v>12</v>
      </c>
      <c r="B485" s="4" t="s">
        <v>447</v>
      </c>
      <c r="C485" s="4">
        <v>60</v>
      </c>
      <c r="D485" s="4" t="s">
        <v>10</v>
      </c>
      <c r="E485" s="7">
        <v>45602.899571759262</v>
      </c>
      <c r="F485" s="1">
        <v>0.27796085959579803</v>
      </c>
      <c r="G485" s="1" t="s">
        <v>11</v>
      </c>
      <c r="H485" s="7">
        <v>45602.899571759262</v>
      </c>
      <c r="I485" s="5">
        <v>45602.911153461748</v>
      </c>
      <c r="J485" s="4" t="s">
        <v>246</v>
      </c>
    </row>
    <row r="486" spans="1:10">
      <c r="A486" s="4" t="s">
        <v>64</v>
      </c>
      <c r="B486" s="4" t="s">
        <v>448</v>
      </c>
      <c r="C486" s="4">
        <v>48</v>
      </c>
      <c r="D486" s="4" t="s">
        <v>10</v>
      </c>
      <c r="E486" s="7">
        <v>45602.960081018522</v>
      </c>
      <c r="F486" s="1">
        <v>1.1933611768060515</v>
      </c>
      <c r="G486" s="1">
        <v>0.90150790855264284</v>
      </c>
      <c r="H486" s="7">
        <v>45602.960081018522</v>
      </c>
      <c r="I486" s="5">
        <v>45603.009804400892</v>
      </c>
      <c r="J486" s="4" t="s">
        <v>246</v>
      </c>
    </row>
    <row r="487" spans="1:10">
      <c r="A487" s="4" t="s">
        <v>63</v>
      </c>
      <c r="B487" s="4" t="s">
        <v>449</v>
      </c>
      <c r="C487" s="4">
        <v>60</v>
      </c>
      <c r="D487" s="4" t="s">
        <v>10</v>
      </c>
      <c r="E487" s="7">
        <v>45603.00371527778</v>
      </c>
      <c r="F487" s="1">
        <v>0.52633281573498936</v>
      </c>
      <c r="G487" s="1" t="s">
        <v>11</v>
      </c>
      <c r="H487" s="5">
        <v>45603.009804400892</v>
      </c>
      <c r="I487" s="5">
        <v>45603.031734934884</v>
      </c>
      <c r="J487" s="4" t="s">
        <v>246</v>
      </c>
    </row>
    <row r="488" spans="1:10">
      <c r="A488" s="4" t="s">
        <v>21</v>
      </c>
      <c r="B488" s="4" t="s">
        <v>434</v>
      </c>
      <c r="C488" s="4">
        <v>48</v>
      </c>
      <c r="D488" s="4" t="s">
        <v>14</v>
      </c>
      <c r="E488" s="18" t="s">
        <v>65</v>
      </c>
      <c r="F488" s="1">
        <v>0.75420015367682192</v>
      </c>
      <c r="G488" s="1">
        <v>0.84665545241210305</v>
      </c>
      <c r="H488" s="5">
        <v>0.75</v>
      </c>
      <c r="I488" s="5">
        <v>0.78142500640320089</v>
      </c>
      <c r="J488" s="4" t="s">
        <v>402</v>
      </c>
    </row>
    <row r="489" spans="1:10">
      <c r="A489" s="4" t="s">
        <v>373</v>
      </c>
      <c r="B489" s="4" t="s">
        <v>435</v>
      </c>
      <c r="C489" s="4">
        <v>48</v>
      </c>
      <c r="D489" s="4" t="s">
        <v>14</v>
      </c>
      <c r="E489" s="18" t="s">
        <v>65</v>
      </c>
      <c r="F489" s="1">
        <v>0.67878561904761914</v>
      </c>
      <c r="G489" s="1">
        <v>0.66262704761904767</v>
      </c>
      <c r="H489" s="5">
        <v>0.78142500640320089</v>
      </c>
      <c r="I489" s="5">
        <v>0.80970774053018502</v>
      </c>
      <c r="J489" s="4" t="s">
        <v>402</v>
      </c>
    </row>
    <row r="490" spans="1:10">
      <c r="A490" s="4" t="s">
        <v>18</v>
      </c>
      <c r="B490" s="4" t="s">
        <v>438</v>
      </c>
      <c r="C490" s="4">
        <v>288</v>
      </c>
      <c r="D490" s="4" t="s">
        <v>14</v>
      </c>
      <c r="E490" s="7">
        <v>45602.777673611112</v>
      </c>
      <c r="F490" s="1">
        <v>2.428571428571427</v>
      </c>
      <c r="G490" s="1">
        <v>1.9523809523809526</v>
      </c>
      <c r="H490" s="5">
        <v>0.80970774053018502</v>
      </c>
      <c r="I490" s="5">
        <v>0.91089821672066118</v>
      </c>
      <c r="J490" s="4" t="s">
        <v>402</v>
      </c>
    </row>
    <row r="491" spans="1:10" s="14" customFormat="1" ht="9.75" customHeight="1">
      <c r="A491" s="9"/>
      <c r="B491" s="9"/>
      <c r="C491" s="9"/>
      <c r="D491" s="9"/>
      <c r="E491" s="12"/>
      <c r="F491" s="10"/>
      <c r="G491" s="11"/>
      <c r="H491" s="11"/>
    </row>
    <row r="492" spans="1:10">
      <c r="A492" s="4" t="s">
        <v>98</v>
      </c>
      <c r="B492" s="4" t="s">
        <v>455</v>
      </c>
      <c r="C492" s="4">
        <v>96</v>
      </c>
      <c r="D492" s="4" t="s">
        <v>20</v>
      </c>
      <c r="E492" s="17" t="s">
        <v>65</v>
      </c>
      <c r="F492" s="1">
        <v>0.32539682539682541</v>
      </c>
      <c r="G492" s="1">
        <v>0.49867724867724872</v>
      </c>
      <c r="H492" s="5">
        <v>0.75</v>
      </c>
      <c r="I492" s="5">
        <f t="shared" ref="I492:I500" si="0">H492+F492/24</f>
        <v>0.76355820105820105</v>
      </c>
      <c r="J492" s="4" t="s">
        <v>245</v>
      </c>
    </row>
    <row r="493" spans="1:10">
      <c r="A493" s="4" t="s">
        <v>460</v>
      </c>
      <c r="B493" s="4" t="s">
        <v>461</v>
      </c>
      <c r="C493" s="4">
        <v>24</v>
      </c>
      <c r="D493" s="4" t="s">
        <v>20</v>
      </c>
      <c r="E493" s="7">
        <v>45603.76053240741</v>
      </c>
      <c r="F493" s="1">
        <v>0.48511904761904767</v>
      </c>
      <c r="G493" s="1" t="s">
        <v>11</v>
      </c>
      <c r="H493" s="5">
        <f t="shared" ref="H493:H494" si="1">I492</f>
        <v>0.76355820105820105</v>
      </c>
      <c r="I493" s="5">
        <f t="shared" si="0"/>
        <v>0.78377149470899465</v>
      </c>
      <c r="J493" s="4" t="s">
        <v>245</v>
      </c>
    </row>
    <row r="494" spans="1:10">
      <c r="A494" s="4" t="s">
        <v>67</v>
      </c>
      <c r="B494" s="4" t="s">
        <v>462</v>
      </c>
      <c r="C494" s="4">
        <v>48</v>
      </c>
      <c r="D494" s="4" t="s">
        <v>20</v>
      </c>
      <c r="E494" s="7">
        <v>45603.770879629628</v>
      </c>
      <c r="F494" s="1">
        <v>0.24702380952380953</v>
      </c>
      <c r="G494" s="1" t="s">
        <v>11</v>
      </c>
      <c r="H494" s="5">
        <f t="shared" si="1"/>
        <v>0.78377149470899465</v>
      </c>
      <c r="I494" s="5">
        <f t="shared" si="0"/>
        <v>0.79406415343915338</v>
      </c>
      <c r="J494" s="4" t="s">
        <v>245</v>
      </c>
    </row>
    <row r="495" spans="1:10">
      <c r="A495" s="4" t="s">
        <v>463</v>
      </c>
      <c r="B495" s="4" t="s">
        <v>464</v>
      </c>
      <c r="C495" s="4">
        <v>12</v>
      </c>
      <c r="D495" s="4" t="s">
        <v>20</v>
      </c>
      <c r="E495" s="7">
        <v>45603.811145833337</v>
      </c>
      <c r="F495" s="16">
        <v>0.75</v>
      </c>
      <c r="G495" s="1" t="s">
        <v>11</v>
      </c>
      <c r="H495" s="7">
        <v>45603.811145833337</v>
      </c>
      <c r="I495" s="5">
        <f t="shared" si="0"/>
        <v>45603.842395833337</v>
      </c>
      <c r="J495" s="4" t="s">
        <v>245</v>
      </c>
    </row>
    <row r="496" spans="1:10">
      <c r="A496" s="4" t="s">
        <v>86</v>
      </c>
      <c r="B496" s="4" t="s">
        <v>465</v>
      </c>
      <c r="C496" s="4">
        <v>24</v>
      </c>
      <c r="D496" s="4" t="s">
        <v>20</v>
      </c>
      <c r="E496" s="7">
        <v>45603.899791666663</v>
      </c>
      <c r="F496" s="1">
        <v>1.8728617660656497</v>
      </c>
      <c r="G496" s="1">
        <v>1.5936199722607525</v>
      </c>
      <c r="H496" s="7">
        <v>45603.899791666663</v>
      </c>
      <c r="I496" s="5">
        <f t="shared" si="0"/>
        <v>45603.977827573581</v>
      </c>
      <c r="J496" s="4" t="s">
        <v>245</v>
      </c>
    </row>
    <row r="497" spans="1:10">
      <c r="A497" s="4" t="s">
        <v>108</v>
      </c>
      <c r="B497" s="4" t="s">
        <v>466</v>
      </c>
      <c r="C497" s="4">
        <v>1</v>
      </c>
      <c r="D497" s="4" t="s">
        <v>20</v>
      </c>
      <c r="E497" s="7">
        <v>45603.914849537039</v>
      </c>
      <c r="F497" s="1">
        <v>0.76190476190476197</v>
      </c>
      <c r="G497" s="1" t="s">
        <v>11</v>
      </c>
      <c r="H497" s="7">
        <v>45603.914849537039</v>
      </c>
      <c r="I497" s="5">
        <f t="shared" si="0"/>
        <v>45603.946595568785</v>
      </c>
      <c r="J497" s="4" t="s">
        <v>245</v>
      </c>
    </row>
    <row r="498" spans="1:10">
      <c r="A498" s="4" t="s">
        <v>43</v>
      </c>
      <c r="B498" s="4" t="s">
        <v>467</v>
      </c>
      <c r="C498" s="4">
        <v>208</v>
      </c>
      <c r="D498" s="4" t="s">
        <v>20</v>
      </c>
      <c r="E498" s="7">
        <v>45603.975891203707</v>
      </c>
      <c r="F498" s="1">
        <v>0.30257936507936511</v>
      </c>
      <c r="G498" s="1">
        <v>0.69786706349206351</v>
      </c>
      <c r="H498" s="7">
        <v>45603.975891203707</v>
      </c>
      <c r="I498" s="5">
        <f t="shared" si="0"/>
        <v>45603.988498677252</v>
      </c>
      <c r="J498" s="4" t="s">
        <v>245</v>
      </c>
    </row>
    <row r="499" spans="1:10">
      <c r="A499" s="4" t="s">
        <v>43</v>
      </c>
      <c r="B499" s="4" t="s">
        <v>468</v>
      </c>
      <c r="C499" s="4">
        <v>208</v>
      </c>
      <c r="D499" s="4" t="s">
        <v>20</v>
      </c>
      <c r="E499" s="7">
        <v>45604.029988425929</v>
      </c>
      <c r="F499" s="1">
        <v>0.30257936507936511</v>
      </c>
      <c r="G499" s="1">
        <v>0.69786706349206351</v>
      </c>
      <c r="H499" s="7">
        <v>45604.029988425929</v>
      </c>
      <c r="I499" s="5">
        <f t="shared" si="0"/>
        <v>45604.042595899475</v>
      </c>
      <c r="J499" s="4" t="s">
        <v>245</v>
      </c>
    </row>
    <row r="500" spans="1:10">
      <c r="A500" s="4" t="s">
        <v>119</v>
      </c>
      <c r="B500" s="4" t="s">
        <v>469</v>
      </c>
      <c r="C500" s="4">
        <v>208</v>
      </c>
      <c r="D500" s="4" t="s">
        <v>20</v>
      </c>
      <c r="E500" s="7">
        <v>45604.062719907408</v>
      </c>
      <c r="F500" s="1">
        <v>0.3272260097097407</v>
      </c>
      <c r="G500" s="1" t="s">
        <v>11</v>
      </c>
      <c r="H500" s="7">
        <v>45604.062719907408</v>
      </c>
      <c r="I500" s="5">
        <f t="shared" si="0"/>
        <v>45604.076354324476</v>
      </c>
      <c r="J500" s="4" t="s">
        <v>245</v>
      </c>
    </row>
    <row r="501" spans="1:10">
      <c r="A501" s="4" t="s">
        <v>84</v>
      </c>
      <c r="B501" s="4" t="s">
        <v>456</v>
      </c>
      <c r="C501" s="4">
        <v>48</v>
      </c>
      <c r="D501" s="4" t="s">
        <v>10</v>
      </c>
      <c r="E501" s="17" t="s">
        <v>65</v>
      </c>
      <c r="F501" s="16">
        <v>0.75</v>
      </c>
      <c r="G501" s="1">
        <v>0.23817142857142859</v>
      </c>
      <c r="H501" s="5">
        <v>0.75</v>
      </c>
      <c r="I501" s="5">
        <f>H501+F501/24</f>
        <v>0.78125</v>
      </c>
      <c r="J501" s="4" t="s">
        <v>246</v>
      </c>
    </row>
    <row r="502" spans="1:10">
      <c r="A502" s="4" t="s">
        <v>44</v>
      </c>
      <c r="B502" s="4" t="s">
        <v>470</v>
      </c>
      <c r="C502" s="4">
        <v>60</v>
      </c>
      <c r="D502" s="4" t="s">
        <v>10</v>
      </c>
      <c r="E502" s="7">
        <v>45603.765960648147</v>
      </c>
      <c r="F502" s="1">
        <v>1.8286112596039952</v>
      </c>
      <c r="G502" s="1">
        <v>2.2697923545381169</v>
      </c>
      <c r="H502" s="5">
        <f t="shared" ref="H502:H503" si="2">I501</f>
        <v>0.78125</v>
      </c>
      <c r="I502" s="5">
        <f t="shared" ref="I502:I506" si="3">H502+F502/24</f>
        <v>0.85744213581683315</v>
      </c>
      <c r="J502" s="4" t="s">
        <v>246</v>
      </c>
    </row>
    <row r="503" spans="1:10">
      <c r="A503" s="4" t="s">
        <v>34</v>
      </c>
      <c r="B503" s="4" t="s">
        <v>471</v>
      </c>
      <c r="C503" s="4">
        <v>60</v>
      </c>
      <c r="D503" s="4" t="s">
        <v>10</v>
      </c>
      <c r="E503" s="7">
        <v>45603.809594907405</v>
      </c>
      <c r="F503" s="1">
        <v>0.60442083169355953</v>
      </c>
      <c r="G503" s="1">
        <v>0.50964187327823696</v>
      </c>
      <c r="H503" s="5">
        <f t="shared" si="2"/>
        <v>0.85744213581683315</v>
      </c>
      <c r="I503" s="5">
        <f t="shared" si="3"/>
        <v>0.88262633713739813</v>
      </c>
      <c r="J503" s="4" t="s">
        <v>246</v>
      </c>
    </row>
    <row r="504" spans="1:10">
      <c r="A504" s="4" t="s">
        <v>106</v>
      </c>
      <c r="B504" s="4" t="s">
        <v>472</v>
      </c>
      <c r="C504" s="4">
        <v>60</v>
      </c>
      <c r="D504" s="4" t="s">
        <v>10</v>
      </c>
      <c r="E504" s="7">
        <v>45603.819409722222</v>
      </c>
      <c r="F504" s="1">
        <v>0.24850645386359674</v>
      </c>
      <c r="G504" s="1" t="s">
        <v>11</v>
      </c>
      <c r="H504" s="5">
        <f>I503</f>
        <v>0.88262633713739813</v>
      </c>
      <c r="I504" s="5">
        <f t="shared" si="3"/>
        <v>0.89298077271504794</v>
      </c>
      <c r="J504" s="4" t="s">
        <v>246</v>
      </c>
    </row>
    <row r="505" spans="1:10">
      <c r="A505" s="4" t="s">
        <v>74</v>
      </c>
      <c r="B505" s="4" t="s">
        <v>473</v>
      </c>
      <c r="C505" s="4">
        <v>60</v>
      </c>
      <c r="D505" s="4" t="s">
        <v>10</v>
      </c>
      <c r="E505" s="7">
        <v>45603.882395833331</v>
      </c>
      <c r="F505" s="1">
        <v>0.40219222485232387</v>
      </c>
      <c r="G505" s="1">
        <v>0.43721877465719833</v>
      </c>
      <c r="H505" s="7">
        <v>45603.9528125</v>
      </c>
      <c r="I505" s="5">
        <f t="shared" si="3"/>
        <v>45603.969570509369</v>
      </c>
      <c r="J505" s="4" t="s">
        <v>246</v>
      </c>
    </row>
    <row r="506" spans="1:10">
      <c r="A506" s="4" t="s">
        <v>72</v>
      </c>
      <c r="B506" s="4" t="s">
        <v>474</v>
      </c>
      <c r="C506" s="4">
        <v>60</v>
      </c>
      <c r="D506" s="4" t="s">
        <v>10</v>
      </c>
      <c r="E506" s="7">
        <v>45603.9528125</v>
      </c>
      <c r="F506" s="1">
        <v>1.1771000535045477</v>
      </c>
      <c r="G506" s="1">
        <v>1.1620117710005353</v>
      </c>
      <c r="H506" s="5">
        <f t="shared" ref="H506" si="4">I505</f>
        <v>45603.969570509369</v>
      </c>
      <c r="I506" s="5">
        <f t="shared" si="3"/>
        <v>45604.018616344933</v>
      </c>
      <c r="J506" s="4" t="s">
        <v>246</v>
      </c>
    </row>
    <row r="507" spans="1:10">
      <c r="A507" s="4" t="s">
        <v>214</v>
      </c>
      <c r="B507" s="4" t="s">
        <v>457</v>
      </c>
      <c r="C507" s="4">
        <v>48</v>
      </c>
      <c r="D507" s="4" t="s">
        <v>14</v>
      </c>
      <c r="E507" s="17" t="s">
        <v>65</v>
      </c>
      <c r="F507" s="1">
        <v>0.79487179487179527</v>
      </c>
      <c r="G507" s="1">
        <v>0.80952380952380953</v>
      </c>
      <c r="H507" s="5">
        <v>0.75</v>
      </c>
      <c r="I507" s="5">
        <f>H507+F507/24</f>
        <v>0.78311965811965811</v>
      </c>
      <c r="J507" s="4" t="s">
        <v>402</v>
      </c>
    </row>
    <row r="508" spans="1:10">
      <c r="A508" s="4" t="s">
        <v>21</v>
      </c>
      <c r="B508" s="4" t="s">
        <v>458</v>
      </c>
      <c r="C508" s="4">
        <v>48</v>
      </c>
      <c r="D508" s="4" t="s">
        <v>14</v>
      </c>
      <c r="E508" s="17" t="s">
        <v>65</v>
      </c>
      <c r="F508" s="1">
        <v>0.75420015367682192</v>
      </c>
      <c r="G508" s="1">
        <v>0.84665545241210305</v>
      </c>
      <c r="H508" s="5">
        <f t="shared" ref="H508:H509" si="5">I507</f>
        <v>0.78311965811965811</v>
      </c>
      <c r="I508" s="5">
        <f t="shared" ref="I508:I509" si="6">H508+F508/24</f>
        <v>0.81454466452285901</v>
      </c>
      <c r="J508" s="4" t="s">
        <v>402</v>
      </c>
    </row>
    <row r="509" spans="1:10">
      <c r="A509" s="4" t="s">
        <v>18</v>
      </c>
      <c r="B509" s="4" t="s">
        <v>459</v>
      </c>
      <c r="C509" s="4">
        <v>288</v>
      </c>
      <c r="D509" s="4" t="s">
        <v>14</v>
      </c>
      <c r="E509" s="7">
        <v>45603.736250000002</v>
      </c>
      <c r="F509" s="1">
        <v>2.428571428571427</v>
      </c>
      <c r="G509" s="1">
        <v>1.9523809523809526</v>
      </c>
      <c r="H509" s="5">
        <f t="shared" si="5"/>
        <v>0.81454466452285901</v>
      </c>
      <c r="I509" s="5">
        <f t="shared" si="6"/>
        <v>0.91573514071333517</v>
      </c>
      <c r="J509" s="4" t="s">
        <v>402</v>
      </c>
    </row>
  </sheetData>
  <phoneticPr fontId="2"/>
  <conditionalFormatting sqref="B389:B393">
    <cfRule type="duplicateValues" dxfId="3" priority="2"/>
  </conditionalFormatting>
  <conditionalFormatting sqref="B394:B397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0C8-2B4C-40FC-BC24-A08A0863448C}">
  <dimension ref="A1:H375"/>
  <sheetViews>
    <sheetView topLeftCell="A340" workbookViewId="0">
      <selection activeCell="H352" sqref="H352"/>
    </sheetView>
  </sheetViews>
  <sheetFormatPr defaultRowHeight="18.75"/>
  <cols>
    <col min="1" max="1" width="14.375" style="4" bestFit="1" customWidth="1"/>
    <col min="2" max="2" width="13" style="4" bestFit="1" customWidth="1"/>
    <col min="3" max="3" width="5.25" style="4" bestFit="1" customWidth="1"/>
    <col min="4" max="4" width="7.125" style="4" bestFit="1" customWidth="1"/>
    <col min="5" max="5" width="16.5" style="6" bestFit="1" customWidth="1"/>
    <col min="6" max="6" width="9" style="1"/>
    <col min="7" max="8" width="13" style="5" bestFit="1" customWidth="1"/>
  </cols>
  <sheetData>
    <row r="1" spans="1:8">
      <c r="A1" s="4" t="s">
        <v>26</v>
      </c>
      <c r="B1" s="4" t="s">
        <v>27</v>
      </c>
      <c r="C1" s="4" t="s">
        <v>2</v>
      </c>
      <c r="D1" s="4" t="s">
        <v>3</v>
      </c>
      <c r="E1" s="6" t="s">
        <v>28</v>
      </c>
      <c r="F1" s="1" t="s">
        <v>6</v>
      </c>
      <c r="G1" s="5" t="s">
        <v>29</v>
      </c>
      <c r="H1" s="5" t="s">
        <v>30</v>
      </c>
    </row>
    <row r="2" spans="1:8">
      <c r="A2" s="4" t="s">
        <v>31</v>
      </c>
      <c r="B2" s="4">
        <v>211966929</v>
      </c>
      <c r="C2" s="4">
        <v>240</v>
      </c>
      <c r="D2" s="4" t="s">
        <v>48</v>
      </c>
      <c r="E2" s="6" t="s">
        <v>49</v>
      </c>
      <c r="F2" s="1">
        <v>0.95569053459486664</v>
      </c>
      <c r="G2" s="5">
        <v>0.72916666666666663</v>
      </c>
      <c r="H2" s="5">
        <v>0.76898710560811945</v>
      </c>
    </row>
    <row r="3" spans="1:8">
      <c r="A3" s="4" t="s">
        <v>32</v>
      </c>
      <c r="B3" s="4">
        <v>211969514</v>
      </c>
      <c r="C3" s="4">
        <v>24</v>
      </c>
      <c r="D3" s="4" t="s">
        <v>48</v>
      </c>
      <c r="E3" s="6" t="s">
        <v>49</v>
      </c>
      <c r="F3" s="1">
        <v>0.43055555555555558</v>
      </c>
      <c r="G3" s="5">
        <v>0.76898710560811945</v>
      </c>
      <c r="H3" s="5">
        <v>0.78692692042293422</v>
      </c>
    </row>
    <row r="4" spans="1:8">
      <c r="A4" s="4" t="s">
        <v>33</v>
      </c>
      <c r="B4" s="4">
        <v>211969509</v>
      </c>
      <c r="C4" s="4">
        <v>24</v>
      </c>
      <c r="D4" s="4" t="s">
        <v>48</v>
      </c>
      <c r="E4" s="6" t="s">
        <v>49</v>
      </c>
      <c r="F4" s="1">
        <v>0.43571428571428572</v>
      </c>
      <c r="G4" s="5">
        <v>0.78692692042293422</v>
      </c>
      <c r="H4" s="5">
        <v>0.80508168232769617</v>
      </c>
    </row>
    <row r="5" spans="1:8">
      <c r="A5" s="4" t="s">
        <v>34</v>
      </c>
      <c r="B5" s="4">
        <v>211970054</v>
      </c>
      <c r="C5" s="4">
        <v>60</v>
      </c>
      <c r="D5" s="4" t="s">
        <v>50</v>
      </c>
      <c r="E5" s="6" t="s">
        <v>49</v>
      </c>
      <c r="F5" s="1">
        <v>0.50964187327823696</v>
      </c>
      <c r="G5" s="5">
        <v>0.80508168232769617</v>
      </c>
      <c r="H5" s="5">
        <v>0.82631676038095603</v>
      </c>
    </row>
    <row r="6" spans="1:8">
      <c r="A6" s="4" t="s">
        <v>35</v>
      </c>
      <c r="B6" s="4">
        <v>211970059</v>
      </c>
      <c r="C6" s="4">
        <v>48</v>
      </c>
      <c r="D6" s="4" t="s">
        <v>51</v>
      </c>
      <c r="E6" s="6" t="s">
        <v>49</v>
      </c>
      <c r="F6" s="1">
        <v>0.66262704761904767</v>
      </c>
      <c r="G6" s="5">
        <v>0.82631676038095603</v>
      </c>
      <c r="H6" s="5">
        <v>0.85392622069841639</v>
      </c>
    </row>
    <row r="7" spans="1:8">
      <c r="A7" s="4" t="s">
        <v>13</v>
      </c>
      <c r="B7" s="4">
        <v>211970058</v>
      </c>
      <c r="C7" s="4">
        <v>60</v>
      </c>
      <c r="D7" s="4" t="s">
        <v>51</v>
      </c>
      <c r="E7" s="6">
        <v>0.79753836158843838</v>
      </c>
      <c r="F7" s="1">
        <v>0.58052434456928836</v>
      </c>
      <c r="G7" s="5">
        <v>0.85392622069841639</v>
      </c>
      <c r="H7" s="5">
        <v>0.87811473505547011</v>
      </c>
    </row>
    <row r="8" spans="1:8">
      <c r="A8" s="4" t="s">
        <v>18</v>
      </c>
      <c r="B8" s="4">
        <v>211968046</v>
      </c>
      <c r="C8" s="4">
        <v>288</v>
      </c>
      <c r="D8" s="4" t="s">
        <v>51</v>
      </c>
      <c r="E8" s="6">
        <v>0.92074319907851776</v>
      </c>
      <c r="F8" s="1">
        <v>1.9523809523809526</v>
      </c>
      <c r="G8" s="5">
        <v>0.92074319907851776</v>
      </c>
      <c r="H8" s="5">
        <v>1.002092405427724</v>
      </c>
    </row>
    <row r="9" spans="1:8">
      <c r="A9" s="4" t="s">
        <v>19</v>
      </c>
      <c r="B9" s="4">
        <v>211970077</v>
      </c>
      <c r="C9" s="4">
        <v>96</v>
      </c>
      <c r="D9" s="4" t="s">
        <v>48</v>
      </c>
      <c r="E9" s="6">
        <v>0.93842318774064926</v>
      </c>
      <c r="F9" s="1">
        <v>0.49319727891156467</v>
      </c>
      <c r="G9" s="5">
        <v>1.002092405427724</v>
      </c>
      <c r="H9" s="5">
        <v>1.0226422920490392</v>
      </c>
    </row>
    <row r="10" spans="1:8">
      <c r="A10" s="4" t="s">
        <v>21</v>
      </c>
      <c r="B10" s="4">
        <v>211970063</v>
      </c>
      <c r="C10" s="4">
        <v>48</v>
      </c>
      <c r="D10" s="4" t="s">
        <v>51</v>
      </c>
      <c r="E10" s="6">
        <v>0.96984819414385015</v>
      </c>
      <c r="F10" s="1">
        <v>0.84665545241210305</v>
      </c>
      <c r="G10" s="5">
        <v>1.0226422920490392</v>
      </c>
      <c r="H10" s="5">
        <v>1.0579196025662101</v>
      </c>
    </row>
    <row r="11" spans="1:8" s="14" customFormat="1" ht="12" customHeight="1">
      <c r="A11" s="9"/>
      <c r="B11" s="9"/>
      <c r="C11" s="9"/>
      <c r="D11" s="9"/>
      <c r="E11" s="12"/>
      <c r="F11" s="10"/>
      <c r="G11" s="11"/>
      <c r="H11" s="11"/>
    </row>
    <row r="12" spans="1:8">
      <c r="A12" s="4" t="s">
        <v>24</v>
      </c>
      <c r="B12" s="4">
        <v>211970057</v>
      </c>
      <c r="C12" s="4">
        <v>48</v>
      </c>
      <c r="D12" s="4" t="s">
        <v>48</v>
      </c>
      <c r="E12" s="6" t="s">
        <v>49</v>
      </c>
      <c r="F12" s="1">
        <v>0.42431972789115618</v>
      </c>
      <c r="G12" s="5">
        <v>0.72916666666666663</v>
      </c>
      <c r="H12" s="5">
        <v>0.74684665532879813</v>
      </c>
    </row>
    <row r="13" spans="1:8">
      <c r="A13" s="4" t="s">
        <v>45</v>
      </c>
      <c r="B13" s="4">
        <v>211970586</v>
      </c>
      <c r="C13" s="4">
        <v>48</v>
      </c>
      <c r="D13" s="4" t="s">
        <v>48</v>
      </c>
      <c r="E13" s="6" t="s">
        <v>49</v>
      </c>
      <c r="F13" s="1">
        <v>1.1731601731601735</v>
      </c>
      <c r="G13" s="5">
        <v>0.74684665532879813</v>
      </c>
      <c r="H13" s="5">
        <v>0.79572832921047199</v>
      </c>
    </row>
    <row r="14" spans="1:8">
      <c r="A14" s="4" t="s">
        <v>46</v>
      </c>
      <c r="B14" s="4">
        <v>211970585</v>
      </c>
      <c r="C14" s="4">
        <v>640</v>
      </c>
      <c r="D14" s="4" t="s">
        <v>51</v>
      </c>
      <c r="E14" s="6" t="s">
        <v>49</v>
      </c>
      <c r="F14" s="1">
        <v>0.25515035784701845</v>
      </c>
      <c r="G14" s="5">
        <v>0.79572832921047199</v>
      </c>
      <c r="H14" s="5">
        <v>0.80635959412076441</v>
      </c>
    </row>
    <row r="15" spans="1:8">
      <c r="A15" s="4" t="s">
        <v>47</v>
      </c>
      <c r="B15" s="4">
        <v>211970587</v>
      </c>
      <c r="C15" s="4">
        <v>24</v>
      </c>
      <c r="D15" s="4" t="s">
        <v>50</v>
      </c>
      <c r="E15" s="6" t="s">
        <v>49</v>
      </c>
      <c r="F15" s="1">
        <v>1</v>
      </c>
      <c r="G15" s="5">
        <v>0.80635959412076441</v>
      </c>
      <c r="H15" s="5">
        <v>0.84802626078743104</v>
      </c>
    </row>
    <row r="16" spans="1:8">
      <c r="A16" s="4" t="s">
        <v>37</v>
      </c>
      <c r="B16" s="4">
        <v>211968059</v>
      </c>
      <c r="C16" s="4">
        <v>30</v>
      </c>
      <c r="D16" s="4" t="s">
        <v>50</v>
      </c>
      <c r="E16" s="6">
        <v>0.76930708180555551</v>
      </c>
      <c r="F16" s="1">
        <v>1</v>
      </c>
      <c r="G16" s="5">
        <v>0.84802626078743104</v>
      </c>
      <c r="H16" s="5">
        <v>0.88969292745409767</v>
      </c>
    </row>
    <row r="17" spans="1:8">
      <c r="A17" s="4" t="s">
        <v>18</v>
      </c>
      <c r="B17" s="4">
        <v>211968047</v>
      </c>
      <c r="C17" s="4">
        <v>288</v>
      </c>
      <c r="D17" s="4" t="s">
        <v>51</v>
      </c>
      <c r="E17" s="6">
        <v>0.84453538359788349</v>
      </c>
      <c r="F17" s="1">
        <v>1.9523809523809526</v>
      </c>
      <c r="G17" s="5">
        <v>0.88969292745409767</v>
      </c>
      <c r="H17" s="5">
        <v>0.97104213380330406</v>
      </c>
    </row>
    <row r="18" spans="1:8">
      <c r="A18" s="4" t="s">
        <v>44</v>
      </c>
      <c r="B18" s="4">
        <v>211970583</v>
      </c>
      <c r="C18" s="4">
        <v>60</v>
      </c>
      <c r="D18" s="4" t="s">
        <v>50</v>
      </c>
      <c r="E18" s="6">
        <v>0.84549921762238867</v>
      </c>
      <c r="F18" s="1">
        <v>2.2697923545381169</v>
      </c>
      <c r="G18" s="5">
        <v>0.97104213380330406</v>
      </c>
      <c r="H18" s="5">
        <v>1.0656168152423922</v>
      </c>
    </row>
    <row r="19" spans="1:8">
      <c r="A19" s="4" t="s">
        <v>43</v>
      </c>
      <c r="B19" s="4">
        <v>211970628</v>
      </c>
      <c r="C19" s="4">
        <v>216</v>
      </c>
      <c r="D19" s="4" t="s">
        <v>48</v>
      </c>
      <c r="E19" s="6">
        <v>0.85724619708994698</v>
      </c>
      <c r="F19" s="1">
        <v>0.71555059523809528</v>
      </c>
      <c r="G19" s="5">
        <v>1.0656168152423922</v>
      </c>
      <c r="H19" s="5">
        <v>1.0954314233773128</v>
      </c>
    </row>
    <row r="20" spans="1:8">
      <c r="A20" s="4" t="s">
        <v>34</v>
      </c>
      <c r="B20" s="4">
        <v>211970584</v>
      </c>
      <c r="C20" s="4">
        <v>60</v>
      </c>
      <c r="D20" s="4" t="s">
        <v>50</v>
      </c>
      <c r="E20" s="6">
        <v>0.87068341894295365</v>
      </c>
      <c r="F20" s="1">
        <v>0.50964187327823696</v>
      </c>
      <c r="G20" s="5">
        <v>1.0954314233773128</v>
      </c>
      <c r="H20" s="5">
        <v>1.1166665014305728</v>
      </c>
    </row>
    <row r="21" spans="1:8">
      <c r="A21" s="4" t="s">
        <v>43</v>
      </c>
      <c r="B21" s="4">
        <v>211970629</v>
      </c>
      <c r="C21" s="4">
        <v>216</v>
      </c>
      <c r="D21" s="4" t="s">
        <v>48</v>
      </c>
      <c r="E21" s="6">
        <v>0.86995701058201047</v>
      </c>
      <c r="F21" s="1">
        <v>0.71555059523809528</v>
      </c>
      <c r="G21" s="5">
        <v>1.1166665014305728</v>
      </c>
      <c r="H21" s="5">
        <v>1.1464811095654934</v>
      </c>
    </row>
    <row r="22" spans="1:8">
      <c r="A22" s="4" t="s">
        <v>18</v>
      </c>
      <c r="B22" s="4">
        <v>211968047</v>
      </c>
      <c r="C22" s="4">
        <v>288</v>
      </c>
      <c r="D22" s="4" t="s">
        <v>51</v>
      </c>
      <c r="E22" s="6">
        <v>0.84453538359788349</v>
      </c>
      <c r="F22" s="1">
        <v>1.9523809523809526</v>
      </c>
      <c r="G22" s="5">
        <v>1.1464811095654934</v>
      </c>
      <c r="H22" s="5">
        <v>1.2278303159146997</v>
      </c>
    </row>
    <row r="23" spans="1:8">
      <c r="A23" s="4" t="s">
        <v>39</v>
      </c>
      <c r="B23" s="4">
        <v>211970600</v>
      </c>
      <c r="C23" s="4">
        <v>30</v>
      </c>
      <c r="D23" s="4" t="s">
        <v>48</v>
      </c>
      <c r="E23" s="6">
        <v>0.99168320105820107</v>
      </c>
      <c r="F23" s="1">
        <v>0.37023809523809526</v>
      </c>
      <c r="G23" s="5">
        <v>1.2278303159146997</v>
      </c>
      <c r="H23" s="5">
        <v>1.243256903216287</v>
      </c>
    </row>
    <row r="24" spans="1:8">
      <c r="A24" s="4" t="s">
        <v>21</v>
      </c>
      <c r="B24" s="4">
        <v>211970588</v>
      </c>
      <c r="C24" s="4">
        <v>48</v>
      </c>
      <c r="D24" s="4" t="s">
        <v>51</v>
      </c>
      <c r="E24" s="6">
        <v>1.023108207461402</v>
      </c>
      <c r="F24" s="1">
        <v>0.84665545241210305</v>
      </c>
      <c r="G24" s="5">
        <v>1.243256903216287</v>
      </c>
      <c r="H24" s="5">
        <v>1.2785342137334579</v>
      </c>
    </row>
    <row r="25" spans="1:8">
      <c r="A25" s="4" t="s">
        <v>41</v>
      </c>
      <c r="B25" s="4">
        <v>211970599</v>
      </c>
      <c r="C25" s="4">
        <v>240</v>
      </c>
      <c r="D25" s="4" t="s">
        <v>48</v>
      </c>
      <c r="E25" s="6">
        <v>1.0407801651333597</v>
      </c>
      <c r="F25" s="1">
        <v>0.2904761904761905</v>
      </c>
      <c r="G25" s="5">
        <v>1.2785342137334579</v>
      </c>
      <c r="H25" s="5">
        <v>1.2906373883366324</v>
      </c>
    </row>
    <row r="26" spans="1:8" s="14" customFormat="1" ht="9.75" customHeight="1">
      <c r="A26" s="9"/>
      <c r="B26" s="9"/>
      <c r="C26" s="9"/>
      <c r="D26" s="9"/>
      <c r="E26" s="12"/>
      <c r="F26" s="10"/>
      <c r="G26" s="11"/>
      <c r="H26" s="11"/>
    </row>
    <row r="27" spans="1:8">
      <c r="A27" s="4" t="s">
        <v>34</v>
      </c>
      <c r="B27" s="4">
        <v>211970054</v>
      </c>
      <c r="C27" s="4">
        <v>60</v>
      </c>
      <c r="D27" s="4" t="s">
        <v>10</v>
      </c>
      <c r="E27" s="6" t="s">
        <v>65</v>
      </c>
      <c r="F27" s="1">
        <v>0.50964187327823696</v>
      </c>
      <c r="G27" s="5">
        <v>0.72916666666666663</v>
      </c>
      <c r="H27" s="5">
        <v>0.75040174471992649</v>
      </c>
    </row>
    <row r="28" spans="1:8">
      <c r="A28" s="4" t="s">
        <v>37</v>
      </c>
      <c r="B28" s="4">
        <v>211968059</v>
      </c>
      <c r="C28" s="4">
        <v>30</v>
      </c>
      <c r="D28" s="4" t="s">
        <v>10</v>
      </c>
      <c r="E28" s="6" t="s">
        <v>65</v>
      </c>
      <c r="F28" s="1">
        <v>0.5</v>
      </c>
      <c r="G28" s="5">
        <v>0.75040174471992649</v>
      </c>
      <c r="H28" s="5">
        <v>0.77123507805325986</v>
      </c>
    </row>
    <row r="29" spans="1:8">
      <c r="A29" s="4" t="s">
        <v>46</v>
      </c>
      <c r="B29" s="4">
        <v>211971108</v>
      </c>
      <c r="C29" s="4">
        <v>640</v>
      </c>
      <c r="D29" s="4" t="s">
        <v>14</v>
      </c>
      <c r="E29" s="6" t="s">
        <v>65</v>
      </c>
      <c r="F29" s="1">
        <v>0.29136753672173543</v>
      </c>
      <c r="G29" s="5">
        <v>0.77123507805325986</v>
      </c>
      <c r="H29" s="5">
        <v>0.78337539208333218</v>
      </c>
    </row>
    <row r="30" spans="1:8">
      <c r="A30" s="4" t="s">
        <v>64</v>
      </c>
      <c r="B30" s="4">
        <v>211971105</v>
      </c>
      <c r="C30" s="4">
        <v>48</v>
      </c>
      <c r="D30" s="4" t="s">
        <v>10</v>
      </c>
      <c r="E30" s="6" t="s">
        <v>65</v>
      </c>
      <c r="F30" s="1">
        <v>0.90150790855264284</v>
      </c>
      <c r="G30" s="5">
        <v>0.78337539208333218</v>
      </c>
      <c r="H30" s="5">
        <v>0.82093822160635899</v>
      </c>
    </row>
    <row r="31" spans="1:8">
      <c r="A31" s="4" t="s">
        <v>60</v>
      </c>
      <c r="B31" s="4">
        <v>211971113</v>
      </c>
      <c r="C31" s="4">
        <v>48</v>
      </c>
      <c r="D31" s="4" t="s">
        <v>20</v>
      </c>
      <c r="E31" s="6">
        <v>0.85454014939309053</v>
      </c>
      <c r="F31" s="1">
        <v>0.97619047619047628</v>
      </c>
      <c r="G31" s="5">
        <v>0.85454014939309053</v>
      </c>
      <c r="H31" s="5">
        <v>0.89521475256769367</v>
      </c>
    </row>
    <row r="32" spans="1:8">
      <c r="A32" s="4" t="s">
        <v>61</v>
      </c>
      <c r="B32" s="4">
        <v>211971107</v>
      </c>
      <c r="C32" s="4">
        <v>48</v>
      </c>
      <c r="D32" s="4" t="s">
        <v>14</v>
      </c>
      <c r="E32" s="6">
        <v>0.8753734827264239</v>
      </c>
      <c r="F32" s="1">
        <v>1</v>
      </c>
      <c r="G32" s="5">
        <v>0.89521475256769367</v>
      </c>
      <c r="H32" s="5">
        <v>0.9368814192343603</v>
      </c>
    </row>
    <row r="33" spans="1:8">
      <c r="A33" s="4" t="s">
        <v>52</v>
      </c>
      <c r="B33" s="4">
        <v>211971126</v>
      </c>
      <c r="C33" s="4">
        <v>30</v>
      </c>
      <c r="D33" s="4" t="s">
        <v>20</v>
      </c>
      <c r="E33" s="6">
        <v>0.92770483193277309</v>
      </c>
      <c r="F33" s="1">
        <v>0.26785714285714285</v>
      </c>
      <c r="G33" s="5">
        <v>0.9368814192343603</v>
      </c>
      <c r="H33" s="5">
        <v>0.9480421335200746</v>
      </c>
    </row>
    <row r="34" spans="1:8">
      <c r="A34" s="4" t="s">
        <v>52</v>
      </c>
      <c r="B34" s="4">
        <v>211971126</v>
      </c>
      <c r="C34" s="4">
        <v>30</v>
      </c>
      <c r="D34" s="4" t="s">
        <v>20</v>
      </c>
      <c r="E34" s="6">
        <v>0.92770483193277309</v>
      </c>
      <c r="F34" s="1">
        <v>0.26785714285714285</v>
      </c>
      <c r="G34" s="5">
        <v>0.9480421335200746</v>
      </c>
      <c r="H34" s="5">
        <v>0.95920284780578891</v>
      </c>
    </row>
    <row r="35" spans="1:8">
      <c r="A35" s="4" t="s">
        <v>18</v>
      </c>
      <c r="B35" s="4">
        <v>211968048</v>
      </c>
      <c r="C35" s="4">
        <v>288</v>
      </c>
      <c r="D35" s="4" t="s">
        <v>14</v>
      </c>
      <c r="E35" s="6">
        <v>1.0288953081232493</v>
      </c>
      <c r="F35" s="1">
        <v>1.9523809523809526</v>
      </c>
      <c r="G35" s="5">
        <v>1.0288953081232493</v>
      </c>
      <c r="H35" s="5">
        <v>1.1102445144724555</v>
      </c>
    </row>
    <row r="36" spans="1:8">
      <c r="A36" s="4" t="s">
        <v>32</v>
      </c>
      <c r="B36" s="4">
        <v>211971116</v>
      </c>
      <c r="C36" s="4">
        <v>24</v>
      </c>
      <c r="D36" s="4" t="s">
        <v>20</v>
      </c>
      <c r="E36" s="6">
        <v>1.0495219615624027</v>
      </c>
      <c r="F36" s="1">
        <v>0.43055555555555558</v>
      </c>
      <c r="G36" s="5">
        <v>1.1102445144724555</v>
      </c>
      <c r="H36" s="5">
        <v>1.1281843292872704</v>
      </c>
    </row>
    <row r="37" spans="1:8">
      <c r="A37" s="4" t="s">
        <v>53</v>
      </c>
      <c r="B37" s="4">
        <v>211971109</v>
      </c>
      <c r="C37" s="4">
        <v>3</v>
      </c>
      <c r="D37" s="4" t="s">
        <v>20</v>
      </c>
      <c r="E37" s="6">
        <v>1.0810199774354186</v>
      </c>
      <c r="F37" s="1">
        <v>0.5</v>
      </c>
      <c r="G37" s="5">
        <v>1.1281843292872704</v>
      </c>
      <c r="H37" s="5">
        <v>1.1490176626206037</v>
      </c>
    </row>
    <row r="38" spans="1:8">
      <c r="A38" s="4" t="s">
        <v>21</v>
      </c>
      <c r="B38" s="4">
        <v>211971114</v>
      </c>
      <c r="C38" s="4">
        <v>48</v>
      </c>
      <c r="D38" s="4" t="s">
        <v>14</v>
      </c>
      <c r="E38" s="6">
        <v>1.1124449838386195</v>
      </c>
      <c r="F38" s="1">
        <v>0.84665545241210305</v>
      </c>
      <c r="G38" s="5">
        <v>1.1490176626206037</v>
      </c>
      <c r="H38" s="5">
        <v>1.1842949731377745</v>
      </c>
    </row>
    <row r="39" spans="1:8">
      <c r="A39" s="4" t="s">
        <v>43</v>
      </c>
      <c r="B39" s="4">
        <v>211971148</v>
      </c>
      <c r="C39" s="4">
        <v>232</v>
      </c>
      <c r="D39" s="4" t="s">
        <v>20</v>
      </c>
      <c r="E39" s="6">
        <v>1.1253624772248629</v>
      </c>
      <c r="F39" s="1">
        <v>0.7509176587301587</v>
      </c>
      <c r="G39" s="5">
        <v>1.1842949731377745</v>
      </c>
      <c r="H39" s="5">
        <v>1.2155832089181979</v>
      </c>
    </row>
    <row r="40" spans="1:8">
      <c r="A40" s="4" t="s">
        <v>55</v>
      </c>
      <c r="B40" s="4">
        <v>211971127</v>
      </c>
      <c r="C40" s="4">
        <v>30</v>
      </c>
      <c r="D40" s="4" t="s">
        <v>20</v>
      </c>
      <c r="E40" s="6">
        <v>1.135580731193117</v>
      </c>
      <c r="F40" s="1">
        <v>0.26190476190476192</v>
      </c>
      <c r="G40" s="5">
        <v>1.2155832089181979</v>
      </c>
      <c r="H40" s="5">
        <v>1.2264959073308963</v>
      </c>
    </row>
    <row r="41" spans="1:8">
      <c r="A41" s="4" t="s">
        <v>31</v>
      </c>
      <c r="B41" s="4">
        <v>211966930</v>
      </c>
      <c r="C41" s="4">
        <v>240</v>
      </c>
      <c r="D41" s="4" t="s">
        <v>20</v>
      </c>
      <c r="E41" s="6">
        <v>1.2669321074277209</v>
      </c>
      <c r="F41" s="1">
        <v>0.95569053459486664</v>
      </c>
      <c r="G41" s="5">
        <v>1.2669321074277209</v>
      </c>
      <c r="H41" s="5">
        <v>1.3067525463691736</v>
      </c>
    </row>
    <row r="42" spans="1:8">
      <c r="A42" s="4" t="s">
        <v>59</v>
      </c>
      <c r="B42" s="4">
        <v>211971112</v>
      </c>
      <c r="C42" s="4">
        <v>48</v>
      </c>
      <c r="D42" s="4" t="s">
        <v>20</v>
      </c>
      <c r="E42" s="6">
        <v>0.81765873015873014</v>
      </c>
      <c r="F42" s="1">
        <v>3.5714285714285716</v>
      </c>
      <c r="G42" s="5">
        <v>1.3067525463691736</v>
      </c>
      <c r="H42" s="5">
        <v>1.4555620701786973</v>
      </c>
    </row>
    <row r="43" spans="1:8" s="14" customFormat="1" ht="9.75" customHeight="1">
      <c r="A43" s="9"/>
      <c r="B43" s="9"/>
      <c r="C43" s="9"/>
      <c r="D43" s="9"/>
      <c r="E43" s="12"/>
      <c r="F43" s="10"/>
      <c r="G43" s="11"/>
      <c r="H43" s="11"/>
    </row>
    <row r="44" spans="1:8">
      <c r="A44" s="4" t="s">
        <v>46</v>
      </c>
      <c r="B44" s="4">
        <v>211971568</v>
      </c>
      <c r="C44" s="4">
        <v>624</v>
      </c>
      <c r="D44" s="4" t="s">
        <v>14</v>
      </c>
      <c r="E44" s="6" t="s">
        <v>65</v>
      </c>
      <c r="F44" s="1">
        <v>0.29003572925607302</v>
      </c>
      <c r="G44" s="5">
        <v>0.72916666666666663</v>
      </c>
      <c r="H44" s="5">
        <v>0.74125148871900304</v>
      </c>
    </row>
    <row r="45" spans="1:8">
      <c r="A45" s="4" t="s">
        <v>34</v>
      </c>
      <c r="B45" s="4">
        <v>211971567</v>
      </c>
      <c r="C45" s="4">
        <v>60</v>
      </c>
      <c r="D45" s="4" t="s">
        <v>10</v>
      </c>
      <c r="E45" s="6" t="s">
        <v>65</v>
      </c>
      <c r="F45" s="1">
        <v>0.50964187327823696</v>
      </c>
      <c r="G45" s="5">
        <v>0.74125148871900304</v>
      </c>
      <c r="H45" s="5">
        <v>0.7624865667722629</v>
      </c>
    </row>
    <row r="46" spans="1:8">
      <c r="A46" s="4" t="s">
        <v>74</v>
      </c>
      <c r="B46" s="4">
        <v>211971566</v>
      </c>
      <c r="C46" s="4">
        <v>60</v>
      </c>
      <c r="D46" s="4" t="s">
        <v>10</v>
      </c>
      <c r="E46" s="6" t="s">
        <v>65</v>
      </c>
      <c r="F46" s="1">
        <v>0.43721877465719833</v>
      </c>
      <c r="G46" s="5">
        <v>0.7624865667722629</v>
      </c>
      <c r="H46" s="5">
        <v>0.78070401571631287</v>
      </c>
    </row>
    <row r="47" spans="1:8">
      <c r="A47" s="4" t="s">
        <v>72</v>
      </c>
      <c r="B47" s="4">
        <v>211971565</v>
      </c>
      <c r="C47" s="4">
        <v>60</v>
      </c>
      <c r="D47" s="4" t="s">
        <v>10</v>
      </c>
      <c r="E47" s="6">
        <v>0.77821250222935612</v>
      </c>
      <c r="F47" s="1">
        <v>1.1620117710005353</v>
      </c>
      <c r="G47" s="5">
        <v>0.78070401571631287</v>
      </c>
      <c r="H47" s="5">
        <v>0.82912117284133513</v>
      </c>
    </row>
    <row r="48" spans="1:8">
      <c r="A48" s="4" t="s">
        <v>18</v>
      </c>
      <c r="B48" s="4">
        <v>211968049</v>
      </c>
      <c r="C48" s="4">
        <v>288</v>
      </c>
      <c r="D48" s="4" t="s">
        <v>14</v>
      </c>
      <c r="E48" s="6">
        <v>0.87940297841983228</v>
      </c>
      <c r="F48" s="1">
        <v>1.9523809523809526</v>
      </c>
      <c r="G48" s="5">
        <v>0.87940297841983228</v>
      </c>
      <c r="H48" s="5">
        <v>0.96075218476903868</v>
      </c>
    </row>
    <row r="49" spans="1:8">
      <c r="A49" s="4" t="s">
        <v>21</v>
      </c>
      <c r="B49" s="4">
        <v>211971572</v>
      </c>
      <c r="C49" s="4">
        <v>48</v>
      </c>
      <c r="D49" s="4" t="s">
        <v>14</v>
      </c>
      <c r="E49" s="6">
        <v>0.91082798482303318</v>
      </c>
      <c r="F49" s="1">
        <v>0.84665545241210305</v>
      </c>
      <c r="G49" s="5">
        <v>0.96075218476903868</v>
      </c>
      <c r="H49" s="5">
        <v>0.99602949528620965</v>
      </c>
    </row>
    <row r="50" spans="1:8">
      <c r="A50" s="4" t="s">
        <v>73</v>
      </c>
      <c r="B50" s="4">
        <v>211971570</v>
      </c>
      <c r="C50" s="4">
        <v>48</v>
      </c>
      <c r="D50" s="4" t="s">
        <v>10</v>
      </c>
      <c r="E50" s="6">
        <v>0.97040400821484607</v>
      </c>
      <c r="F50" s="1">
        <v>1.275689223057644</v>
      </c>
      <c r="G50" s="5">
        <v>0.99602949528620965</v>
      </c>
      <c r="H50" s="5">
        <v>1.0491832129136114</v>
      </c>
    </row>
    <row r="51" spans="1:8">
      <c r="A51" s="4" t="s">
        <v>66</v>
      </c>
      <c r="B51" s="4">
        <v>211971569</v>
      </c>
      <c r="C51" s="4">
        <v>48</v>
      </c>
      <c r="D51" s="4" t="s">
        <v>10</v>
      </c>
      <c r="E51" s="6">
        <v>1.0957118794037508</v>
      </c>
      <c r="F51" s="1">
        <v>1.033946251768034</v>
      </c>
      <c r="G51" s="5">
        <v>1.0957118794037508</v>
      </c>
      <c r="H51" s="5">
        <v>1.1387929732274189</v>
      </c>
    </row>
    <row r="52" spans="1:8">
      <c r="A52" s="4" t="s">
        <v>71</v>
      </c>
      <c r="B52" s="4">
        <v>211971590</v>
      </c>
      <c r="C52" s="4">
        <v>48</v>
      </c>
      <c r="D52" s="4" t="s">
        <v>10</v>
      </c>
      <c r="E52" s="6">
        <v>1.1955461836928425</v>
      </c>
      <c r="F52" s="1">
        <v>0.4844178509099975</v>
      </c>
      <c r="G52" s="5">
        <v>1.1955461836928425</v>
      </c>
      <c r="H52" s="5">
        <v>1.2157302608140923</v>
      </c>
    </row>
    <row r="53" spans="1:8" s="14" customFormat="1" ht="9.75" customHeight="1">
      <c r="A53" s="9"/>
      <c r="B53" s="9"/>
      <c r="C53" s="9"/>
      <c r="D53" s="9"/>
      <c r="E53" s="12"/>
      <c r="F53" s="10"/>
      <c r="G53" s="11"/>
      <c r="H53" s="11"/>
    </row>
    <row r="54" spans="1:8">
      <c r="A54" s="4" t="s">
        <v>52</v>
      </c>
      <c r="B54" s="4">
        <v>211971126</v>
      </c>
      <c r="C54" s="4">
        <v>30</v>
      </c>
      <c r="D54" s="4" t="s">
        <v>20</v>
      </c>
      <c r="E54" s="6" t="s">
        <v>65</v>
      </c>
      <c r="F54" s="1">
        <v>0.26785714285714285</v>
      </c>
      <c r="G54" s="5">
        <v>0.72916666666666663</v>
      </c>
      <c r="H54" s="5">
        <v>0.74032738095238093</v>
      </c>
    </row>
    <row r="55" spans="1:8">
      <c r="A55" s="4" t="s">
        <v>46</v>
      </c>
      <c r="B55" s="4">
        <v>211972218</v>
      </c>
      <c r="C55" s="4">
        <v>624</v>
      </c>
      <c r="D55" s="4" t="s">
        <v>14</v>
      </c>
      <c r="E55" s="6" t="s">
        <v>65</v>
      </c>
      <c r="F55" s="1">
        <v>0.29003572925607302</v>
      </c>
      <c r="G55" s="5">
        <v>0.74032738095238093</v>
      </c>
      <c r="H55" s="5">
        <v>0.75241220300471734</v>
      </c>
    </row>
    <row r="56" spans="1:8">
      <c r="A56" s="4" t="s">
        <v>35</v>
      </c>
      <c r="B56" s="4">
        <v>211972246</v>
      </c>
      <c r="C56" s="4">
        <v>48</v>
      </c>
      <c r="D56" s="4" t="s">
        <v>14</v>
      </c>
      <c r="E56" s="6" t="s">
        <v>65</v>
      </c>
      <c r="F56" s="1">
        <v>0.66262704761904767</v>
      </c>
      <c r="G56" s="5">
        <v>0.75241220300471734</v>
      </c>
      <c r="H56" s="5">
        <v>0.78002166332217771</v>
      </c>
    </row>
    <row r="57" spans="1:8">
      <c r="A57" s="4" t="s">
        <v>18</v>
      </c>
      <c r="B57" s="4">
        <v>211968050</v>
      </c>
      <c r="C57" s="4">
        <v>288</v>
      </c>
      <c r="D57" s="4" t="s">
        <v>14</v>
      </c>
      <c r="E57" s="6">
        <v>0.83035714285714279</v>
      </c>
      <c r="F57" s="1">
        <v>1.9523809523809526</v>
      </c>
      <c r="G57" s="5">
        <v>0.78002166332217771</v>
      </c>
      <c r="H57" s="5">
        <v>0.8613708696713841</v>
      </c>
    </row>
    <row r="58" spans="1:8">
      <c r="A58" s="4" t="s">
        <v>21</v>
      </c>
      <c r="B58" s="4">
        <v>211972221</v>
      </c>
      <c r="C58" s="4">
        <v>48</v>
      </c>
      <c r="D58" s="4" t="s">
        <v>14</v>
      </c>
      <c r="E58" s="6">
        <v>0.86178214926034369</v>
      </c>
      <c r="F58" s="1">
        <v>0.84665545241210305</v>
      </c>
      <c r="G58" s="5">
        <v>0.8613708696713841</v>
      </c>
      <c r="H58" s="5">
        <v>0.89664818018855508</v>
      </c>
    </row>
    <row r="59" spans="1:8">
      <c r="A59" s="4" t="s">
        <v>31</v>
      </c>
      <c r="B59" s="4">
        <v>211966930</v>
      </c>
      <c r="C59" s="4">
        <v>240</v>
      </c>
      <c r="D59" s="4" t="s">
        <v>20</v>
      </c>
      <c r="E59" s="6">
        <v>0.91860475565367783</v>
      </c>
      <c r="F59" s="1">
        <v>0.95569053459486664</v>
      </c>
      <c r="G59" s="5">
        <v>0.91860475565367783</v>
      </c>
      <c r="H59" s="5">
        <v>0.95842519459513065</v>
      </c>
    </row>
    <row r="60" spans="1:8">
      <c r="A60" s="4" t="s">
        <v>18</v>
      </c>
      <c r="B60" s="4">
        <v>211968050</v>
      </c>
      <c r="C60" s="4">
        <v>288</v>
      </c>
      <c r="D60" s="4" t="s">
        <v>14</v>
      </c>
      <c r="E60" s="6">
        <v>0.83035714285714279</v>
      </c>
      <c r="F60" s="1">
        <v>1.9523809523809526</v>
      </c>
      <c r="G60" s="5">
        <v>0.95842519459513065</v>
      </c>
      <c r="H60" s="5">
        <v>1.039774400944337</v>
      </c>
    </row>
    <row r="61" spans="1:8">
      <c r="A61" s="4" t="s">
        <v>21</v>
      </c>
      <c r="B61" s="4">
        <v>211972221</v>
      </c>
      <c r="C61" s="4">
        <v>48</v>
      </c>
      <c r="D61" s="4" t="s">
        <v>14</v>
      </c>
      <c r="E61" s="6">
        <v>0.86178214926034369</v>
      </c>
      <c r="F61" s="1">
        <v>0.84665545241210305</v>
      </c>
      <c r="G61" s="5">
        <v>1.039774400944337</v>
      </c>
      <c r="H61" s="5">
        <v>1.0750517114615079</v>
      </c>
    </row>
    <row r="62" spans="1:8">
      <c r="A62" s="4" t="s">
        <v>79</v>
      </c>
      <c r="B62" s="4">
        <v>211972242</v>
      </c>
      <c r="C62" s="4">
        <v>60</v>
      </c>
      <c r="D62" s="4" t="s">
        <v>10</v>
      </c>
      <c r="E62" s="6">
        <v>0.96094679599651212</v>
      </c>
      <c r="F62" s="1">
        <v>1.3690476190476193</v>
      </c>
      <c r="G62" s="5">
        <v>1.0750517114615079</v>
      </c>
      <c r="H62" s="5">
        <v>1.1320953622551586</v>
      </c>
    </row>
    <row r="63" spans="1:8">
      <c r="A63" s="4" t="s">
        <v>81</v>
      </c>
      <c r="B63" s="4">
        <v>211972220</v>
      </c>
      <c r="C63" s="4">
        <v>48</v>
      </c>
      <c r="D63" s="4" t="s">
        <v>10</v>
      </c>
      <c r="E63" s="6">
        <v>0.99588056116924795</v>
      </c>
      <c r="F63" s="1">
        <v>1</v>
      </c>
      <c r="G63" s="5">
        <v>1.1320953622551586</v>
      </c>
      <c r="H63" s="5">
        <v>1.1737620289218254</v>
      </c>
    </row>
    <row r="64" spans="1:8">
      <c r="A64" s="4" t="s">
        <v>47</v>
      </c>
      <c r="B64" s="4">
        <v>211972086</v>
      </c>
      <c r="C64" s="4">
        <v>24</v>
      </c>
      <c r="D64" s="4" t="s">
        <v>10</v>
      </c>
      <c r="E64" s="6">
        <v>1.0523951114337982</v>
      </c>
      <c r="F64" s="1">
        <v>1</v>
      </c>
      <c r="G64" s="5">
        <v>1.1737620289218254</v>
      </c>
      <c r="H64" s="5">
        <v>1.2154286955884921</v>
      </c>
    </row>
    <row r="65" spans="1:8">
      <c r="A65" s="4" t="s">
        <v>84</v>
      </c>
      <c r="B65" s="4">
        <v>211972219</v>
      </c>
      <c r="C65" s="4">
        <v>48</v>
      </c>
      <c r="D65" s="4" t="s">
        <v>10</v>
      </c>
      <c r="E65" s="6">
        <v>1.0912659628046495</v>
      </c>
      <c r="F65" s="1">
        <v>1</v>
      </c>
      <c r="G65" s="5">
        <v>1.2154286955884921</v>
      </c>
      <c r="H65" s="5">
        <v>1.2570953622551588</v>
      </c>
    </row>
    <row r="66" spans="1:8">
      <c r="A66" s="4" t="s">
        <v>37</v>
      </c>
      <c r="B66" s="4">
        <v>211968060</v>
      </c>
      <c r="C66" s="4">
        <v>24</v>
      </c>
      <c r="D66" s="4" t="s">
        <v>10</v>
      </c>
      <c r="E66" s="6">
        <v>1.1253624218998877</v>
      </c>
      <c r="F66" s="1">
        <v>1</v>
      </c>
      <c r="G66" s="5">
        <v>1.2570953622551588</v>
      </c>
      <c r="H66" s="5">
        <v>1.2987620289218256</v>
      </c>
    </row>
    <row r="67" spans="1:8">
      <c r="A67" s="4" t="s">
        <v>34</v>
      </c>
      <c r="B67" s="4">
        <v>211972217</v>
      </c>
      <c r="C67" s="4">
        <v>60</v>
      </c>
      <c r="D67" s="4" t="s">
        <v>10</v>
      </c>
      <c r="E67" s="6">
        <v>1.1505466232204526</v>
      </c>
      <c r="F67" s="1">
        <v>0.50964187327823696</v>
      </c>
      <c r="G67" s="5">
        <v>1.2987620289218256</v>
      </c>
      <c r="H67" s="5">
        <v>1.3199971069750855</v>
      </c>
    </row>
    <row r="68" spans="1:8" s="14" customFormat="1" ht="9.75" customHeight="1">
      <c r="A68" s="9"/>
      <c r="B68" s="9"/>
      <c r="C68" s="9"/>
      <c r="D68" s="9"/>
      <c r="E68" s="12"/>
      <c r="F68" s="10"/>
      <c r="G68" s="11"/>
      <c r="H68" s="11"/>
    </row>
    <row r="69" spans="1:8">
      <c r="A69" s="4" t="s">
        <v>18</v>
      </c>
      <c r="B69" s="4">
        <v>211968050</v>
      </c>
      <c r="C69" s="4">
        <v>288</v>
      </c>
      <c r="D69" s="4" t="s">
        <v>14</v>
      </c>
      <c r="E69" s="6" t="s">
        <v>65</v>
      </c>
      <c r="F69" s="1">
        <v>1.9523809523809526</v>
      </c>
      <c r="G69" s="5">
        <v>0.72916666666666663</v>
      </c>
      <c r="H69" s="5">
        <v>0.81051587301587302</v>
      </c>
    </row>
    <row r="70" spans="1:8">
      <c r="A70" s="4" t="s">
        <v>21</v>
      </c>
      <c r="B70" s="4">
        <v>211972221</v>
      </c>
      <c r="C70" s="4">
        <v>48</v>
      </c>
      <c r="D70" s="4" t="s">
        <v>14</v>
      </c>
      <c r="E70" s="6" t="s">
        <v>65</v>
      </c>
      <c r="F70" s="1">
        <v>0.84665545241210305</v>
      </c>
      <c r="G70" s="5">
        <v>0.81051587301587302</v>
      </c>
      <c r="H70" s="5">
        <v>0.845793183533044</v>
      </c>
    </row>
    <row r="71" spans="1:8">
      <c r="A71" s="4" t="s">
        <v>41</v>
      </c>
      <c r="B71" s="4">
        <v>211972890</v>
      </c>
      <c r="C71" s="4">
        <v>240</v>
      </c>
      <c r="D71" s="4" t="s">
        <v>20</v>
      </c>
      <c r="E71" s="6" t="s">
        <v>65</v>
      </c>
      <c r="F71" s="1">
        <v>0.2904761904761905</v>
      </c>
      <c r="G71" s="5">
        <v>0.845793183533044</v>
      </c>
      <c r="H71" s="5">
        <v>0.85789635813621856</v>
      </c>
    </row>
    <row r="72" spans="1:8">
      <c r="A72" s="4" t="s">
        <v>21</v>
      </c>
      <c r="B72" s="4">
        <v>211972905</v>
      </c>
      <c r="C72" s="4">
        <v>48</v>
      </c>
      <c r="D72" s="4" t="s">
        <v>14</v>
      </c>
      <c r="E72" s="6" t="s">
        <v>65</v>
      </c>
      <c r="F72" s="1">
        <v>0.84665545241210305</v>
      </c>
      <c r="G72" s="5">
        <v>0.85789635813621856</v>
      </c>
      <c r="H72" s="5">
        <v>0.89317366865338954</v>
      </c>
    </row>
    <row r="73" spans="1:8">
      <c r="A73" s="4" t="s">
        <v>35</v>
      </c>
      <c r="B73" s="4">
        <v>211972904</v>
      </c>
      <c r="C73" s="4">
        <v>48</v>
      </c>
      <c r="D73" s="4" t="s">
        <v>14</v>
      </c>
      <c r="E73" s="6">
        <v>0.75744940079365075</v>
      </c>
      <c r="F73" s="1">
        <v>0.66262704761904767</v>
      </c>
      <c r="G73" s="5">
        <v>0.89317366865338954</v>
      </c>
      <c r="H73" s="5">
        <v>0.92078312897084991</v>
      </c>
    </row>
    <row r="74" spans="1:8">
      <c r="A74" s="4" t="s">
        <v>86</v>
      </c>
      <c r="B74" s="4">
        <v>211970675</v>
      </c>
      <c r="C74" s="4">
        <v>24</v>
      </c>
      <c r="D74" s="4" t="s">
        <v>20</v>
      </c>
      <c r="E74" s="6">
        <v>0.83548530771305285</v>
      </c>
      <c r="F74" s="1">
        <v>1.5936199722607525</v>
      </c>
      <c r="G74" s="5">
        <v>0.92078312897084991</v>
      </c>
      <c r="H74" s="5">
        <v>0.98718396114838125</v>
      </c>
    </row>
    <row r="75" spans="1:8">
      <c r="A75" s="4" t="s">
        <v>18</v>
      </c>
      <c r="B75" s="4">
        <v>211968051</v>
      </c>
      <c r="C75" s="4">
        <v>288</v>
      </c>
      <c r="D75" s="4" t="s">
        <v>14</v>
      </c>
      <c r="E75" s="6">
        <v>0.93667578390352901</v>
      </c>
      <c r="F75" s="1">
        <v>1.9523809523809526</v>
      </c>
      <c r="G75" s="5">
        <v>0.98718396114838125</v>
      </c>
      <c r="H75" s="5">
        <v>1.0685331674975875</v>
      </c>
    </row>
    <row r="76" spans="1:8">
      <c r="A76" s="4" t="s">
        <v>44</v>
      </c>
      <c r="B76" s="4">
        <v>211972872</v>
      </c>
      <c r="C76" s="4">
        <v>60</v>
      </c>
      <c r="D76" s="4" t="s">
        <v>10</v>
      </c>
      <c r="E76" s="6">
        <v>0.93828958697556319</v>
      </c>
      <c r="F76" s="1">
        <v>2.26979235453812</v>
      </c>
      <c r="G76" s="5">
        <v>1.0685331674975875</v>
      </c>
      <c r="H76" s="5">
        <v>1.163107848936676</v>
      </c>
    </row>
    <row r="77" spans="1:8">
      <c r="A77" s="4" t="s">
        <v>34</v>
      </c>
      <c r="B77" s="4">
        <v>211972873</v>
      </c>
      <c r="C77" s="4">
        <v>60</v>
      </c>
      <c r="D77" s="4" t="s">
        <v>10</v>
      </c>
      <c r="E77" s="6">
        <v>0.96347378829612818</v>
      </c>
      <c r="F77" s="1">
        <v>0.50964187327823696</v>
      </c>
      <c r="G77" s="5">
        <v>1.163107848936676</v>
      </c>
      <c r="H77" s="5">
        <v>1.1843429269899359</v>
      </c>
    </row>
    <row r="78" spans="1:8">
      <c r="A78" s="4" t="s">
        <v>64</v>
      </c>
      <c r="B78" s="4">
        <v>211972874</v>
      </c>
      <c r="C78" s="4">
        <v>48</v>
      </c>
      <c r="D78" s="4" t="s">
        <v>10</v>
      </c>
      <c r="E78" s="6">
        <v>1.0238994735879623</v>
      </c>
      <c r="F78" s="1">
        <v>0.90150790855264284</v>
      </c>
      <c r="G78" s="5">
        <v>1.1843429269899359</v>
      </c>
      <c r="H78" s="5">
        <v>1.2219057565129627</v>
      </c>
    </row>
    <row r="79" spans="1:8" s="14" customFormat="1" ht="9.75" customHeight="1">
      <c r="A79" s="9"/>
      <c r="B79" s="9"/>
      <c r="C79" s="9"/>
      <c r="D79" s="9"/>
      <c r="E79" s="12"/>
      <c r="F79" s="10"/>
      <c r="G79" s="11"/>
      <c r="H79" s="11"/>
    </row>
    <row r="80" spans="1:8">
      <c r="A80" s="4" t="s">
        <v>35</v>
      </c>
      <c r="B80" s="4">
        <v>211972904</v>
      </c>
      <c r="C80" s="4">
        <v>48</v>
      </c>
      <c r="D80" s="4" t="s">
        <v>14</v>
      </c>
      <c r="E80" s="6" t="s">
        <v>65</v>
      </c>
      <c r="F80" s="1">
        <v>0.66262704761904767</v>
      </c>
      <c r="G80" s="5">
        <v>0.72916666666666663</v>
      </c>
      <c r="H80" s="5">
        <v>0.756776126984127</v>
      </c>
    </row>
    <row r="81" spans="1:8">
      <c r="A81" s="4" t="s">
        <v>47</v>
      </c>
      <c r="B81" s="4">
        <v>211972086</v>
      </c>
      <c r="C81" s="4">
        <v>24</v>
      </c>
      <c r="D81" s="4" t="s">
        <v>10</v>
      </c>
      <c r="E81" s="6" t="s">
        <v>103</v>
      </c>
      <c r="F81" s="1">
        <v>0.5</v>
      </c>
      <c r="G81" s="5">
        <v>0.756776126984127</v>
      </c>
      <c r="H81" s="5">
        <v>0.77760946031746037</v>
      </c>
    </row>
    <row r="82" spans="1:8">
      <c r="A82" s="4" t="s">
        <v>86</v>
      </c>
      <c r="B82" s="4">
        <v>211970675</v>
      </c>
      <c r="C82" s="4">
        <v>24</v>
      </c>
      <c r="D82" s="4" t="s">
        <v>20</v>
      </c>
      <c r="E82" s="6" t="s">
        <v>103</v>
      </c>
      <c r="F82" s="1">
        <v>1.5936199722607525</v>
      </c>
      <c r="G82" s="5">
        <v>0.77760946031746037</v>
      </c>
      <c r="H82" s="5">
        <v>0.84401029249499171</v>
      </c>
    </row>
    <row r="83" spans="1:8">
      <c r="A83" s="4" t="s">
        <v>21</v>
      </c>
      <c r="B83" s="4">
        <v>211972905</v>
      </c>
      <c r="C83" s="4">
        <v>48</v>
      </c>
      <c r="D83" s="4" t="s">
        <v>14</v>
      </c>
      <c r="E83" s="6" t="s">
        <v>103</v>
      </c>
      <c r="F83" s="1">
        <v>0.84665545241210305</v>
      </c>
      <c r="G83" s="5">
        <v>0.84401029249499171</v>
      </c>
      <c r="H83" s="5">
        <v>0.87928760301216269</v>
      </c>
    </row>
    <row r="84" spans="1:8">
      <c r="A84" s="4" t="s">
        <v>34</v>
      </c>
      <c r="B84" s="4">
        <v>211972217</v>
      </c>
      <c r="C84" s="4">
        <v>60</v>
      </c>
      <c r="D84" s="4" t="s">
        <v>10</v>
      </c>
      <c r="E84" s="6" t="s">
        <v>103</v>
      </c>
      <c r="F84" s="1">
        <v>0.50964187327823696</v>
      </c>
      <c r="G84" s="5">
        <v>0.87928760301216269</v>
      </c>
      <c r="H84" s="5">
        <v>0.90052268106542255</v>
      </c>
    </row>
    <row r="85" spans="1:8">
      <c r="A85" s="4" t="s">
        <v>18</v>
      </c>
      <c r="B85" s="4">
        <v>211968051</v>
      </c>
      <c r="C85" s="4">
        <v>288</v>
      </c>
      <c r="D85" s="4" t="s">
        <v>14</v>
      </c>
      <c r="E85" s="6" t="s">
        <v>103</v>
      </c>
      <c r="F85" s="1">
        <v>1.9523809523809526</v>
      </c>
      <c r="G85" s="5">
        <v>0.90052268106542255</v>
      </c>
      <c r="H85" s="5">
        <v>0.98187188741462894</v>
      </c>
    </row>
    <row r="86" spans="1:8">
      <c r="A86" s="4" t="s">
        <v>64</v>
      </c>
      <c r="B86" s="4">
        <v>211972874</v>
      </c>
      <c r="C86" s="4">
        <v>48</v>
      </c>
      <c r="D86" s="4" t="s">
        <v>10</v>
      </c>
      <c r="E86" s="6" t="s">
        <v>103</v>
      </c>
      <c r="F86" s="1">
        <v>0.90150790855264284</v>
      </c>
      <c r="G86" s="5">
        <v>0.98187188741462894</v>
      </c>
      <c r="H86" s="5">
        <v>1.0194347169376556</v>
      </c>
    </row>
    <row r="87" spans="1:8">
      <c r="A87" s="4" t="s">
        <v>44</v>
      </c>
      <c r="B87" s="4">
        <v>211972872</v>
      </c>
      <c r="C87" s="4">
        <v>60</v>
      </c>
      <c r="D87" s="4" t="s">
        <v>10</v>
      </c>
      <c r="E87" s="6" t="s">
        <v>103</v>
      </c>
      <c r="F87" s="1">
        <v>2.2697923545381169</v>
      </c>
      <c r="G87" s="5">
        <v>1.0194347169376556</v>
      </c>
      <c r="H87" s="5">
        <v>1.1140093983767438</v>
      </c>
    </row>
    <row r="88" spans="1:8">
      <c r="A88" s="4" t="s">
        <v>34</v>
      </c>
      <c r="B88" s="4">
        <v>211972873</v>
      </c>
      <c r="C88" s="4">
        <v>60</v>
      </c>
      <c r="D88" s="4" t="s">
        <v>10</v>
      </c>
      <c r="E88" s="6" t="s">
        <v>103</v>
      </c>
      <c r="F88" s="1">
        <v>0.50964187327823696</v>
      </c>
      <c r="G88" s="5">
        <v>1.1140093983767438</v>
      </c>
      <c r="H88" s="5">
        <v>1.1352444764300038</v>
      </c>
    </row>
    <row r="89" spans="1:8">
      <c r="A89" s="4" t="s">
        <v>46</v>
      </c>
      <c r="B89" s="4">
        <v>211973379</v>
      </c>
      <c r="C89" s="4">
        <v>624</v>
      </c>
      <c r="D89" s="4" t="s">
        <v>14</v>
      </c>
      <c r="E89" s="6" t="s">
        <v>103</v>
      </c>
      <c r="F89" s="1">
        <v>0.29003572925607302</v>
      </c>
      <c r="G89" s="5">
        <v>1.1352444764300038</v>
      </c>
      <c r="H89" s="5">
        <v>1.1473292984823402</v>
      </c>
    </row>
    <row r="90" spans="1:8">
      <c r="A90" s="4" t="s">
        <v>45</v>
      </c>
      <c r="B90" s="4">
        <v>211973380</v>
      </c>
      <c r="C90" s="4">
        <v>48</v>
      </c>
      <c r="D90" s="4" t="s">
        <v>20</v>
      </c>
      <c r="E90" s="6" t="s">
        <v>103</v>
      </c>
      <c r="F90" s="1">
        <v>0.54578754578754574</v>
      </c>
      <c r="G90" s="5">
        <v>1.1473292984823402</v>
      </c>
      <c r="H90" s="5">
        <v>1.1700704462234879</v>
      </c>
    </row>
    <row r="91" spans="1:8">
      <c r="A91" s="4" t="s">
        <v>74</v>
      </c>
      <c r="B91" s="4">
        <v>211973377</v>
      </c>
      <c r="C91" s="4">
        <v>60</v>
      </c>
      <c r="D91" s="4" t="s">
        <v>10</v>
      </c>
      <c r="E91" s="6" t="s">
        <v>103</v>
      </c>
      <c r="F91" s="1">
        <v>0.43721877465719833</v>
      </c>
      <c r="G91" s="5">
        <v>1.1700704462234879</v>
      </c>
      <c r="H91" s="5">
        <v>1.1882878951675377</v>
      </c>
    </row>
    <row r="92" spans="1:8">
      <c r="A92" s="4" t="s">
        <v>35</v>
      </c>
      <c r="B92" s="4">
        <v>211973381</v>
      </c>
      <c r="C92" s="4">
        <v>48</v>
      </c>
      <c r="D92" s="4" t="s">
        <v>14</v>
      </c>
      <c r="E92" s="6">
        <v>0.75744940079365075</v>
      </c>
      <c r="F92" s="1">
        <v>0.66262704761904767</v>
      </c>
      <c r="G92" s="5">
        <v>1.1882878951675377</v>
      </c>
      <c r="H92" s="5">
        <v>1.2158973554849981</v>
      </c>
    </row>
    <row r="93" spans="1:8">
      <c r="A93" s="4" t="s">
        <v>102</v>
      </c>
      <c r="B93" s="4">
        <v>211973397</v>
      </c>
      <c r="C93" s="4">
        <v>20</v>
      </c>
      <c r="D93" s="4" t="s">
        <v>20</v>
      </c>
      <c r="E93" s="6">
        <v>0.8009943743386243</v>
      </c>
      <c r="F93" s="1">
        <v>1</v>
      </c>
      <c r="G93" s="5">
        <v>1.2158973554849981</v>
      </c>
      <c r="H93" s="5">
        <v>1.2575640221516649</v>
      </c>
    </row>
    <row r="94" spans="1:8">
      <c r="A94" s="4" t="s">
        <v>18</v>
      </c>
      <c r="B94" s="4">
        <v>211968052</v>
      </c>
      <c r="C94" s="4">
        <v>288</v>
      </c>
      <c r="D94" s="4" t="s">
        <v>14</v>
      </c>
      <c r="E94" s="6">
        <v>0.90218485052910047</v>
      </c>
      <c r="F94" s="1">
        <v>1.9523809523809526</v>
      </c>
      <c r="G94" s="5">
        <v>1.2575640221516649</v>
      </c>
      <c r="H94" s="5">
        <v>1.3389132285008711</v>
      </c>
    </row>
    <row r="95" spans="1:8">
      <c r="A95" s="4" t="s">
        <v>21</v>
      </c>
      <c r="B95" s="4">
        <v>211973407</v>
      </c>
      <c r="C95" s="4">
        <v>48</v>
      </c>
      <c r="D95" s="4" t="s">
        <v>14</v>
      </c>
      <c r="E95" s="6">
        <v>0.93360985693230136</v>
      </c>
      <c r="F95" s="1">
        <v>0.84665545241210305</v>
      </c>
      <c r="G95" s="5">
        <v>1.3389132285008711</v>
      </c>
      <c r="H95" s="5">
        <v>1.374190539018042</v>
      </c>
    </row>
    <row r="96" spans="1:8">
      <c r="A96" s="4" t="s">
        <v>18</v>
      </c>
      <c r="B96" s="4">
        <v>211968052</v>
      </c>
      <c r="C96" s="4">
        <v>288</v>
      </c>
      <c r="D96" s="4" t="s">
        <v>14</v>
      </c>
      <c r="E96" s="6">
        <v>0.90218485052910047</v>
      </c>
      <c r="F96" s="1">
        <v>1.9523809523809526</v>
      </c>
      <c r="G96" s="5">
        <v>1.374190539018042</v>
      </c>
      <c r="H96" s="5">
        <v>1.4555397453672483</v>
      </c>
    </row>
    <row r="97" spans="1:8">
      <c r="A97" s="4" t="s">
        <v>98</v>
      </c>
      <c r="B97" s="4">
        <v>211973386</v>
      </c>
      <c r="C97" s="4">
        <v>96</v>
      </c>
      <c r="D97" s="4" t="s">
        <v>20</v>
      </c>
      <c r="E97" s="6">
        <v>1.0483585341809787</v>
      </c>
      <c r="F97" s="1">
        <v>0.49867724867724872</v>
      </c>
      <c r="G97" s="5">
        <v>1.4555397453672483</v>
      </c>
      <c r="H97" s="5">
        <v>1.4763179640621336</v>
      </c>
    </row>
    <row r="98" spans="1:8">
      <c r="A98" s="4" t="s">
        <v>47</v>
      </c>
      <c r="B98" s="4">
        <v>211973382</v>
      </c>
      <c r="C98" s="4">
        <v>24</v>
      </c>
      <c r="D98" s="4" t="s">
        <v>10</v>
      </c>
      <c r="E98" s="6">
        <v>5.219356261021825E-2</v>
      </c>
      <c r="F98" s="1">
        <v>0.5</v>
      </c>
      <c r="G98" s="5">
        <v>1.4763179640621336</v>
      </c>
      <c r="H98" s="5">
        <v>1.4971512973954668</v>
      </c>
    </row>
    <row r="99" spans="1:8">
      <c r="A99" s="4" t="s">
        <v>37</v>
      </c>
      <c r="B99" s="4">
        <v>211968061</v>
      </c>
      <c r="C99" s="4">
        <v>24</v>
      </c>
      <c r="D99" s="4" t="s">
        <v>10</v>
      </c>
      <c r="E99" s="6">
        <v>8.6290021705456355E-2</v>
      </c>
      <c r="F99" s="1">
        <v>0.5</v>
      </c>
      <c r="G99" s="5">
        <v>1.4971512973954668</v>
      </c>
      <c r="H99" s="5">
        <v>1.5179846307288001</v>
      </c>
    </row>
    <row r="100" spans="1:8" s="14" customFormat="1" ht="9.75" customHeight="1">
      <c r="A100" s="9"/>
      <c r="B100" s="9"/>
      <c r="C100" s="9"/>
      <c r="D100" s="9"/>
      <c r="E100" s="12"/>
      <c r="F100" s="10"/>
      <c r="G100" s="11"/>
      <c r="H100" s="11"/>
    </row>
    <row r="101" spans="1:8">
      <c r="A101" s="4" t="s">
        <v>18</v>
      </c>
      <c r="B101" s="4">
        <v>211968052</v>
      </c>
      <c r="C101" s="4">
        <v>288</v>
      </c>
      <c r="D101" s="4" t="s">
        <v>14</v>
      </c>
      <c r="E101" s="6" t="s">
        <v>65</v>
      </c>
      <c r="F101" s="1">
        <v>1.9523809523809526</v>
      </c>
      <c r="G101" s="5">
        <v>0.72916666666666663</v>
      </c>
      <c r="H101" s="5">
        <v>0.81051587301587302</v>
      </c>
    </row>
    <row r="102" spans="1:8">
      <c r="A102" s="4" t="s">
        <v>21</v>
      </c>
      <c r="B102" s="4">
        <v>211973407</v>
      </c>
      <c r="C102" s="4">
        <v>48</v>
      </c>
      <c r="D102" s="4" t="s">
        <v>14</v>
      </c>
      <c r="E102" s="6">
        <v>0.76059167306986752</v>
      </c>
      <c r="F102" s="1">
        <v>0.84665545241210305</v>
      </c>
      <c r="G102" s="5">
        <v>0.81051587301587302</v>
      </c>
      <c r="H102" s="5">
        <v>0.845793183533044</v>
      </c>
    </row>
    <row r="103" spans="1:8">
      <c r="A103" s="4" t="s">
        <v>44</v>
      </c>
      <c r="B103" s="4">
        <v>211973940</v>
      </c>
      <c r="C103" s="4">
        <v>60</v>
      </c>
      <c r="D103" s="4" t="s">
        <v>10</v>
      </c>
      <c r="E103" s="6">
        <v>0.80535880248349978</v>
      </c>
      <c r="F103" s="1">
        <v>2.2697923545381169</v>
      </c>
      <c r="G103" s="5">
        <v>0.845793183533044</v>
      </c>
      <c r="H103" s="5">
        <v>0.94036786497213221</v>
      </c>
    </row>
    <row r="104" spans="1:8">
      <c r="A104" s="4" t="s">
        <v>47</v>
      </c>
      <c r="B104" s="4">
        <v>211973382</v>
      </c>
      <c r="C104" s="4">
        <v>24</v>
      </c>
      <c r="D104" s="4" t="s">
        <v>10</v>
      </c>
      <c r="E104" s="6">
        <v>0.82619213581683315</v>
      </c>
      <c r="F104" s="1">
        <v>0.5</v>
      </c>
      <c r="G104" s="5">
        <v>0.94036786497213221</v>
      </c>
      <c r="H104" s="5">
        <v>0.96120119830546558</v>
      </c>
    </row>
    <row r="105" spans="1:8">
      <c r="A105" s="4" t="s">
        <v>109</v>
      </c>
      <c r="B105" s="4">
        <v>211973963</v>
      </c>
      <c r="C105" s="4">
        <v>48</v>
      </c>
      <c r="D105" s="4" t="s">
        <v>20</v>
      </c>
      <c r="E105" s="6">
        <v>0.83955627705627711</v>
      </c>
      <c r="F105" s="1">
        <v>0.73376623376623429</v>
      </c>
      <c r="G105" s="5">
        <v>0.96120119830546558</v>
      </c>
      <c r="H105" s="5">
        <v>0.99177479137905866</v>
      </c>
    </row>
    <row r="106" spans="1:8">
      <c r="A106" s="4" t="s">
        <v>15</v>
      </c>
      <c r="B106" s="4">
        <v>211973943</v>
      </c>
      <c r="C106" s="4">
        <v>36</v>
      </c>
      <c r="D106" s="4" t="s">
        <v>10</v>
      </c>
      <c r="E106" s="6">
        <v>0.84820649711643636</v>
      </c>
      <c r="F106" s="1">
        <v>0.5</v>
      </c>
      <c r="G106" s="5">
        <v>0.99177479137905866</v>
      </c>
      <c r="H106" s="5">
        <v>1.0126081247123919</v>
      </c>
    </row>
    <row r="107" spans="1:8">
      <c r="A107" s="4" t="s">
        <v>21</v>
      </c>
      <c r="B107" s="4">
        <v>211973975</v>
      </c>
      <c r="C107" s="4">
        <v>48</v>
      </c>
      <c r="D107" s="4" t="s">
        <v>14</v>
      </c>
      <c r="E107" s="6">
        <v>0.88559167306986786</v>
      </c>
      <c r="F107" s="1">
        <v>0.84665545241210305</v>
      </c>
      <c r="G107" s="5">
        <v>1.0126081247123919</v>
      </c>
      <c r="H107" s="5">
        <v>1.0478854352295628</v>
      </c>
    </row>
    <row r="108" spans="1:8">
      <c r="A108" s="4" t="s">
        <v>21</v>
      </c>
      <c r="B108" s="4">
        <v>211973974</v>
      </c>
      <c r="C108" s="4">
        <v>48</v>
      </c>
      <c r="D108" s="4" t="s">
        <v>14</v>
      </c>
      <c r="E108" s="6">
        <v>0.92725833973653393</v>
      </c>
      <c r="F108" s="1">
        <v>0.84665545241210305</v>
      </c>
      <c r="G108" s="5">
        <v>1.0478854352295628</v>
      </c>
      <c r="H108" s="5">
        <v>1.0831627457467337</v>
      </c>
    </row>
    <row r="109" spans="1:8">
      <c r="A109" s="4" t="s">
        <v>102</v>
      </c>
      <c r="B109" s="4">
        <v>211973397</v>
      </c>
      <c r="C109" s="4">
        <v>20</v>
      </c>
      <c r="D109" s="4" t="s">
        <v>20</v>
      </c>
      <c r="E109" s="6">
        <v>0.94907407407407407</v>
      </c>
      <c r="F109" s="1">
        <v>0.5</v>
      </c>
      <c r="G109" s="5">
        <v>1.0831627457467337</v>
      </c>
      <c r="H109" s="5">
        <v>1.1039960790800669</v>
      </c>
    </row>
    <row r="110" spans="1:8">
      <c r="A110" s="4" t="s">
        <v>18</v>
      </c>
      <c r="B110" s="4">
        <v>211968053</v>
      </c>
      <c r="C110" s="4">
        <v>288</v>
      </c>
      <c r="D110" s="4" t="s">
        <v>14</v>
      </c>
      <c r="E110" s="6">
        <v>1.080357142857143</v>
      </c>
      <c r="F110" s="1">
        <v>1.9523809523809526</v>
      </c>
      <c r="G110" s="5">
        <v>1.1039960790800669</v>
      </c>
      <c r="H110" s="5">
        <v>1.1853452854292732</v>
      </c>
    </row>
    <row r="111" spans="1:8">
      <c r="A111" s="4" t="s">
        <v>21</v>
      </c>
      <c r="B111" s="4">
        <v>211973975</v>
      </c>
      <c r="C111" s="4">
        <v>48</v>
      </c>
      <c r="D111" s="4" t="s">
        <v>14</v>
      </c>
      <c r="E111" s="6">
        <v>1.2722611378643358</v>
      </c>
      <c r="F111" s="1">
        <v>0.84665545241210305</v>
      </c>
      <c r="G111" s="5">
        <v>1.2722611378643358</v>
      </c>
      <c r="H111" s="5">
        <v>1.3075384483815067</v>
      </c>
    </row>
    <row r="112" spans="1:8">
      <c r="A112" s="4" t="s">
        <v>104</v>
      </c>
      <c r="B112" s="4">
        <v>211973942</v>
      </c>
      <c r="C112" s="4">
        <v>48</v>
      </c>
      <c r="D112" s="4" t="s">
        <v>20</v>
      </c>
      <c r="E112" s="6">
        <v>1.3147545241077221</v>
      </c>
      <c r="F112" s="1">
        <v>1.3789682539682542</v>
      </c>
      <c r="G112" s="5">
        <v>1.3147545241077221</v>
      </c>
      <c r="H112" s="5">
        <v>1.3722115346897328</v>
      </c>
    </row>
    <row r="113" spans="1:8">
      <c r="A113" s="4" t="s">
        <v>105</v>
      </c>
      <c r="B113" s="4">
        <v>211973944</v>
      </c>
      <c r="C113" s="4">
        <v>48</v>
      </c>
      <c r="D113" s="4" t="s">
        <v>20</v>
      </c>
      <c r="E113" s="6">
        <v>1.348651183004381</v>
      </c>
      <c r="F113" s="1">
        <v>0.34998334998335007</v>
      </c>
      <c r="G113" s="5">
        <v>1.3722115346897328</v>
      </c>
      <c r="H113" s="5">
        <v>1.3867941742723724</v>
      </c>
    </row>
    <row r="114" spans="1:8">
      <c r="A114" s="4" t="s">
        <v>41</v>
      </c>
      <c r="B114" s="4">
        <v>211973953</v>
      </c>
      <c r="C114" s="4">
        <v>240</v>
      </c>
      <c r="D114" s="4" t="s">
        <v>20</v>
      </c>
      <c r="E114" s="6">
        <v>1.3663231406763388</v>
      </c>
      <c r="F114" s="1">
        <v>0.2904761904761905</v>
      </c>
      <c r="G114" s="5">
        <v>1.3867941742723724</v>
      </c>
      <c r="H114" s="5">
        <v>1.398897348875547</v>
      </c>
    </row>
    <row r="115" spans="1:8" s="14" customFormat="1" ht="9.75" customHeight="1">
      <c r="A115" s="9"/>
      <c r="B115" s="9"/>
      <c r="C115" s="9"/>
      <c r="D115" s="9"/>
      <c r="E115" s="12"/>
      <c r="F115" s="10"/>
      <c r="G115" s="11"/>
      <c r="H115" s="11"/>
    </row>
    <row r="116" spans="1:8">
      <c r="A116" s="4" t="s">
        <v>18</v>
      </c>
      <c r="B116" s="4">
        <v>211968053</v>
      </c>
      <c r="C116" s="4">
        <v>288</v>
      </c>
      <c r="D116" s="4" t="s">
        <v>14</v>
      </c>
      <c r="E116" s="6" t="s">
        <v>65</v>
      </c>
      <c r="F116" s="1">
        <v>1.9523809523809526</v>
      </c>
      <c r="G116" s="5">
        <v>0.72916666666666663</v>
      </c>
      <c r="H116" s="5">
        <v>0.81051587301587302</v>
      </c>
    </row>
    <row r="117" spans="1:8">
      <c r="A117" s="4" t="s">
        <v>109</v>
      </c>
      <c r="B117" s="4">
        <v>211973963</v>
      </c>
      <c r="C117" s="4">
        <v>48</v>
      </c>
      <c r="D117" s="4" t="s">
        <v>20</v>
      </c>
      <c r="E117" s="6" t="s">
        <v>65</v>
      </c>
      <c r="F117" s="1">
        <v>0.73376623376623429</v>
      </c>
      <c r="G117" s="5">
        <v>0.81051587301587302</v>
      </c>
      <c r="H117" s="5">
        <v>0.84108946608946611</v>
      </c>
    </row>
    <row r="118" spans="1:8">
      <c r="A118" s="4" t="s">
        <v>21</v>
      </c>
      <c r="B118" s="4">
        <v>211973975</v>
      </c>
      <c r="C118" s="4">
        <v>48</v>
      </c>
      <c r="D118" s="4" t="s">
        <v>14</v>
      </c>
      <c r="E118" s="6" t="s">
        <v>65</v>
      </c>
      <c r="F118" s="1">
        <v>0.84665545241210305</v>
      </c>
      <c r="G118" s="5">
        <v>0.84108946608946611</v>
      </c>
      <c r="H118" s="5">
        <v>0.87636677660663709</v>
      </c>
    </row>
    <row r="119" spans="1:8">
      <c r="A119" s="4" t="s">
        <v>104</v>
      </c>
      <c r="B119" s="4">
        <v>211973942</v>
      </c>
      <c r="C119" s="4">
        <v>48</v>
      </c>
      <c r="D119" s="4" t="s">
        <v>20</v>
      </c>
      <c r="E119" s="6" t="s">
        <v>65</v>
      </c>
      <c r="F119" s="1">
        <v>1.3789682539682542</v>
      </c>
      <c r="G119" s="5">
        <v>0.87636677660663709</v>
      </c>
      <c r="H119" s="5">
        <v>0.93382378718864767</v>
      </c>
    </row>
    <row r="120" spans="1:8">
      <c r="A120" s="4" t="s">
        <v>41</v>
      </c>
      <c r="B120" s="4">
        <v>211973953</v>
      </c>
      <c r="C120" s="4">
        <v>240</v>
      </c>
      <c r="D120" s="4" t="s">
        <v>20</v>
      </c>
      <c r="E120" s="6" t="s">
        <v>65</v>
      </c>
      <c r="F120" s="1">
        <v>0.2904761904761905</v>
      </c>
      <c r="G120" s="5">
        <v>0.93382378718864767</v>
      </c>
      <c r="H120" s="5">
        <v>0.94592696179182223</v>
      </c>
    </row>
    <row r="121" spans="1:8">
      <c r="A121" s="4" t="s">
        <v>105</v>
      </c>
      <c r="B121" s="4">
        <v>211973944</v>
      </c>
      <c r="C121" s="4">
        <v>48</v>
      </c>
      <c r="D121" s="4" t="s">
        <v>20</v>
      </c>
      <c r="E121" s="6">
        <v>0.76306332556332557</v>
      </c>
      <c r="F121" s="1">
        <v>0.34998334998335007</v>
      </c>
      <c r="G121" s="5">
        <v>0.94592696179182223</v>
      </c>
      <c r="H121" s="5">
        <v>0.96050960137446184</v>
      </c>
    </row>
    <row r="122" spans="1:8">
      <c r="A122" s="4" t="s">
        <v>15</v>
      </c>
      <c r="B122" s="4">
        <v>211973943</v>
      </c>
      <c r="C122" s="4">
        <v>36</v>
      </c>
      <c r="D122" s="4" t="s">
        <v>10</v>
      </c>
      <c r="E122" s="6">
        <v>0.78507768686292878</v>
      </c>
      <c r="F122" s="1">
        <v>0.5</v>
      </c>
      <c r="G122" s="5">
        <v>0.96050960137446184</v>
      </c>
      <c r="H122" s="5">
        <v>0.98134293470779521</v>
      </c>
    </row>
    <row r="123" spans="1:8" s="14" customFormat="1" ht="9.75" customHeight="1">
      <c r="A123" s="9"/>
      <c r="B123" s="9"/>
      <c r="C123" s="9"/>
      <c r="D123" s="9"/>
      <c r="E123" s="12"/>
      <c r="F123" s="10"/>
      <c r="G123" s="11"/>
      <c r="H123" s="11"/>
    </row>
    <row r="124" spans="1:8">
      <c r="A124" s="4" t="s">
        <v>104</v>
      </c>
      <c r="B124" s="4">
        <v>211973942</v>
      </c>
      <c r="C124" s="4">
        <v>48</v>
      </c>
      <c r="D124" s="4" t="s">
        <v>20</v>
      </c>
      <c r="E124" s="6" t="s">
        <v>65</v>
      </c>
      <c r="F124" s="1">
        <v>1.3789682539682542</v>
      </c>
      <c r="G124" s="5">
        <v>0.72916666666666663</v>
      </c>
      <c r="H124" s="5">
        <v>0.78662367724867721</v>
      </c>
    </row>
    <row r="125" spans="1:8">
      <c r="A125" s="4" t="s">
        <v>121</v>
      </c>
      <c r="B125" s="4">
        <v>211974998</v>
      </c>
      <c r="C125" s="4">
        <v>48</v>
      </c>
      <c r="D125" s="4" t="s">
        <v>20</v>
      </c>
      <c r="E125" s="6" t="s">
        <v>65</v>
      </c>
      <c r="F125" s="1">
        <v>1.2625482625482627</v>
      </c>
      <c r="G125" s="5">
        <v>0.78662367724867721</v>
      </c>
      <c r="H125" s="5">
        <v>0.8392298548548548</v>
      </c>
    </row>
    <row r="126" spans="1:8">
      <c r="A126" s="4" t="s">
        <v>24</v>
      </c>
      <c r="B126" s="4">
        <v>211974996</v>
      </c>
      <c r="C126" s="4">
        <v>60</v>
      </c>
      <c r="D126" s="4" t="s">
        <v>20</v>
      </c>
      <c r="E126" s="6" t="s">
        <v>65</v>
      </c>
      <c r="F126" s="1">
        <v>0.55697278911564618</v>
      </c>
      <c r="G126" s="5">
        <v>0.8392298548548548</v>
      </c>
      <c r="H126" s="5">
        <v>0.86243705440134</v>
      </c>
    </row>
    <row r="127" spans="1:8">
      <c r="A127" s="4" t="s">
        <v>111</v>
      </c>
      <c r="B127" s="4">
        <v>211974997</v>
      </c>
      <c r="C127" s="4">
        <v>60</v>
      </c>
      <c r="D127" s="4" t="s">
        <v>20</v>
      </c>
      <c r="E127" s="6">
        <v>0.75272817460317454</v>
      </c>
      <c r="F127" s="1">
        <v>0.68824404761904767</v>
      </c>
      <c r="G127" s="5">
        <v>0.86243705440134</v>
      </c>
      <c r="H127" s="5">
        <v>0.89111388971880034</v>
      </c>
    </row>
    <row r="128" spans="1:8">
      <c r="A128" s="4" t="s">
        <v>18</v>
      </c>
      <c r="B128" s="4">
        <v>211968054</v>
      </c>
      <c r="C128" s="4">
        <v>288</v>
      </c>
      <c r="D128" s="4" t="s">
        <v>14</v>
      </c>
      <c r="E128" s="6">
        <v>0.8539186507936507</v>
      </c>
      <c r="F128" s="1">
        <v>1.9523809523809526</v>
      </c>
      <c r="G128" s="5">
        <v>0.89111388971880034</v>
      </c>
      <c r="H128" s="5">
        <v>0.97246309606800674</v>
      </c>
    </row>
    <row r="129" spans="1:8">
      <c r="A129" s="4" t="s">
        <v>21</v>
      </c>
      <c r="B129" s="4">
        <v>211974048</v>
      </c>
      <c r="C129" s="4">
        <v>48</v>
      </c>
      <c r="D129" s="4" t="s">
        <v>14</v>
      </c>
      <c r="E129" s="6">
        <v>0.8853436571968516</v>
      </c>
      <c r="F129" s="1">
        <v>0.84665545241210305</v>
      </c>
      <c r="G129" s="5">
        <v>0.97246309606800674</v>
      </c>
      <c r="H129" s="5">
        <v>1.0077404065851776</v>
      </c>
    </row>
    <row r="130" spans="1:8">
      <c r="A130" s="4" t="s">
        <v>116</v>
      </c>
      <c r="B130" s="4">
        <v>211975007</v>
      </c>
      <c r="C130" s="4">
        <v>24</v>
      </c>
      <c r="D130" s="4" t="s">
        <v>20</v>
      </c>
      <c r="E130" s="6">
        <v>0.9210579429111373</v>
      </c>
      <c r="F130" s="1">
        <v>1.0952380952380953</v>
      </c>
      <c r="G130" s="5">
        <v>1.0077404065851776</v>
      </c>
      <c r="H130" s="5">
        <v>1.0533753272200983</v>
      </c>
    </row>
    <row r="131" spans="1:8">
      <c r="A131" s="4" t="s">
        <v>116</v>
      </c>
      <c r="B131" s="4">
        <v>211975007</v>
      </c>
      <c r="C131" s="4">
        <v>24</v>
      </c>
      <c r="D131" s="4" t="s">
        <v>20</v>
      </c>
      <c r="E131" s="6">
        <v>0.9210579429111373</v>
      </c>
      <c r="F131" s="1">
        <v>1.0952380952380953</v>
      </c>
      <c r="G131" s="5">
        <v>1.0533753272200983</v>
      </c>
      <c r="H131" s="5">
        <v>1.099010247855019</v>
      </c>
    </row>
    <row r="132" spans="1:8">
      <c r="A132" s="4" t="s">
        <v>117</v>
      </c>
      <c r="B132" s="4">
        <v>211975015</v>
      </c>
      <c r="C132" s="4">
        <v>96</v>
      </c>
      <c r="D132" s="4" t="s">
        <v>20</v>
      </c>
      <c r="E132" s="6">
        <v>1.1195684362005942</v>
      </c>
      <c r="F132" s="1">
        <v>2</v>
      </c>
      <c r="G132" s="5">
        <v>1.1195684362005942</v>
      </c>
      <c r="H132" s="5">
        <v>1.2029017695339275</v>
      </c>
    </row>
    <row r="133" spans="1:8">
      <c r="A133" s="4" t="s">
        <v>72</v>
      </c>
      <c r="B133" s="4">
        <v>211974995</v>
      </c>
      <c r="C133" s="4">
        <v>60</v>
      </c>
      <c r="D133" s="4" t="s">
        <v>10</v>
      </c>
      <c r="E133" s="6">
        <v>8.9474768523359671E-2</v>
      </c>
      <c r="F133" s="1">
        <v>1.1620117710005353</v>
      </c>
      <c r="G133" s="5">
        <v>1.2029017695339275</v>
      </c>
      <c r="H133" s="5">
        <v>1.2513189266589497</v>
      </c>
    </row>
    <row r="134" spans="1:8">
      <c r="A134" s="4" t="s">
        <v>47</v>
      </c>
      <c r="B134" s="4">
        <v>211974999</v>
      </c>
      <c r="C134" s="4">
        <v>24</v>
      </c>
      <c r="D134" s="4" t="s">
        <v>10</v>
      </c>
      <c r="E134" s="6">
        <v>0.25320162036950933</v>
      </c>
      <c r="F134" s="1">
        <v>2</v>
      </c>
      <c r="G134" s="5">
        <v>1.2513189266589497</v>
      </c>
      <c r="H134" s="5">
        <v>1.334652259992283</v>
      </c>
    </row>
    <row r="135" spans="1:8" s="14" customFormat="1" ht="9.75" customHeight="1">
      <c r="A135" s="9"/>
      <c r="B135" s="9"/>
      <c r="C135" s="9"/>
      <c r="D135" s="9"/>
      <c r="E135" s="12"/>
      <c r="F135" s="10"/>
      <c r="G135" s="11"/>
      <c r="H135" s="11"/>
    </row>
    <row r="136" spans="1:8">
      <c r="A136" s="4" t="s">
        <v>72</v>
      </c>
      <c r="B136" s="4">
        <v>211975530</v>
      </c>
      <c r="C136" s="4">
        <v>60</v>
      </c>
      <c r="D136" s="4" t="s">
        <v>10</v>
      </c>
      <c r="E136" s="6" t="s">
        <v>65</v>
      </c>
      <c r="F136" s="1">
        <v>1.1620117710005353</v>
      </c>
      <c r="G136" s="5">
        <v>0.72916666666666663</v>
      </c>
      <c r="H136" s="5">
        <v>0.77758382379168889</v>
      </c>
    </row>
    <row r="137" spans="1:8">
      <c r="A137" s="4" t="s">
        <v>127</v>
      </c>
      <c r="B137" s="4">
        <v>211975539</v>
      </c>
      <c r="C137" s="4">
        <v>192</v>
      </c>
      <c r="D137" s="4" t="s">
        <v>20</v>
      </c>
      <c r="E137" s="6" t="s">
        <v>65</v>
      </c>
      <c r="F137" s="1">
        <v>4.7523809523809533</v>
      </c>
      <c r="G137" s="5">
        <v>0.77758382379168889</v>
      </c>
      <c r="H137" s="5">
        <v>0.97559969680756198</v>
      </c>
    </row>
    <row r="138" spans="1:8">
      <c r="A138" s="4" t="s">
        <v>18</v>
      </c>
      <c r="B138" s="4">
        <v>211968055</v>
      </c>
      <c r="C138" s="4">
        <v>288</v>
      </c>
      <c r="D138" s="4" t="s">
        <v>14</v>
      </c>
      <c r="E138" s="6" t="s">
        <v>65</v>
      </c>
      <c r="F138" s="1">
        <v>1.9523809523809526</v>
      </c>
      <c r="G138" s="5">
        <v>0.97559969680756198</v>
      </c>
      <c r="H138" s="5">
        <v>1.0569489031567683</v>
      </c>
    </row>
    <row r="139" spans="1:8">
      <c r="A139" s="4" t="s">
        <v>105</v>
      </c>
      <c r="B139" s="4">
        <v>211975534</v>
      </c>
      <c r="C139" s="4">
        <v>48</v>
      </c>
      <c r="D139" s="4" t="s">
        <v>20</v>
      </c>
      <c r="E139" s="6">
        <v>0.76306332556332557</v>
      </c>
      <c r="F139" s="1">
        <v>0.34998334998335007</v>
      </c>
      <c r="G139" s="5">
        <v>1.0569489031567683</v>
      </c>
      <c r="H139" s="5">
        <v>1.0715315427394079</v>
      </c>
    </row>
    <row r="140" spans="1:8">
      <c r="A140" s="4" t="s">
        <v>35</v>
      </c>
      <c r="B140" s="4">
        <v>211975561</v>
      </c>
      <c r="C140" s="4">
        <v>48</v>
      </c>
      <c r="D140" s="4" t="s">
        <v>14</v>
      </c>
      <c r="E140" s="6">
        <v>0.79134605969030969</v>
      </c>
      <c r="F140" s="1">
        <v>0.66262704761904767</v>
      </c>
      <c r="G140" s="5">
        <v>1.0715315427394079</v>
      </c>
      <c r="H140" s="5">
        <v>1.0991410030568682</v>
      </c>
    </row>
    <row r="141" spans="1:8">
      <c r="A141" s="4" t="s">
        <v>116</v>
      </c>
      <c r="B141" s="4">
        <v>211975007</v>
      </c>
      <c r="C141" s="4">
        <v>24</v>
      </c>
      <c r="D141" s="4" t="s">
        <v>20</v>
      </c>
      <c r="E141" s="6">
        <v>1.061188754136549</v>
      </c>
      <c r="F141" s="1">
        <v>1.0952380952380953</v>
      </c>
      <c r="G141" s="5">
        <v>1.0991410030568682</v>
      </c>
      <c r="H141" s="5">
        <v>1.1447759236917889</v>
      </c>
    </row>
    <row r="142" spans="1:8">
      <c r="A142" s="4" t="s">
        <v>120</v>
      </c>
      <c r="B142" s="4">
        <v>211968080</v>
      </c>
      <c r="C142" s="4">
        <v>48</v>
      </c>
      <c r="D142" s="4" t="s">
        <v>20</v>
      </c>
      <c r="E142" s="6">
        <v>1.1121302418427426</v>
      </c>
      <c r="F142" s="1">
        <v>1.2913165266106443</v>
      </c>
      <c r="G142" s="5">
        <v>1.1447759236917889</v>
      </c>
      <c r="H142" s="5">
        <v>1.1985807789672325</v>
      </c>
    </row>
    <row r="143" spans="1:8">
      <c r="A143" s="4" t="s">
        <v>117</v>
      </c>
      <c r="B143" s="4">
        <v>211975015</v>
      </c>
      <c r="C143" s="4">
        <v>96</v>
      </c>
      <c r="D143" s="4" t="s">
        <v>20</v>
      </c>
      <c r="E143" s="6">
        <v>1.1537969085094093</v>
      </c>
      <c r="F143" s="15">
        <v>1</v>
      </c>
      <c r="G143" s="5">
        <v>1.1985807789672325</v>
      </c>
      <c r="H143" s="5">
        <v>1.2402474456338992</v>
      </c>
    </row>
    <row r="144" spans="1:8" s="14" customFormat="1" ht="9.75" customHeight="1">
      <c r="A144" s="9"/>
      <c r="B144" s="9"/>
      <c r="C144" s="9"/>
      <c r="D144" s="9"/>
      <c r="E144" s="12"/>
      <c r="F144" s="10"/>
      <c r="G144" s="11"/>
      <c r="H144" s="11"/>
    </row>
    <row r="145" spans="1:8">
      <c r="A145" s="4" t="s">
        <v>18</v>
      </c>
      <c r="B145" s="4">
        <v>211973422</v>
      </c>
      <c r="C145" s="4">
        <v>288</v>
      </c>
      <c r="D145" s="4" t="s">
        <v>14</v>
      </c>
      <c r="E145" s="6" t="s">
        <v>65</v>
      </c>
      <c r="F145" s="1">
        <v>1.9523809523809526</v>
      </c>
      <c r="G145" s="5">
        <v>0.72916666666666663</v>
      </c>
      <c r="H145" s="5">
        <v>0.81051587301587302</v>
      </c>
    </row>
    <row r="146" spans="1:8">
      <c r="A146" s="4" t="s">
        <v>59</v>
      </c>
      <c r="B146" s="4">
        <v>211975532</v>
      </c>
      <c r="C146" s="4">
        <v>62</v>
      </c>
      <c r="D146" s="4" t="s">
        <v>20</v>
      </c>
      <c r="E146" s="6">
        <v>0.84057539682539684</v>
      </c>
      <c r="F146" s="1">
        <v>4.5436507936507935</v>
      </c>
      <c r="G146" s="5">
        <v>0.84057539682539684</v>
      </c>
      <c r="H146" s="5">
        <v>1.0298941798941799</v>
      </c>
    </row>
    <row r="147" spans="1:8">
      <c r="A147" s="4" t="s">
        <v>33</v>
      </c>
      <c r="B147" s="4">
        <v>211976034</v>
      </c>
      <c r="C147" s="4">
        <v>24</v>
      </c>
      <c r="D147" s="4" t="s">
        <v>20</v>
      </c>
      <c r="E147" s="6">
        <v>0.85550595238095239</v>
      </c>
      <c r="F147" s="1">
        <v>0.43571428571428572</v>
      </c>
      <c r="G147" s="5">
        <v>1.0298941798941799</v>
      </c>
      <c r="H147" s="5">
        <v>1.0480489417989418</v>
      </c>
    </row>
    <row r="148" spans="1:8">
      <c r="A148" s="4" t="s">
        <v>21</v>
      </c>
      <c r="B148" s="4">
        <v>211974054</v>
      </c>
      <c r="C148" s="4">
        <v>48</v>
      </c>
      <c r="D148" s="4" t="s">
        <v>14</v>
      </c>
      <c r="E148" s="6">
        <v>0.88693095878415329</v>
      </c>
      <c r="F148" s="1">
        <v>0.84665545241210305</v>
      </c>
      <c r="G148" s="5">
        <v>1.0480489417989418</v>
      </c>
      <c r="H148" s="5">
        <v>1.0833262523161127</v>
      </c>
    </row>
    <row r="149" spans="1:8">
      <c r="A149" s="4" t="s">
        <v>66</v>
      </c>
      <c r="B149" s="4">
        <v>211976033</v>
      </c>
      <c r="C149" s="4">
        <v>48</v>
      </c>
      <c r="D149" s="4" t="s">
        <v>20</v>
      </c>
      <c r="E149" s="6">
        <v>0.96018649862385153</v>
      </c>
      <c r="F149" s="1">
        <v>1.033946251768034</v>
      </c>
      <c r="G149" s="5">
        <v>1.0833262523161127</v>
      </c>
      <c r="H149" s="5">
        <v>1.1264073461397808</v>
      </c>
    </row>
    <row r="150" spans="1:8">
      <c r="A150" s="4" t="s">
        <v>60</v>
      </c>
      <c r="B150" s="4">
        <v>211976035</v>
      </c>
      <c r="C150" s="4">
        <v>60</v>
      </c>
      <c r="D150" s="4" t="s">
        <v>20</v>
      </c>
      <c r="E150" s="6">
        <v>1.0422939770318815</v>
      </c>
      <c r="F150" s="1">
        <v>1.1607142857142858</v>
      </c>
      <c r="G150" s="5">
        <v>1.1264073461397808</v>
      </c>
      <c r="H150" s="5">
        <v>1.1747704413778761</v>
      </c>
    </row>
    <row r="151" spans="1:8">
      <c r="A151" s="4" t="s">
        <v>105</v>
      </c>
      <c r="B151" s="4">
        <v>211976037</v>
      </c>
      <c r="C151" s="4">
        <v>48</v>
      </c>
      <c r="D151" s="4" t="s">
        <v>20</v>
      </c>
      <c r="E151" s="6">
        <v>1.0761906359285405</v>
      </c>
      <c r="F151" s="1">
        <v>0.34998334998335007</v>
      </c>
      <c r="G151" s="5">
        <v>1.1747704413778761</v>
      </c>
      <c r="H151" s="5">
        <v>1.1893530809605157</v>
      </c>
    </row>
    <row r="152" spans="1:8">
      <c r="A152" s="4" t="s">
        <v>98</v>
      </c>
      <c r="B152" s="4">
        <v>211976039</v>
      </c>
      <c r="C152" s="4">
        <v>96</v>
      </c>
      <c r="D152" s="4" t="s">
        <v>20</v>
      </c>
      <c r="E152" s="6">
        <v>1.0897488369867416</v>
      </c>
      <c r="F152" s="1">
        <v>0.49867724867724872</v>
      </c>
      <c r="G152" s="5">
        <v>1.1893530809605157</v>
      </c>
      <c r="H152" s="5">
        <v>1.210131299655401</v>
      </c>
    </row>
    <row r="153" spans="1:8">
      <c r="A153" s="4" t="s">
        <v>136</v>
      </c>
      <c r="B153" s="4">
        <v>211976046</v>
      </c>
      <c r="C153" s="4">
        <v>150</v>
      </c>
      <c r="D153" s="4" t="s">
        <v>20</v>
      </c>
      <c r="E153" s="6">
        <v>1.118548292092167</v>
      </c>
      <c r="F153" s="1">
        <v>0.52327647476901196</v>
      </c>
      <c r="G153" s="5">
        <v>1.210131299655401</v>
      </c>
      <c r="H153" s="5">
        <v>1.2319344861041099</v>
      </c>
    </row>
    <row r="154" spans="1:8" s="14" customFormat="1" ht="9.75" customHeight="1">
      <c r="A154" s="9"/>
      <c r="B154" s="9"/>
      <c r="C154" s="9"/>
      <c r="D154" s="9"/>
      <c r="E154" s="12"/>
      <c r="F154" s="10"/>
      <c r="G154" s="11"/>
      <c r="H154" s="11"/>
    </row>
    <row r="155" spans="1:8">
      <c r="A155" s="4" t="s">
        <v>105</v>
      </c>
      <c r="B155" s="4">
        <v>211976037</v>
      </c>
      <c r="C155" s="4">
        <v>48</v>
      </c>
      <c r="D155" s="4" t="s">
        <v>20</v>
      </c>
      <c r="E155" s="6" t="s">
        <v>65</v>
      </c>
      <c r="F155" s="1">
        <v>0.34998334998335007</v>
      </c>
      <c r="G155" s="5">
        <v>0.72916666666666663</v>
      </c>
      <c r="H155" s="5">
        <v>0.74374930624930624</v>
      </c>
    </row>
    <row r="156" spans="1:8">
      <c r="A156" s="4" t="s">
        <v>136</v>
      </c>
      <c r="B156" s="4">
        <v>211976046</v>
      </c>
      <c r="C156" s="4">
        <v>150</v>
      </c>
      <c r="D156" s="4" t="s">
        <v>20</v>
      </c>
      <c r="E156" s="6" t="s">
        <v>65</v>
      </c>
      <c r="F156" s="1">
        <v>0.52327647476901196</v>
      </c>
      <c r="G156" s="5">
        <v>0.74374930624930624</v>
      </c>
      <c r="H156" s="5">
        <v>0.76555249269801506</v>
      </c>
    </row>
    <row r="157" spans="1:8">
      <c r="A157" s="4" t="s">
        <v>72</v>
      </c>
      <c r="B157" s="4">
        <v>211976585</v>
      </c>
      <c r="C157" s="4">
        <v>60</v>
      </c>
      <c r="D157" s="4" t="s">
        <v>10</v>
      </c>
      <c r="E157" s="6">
        <v>0.77821250222935612</v>
      </c>
      <c r="F157" s="1">
        <v>1.1620117710005353</v>
      </c>
      <c r="G157" s="5">
        <v>0.76555249269801506</v>
      </c>
      <c r="H157" s="5">
        <v>0.81396964982303732</v>
      </c>
    </row>
    <row r="158" spans="1:8">
      <c r="A158" s="4" t="s">
        <v>18</v>
      </c>
      <c r="B158" s="4">
        <v>211973423</v>
      </c>
      <c r="C158" s="4">
        <v>288</v>
      </c>
      <c r="D158" s="4" t="s">
        <v>14</v>
      </c>
      <c r="E158" s="6">
        <v>0.87940297841983228</v>
      </c>
      <c r="F158" s="1">
        <v>1.9523809523809526</v>
      </c>
      <c r="G158" s="5">
        <v>0.81396964982303732</v>
      </c>
      <c r="H158" s="5">
        <v>0.89531885617224372</v>
      </c>
    </row>
    <row r="159" spans="1:8">
      <c r="A159" s="4" t="s">
        <v>21</v>
      </c>
      <c r="B159" s="4">
        <v>211974055</v>
      </c>
      <c r="C159" s="4">
        <v>48</v>
      </c>
      <c r="D159" s="4" t="s">
        <v>14</v>
      </c>
      <c r="E159" s="6">
        <v>0.91082798482303318</v>
      </c>
      <c r="F159" s="1">
        <v>0.84665545241210305</v>
      </c>
      <c r="G159" s="5">
        <v>0.89531885617224372</v>
      </c>
      <c r="H159" s="5">
        <v>0.93059616668941469</v>
      </c>
    </row>
    <row r="160" spans="1:8">
      <c r="A160" s="4" t="s">
        <v>73</v>
      </c>
      <c r="B160" s="4">
        <v>211976588</v>
      </c>
      <c r="C160" s="4">
        <v>48</v>
      </c>
      <c r="D160" s="4" t="s">
        <v>20</v>
      </c>
      <c r="E160" s="6">
        <v>1.1577812854494838</v>
      </c>
      <c r="F160" s="1">
        <v>1.275689223057644</v>
      </c>
      <c r="G160" s="5">
        <v>1.1577812854494838</v>
      </c>
      <c r="H160" s="5">
        <v>1.2109350030768855</v>
      </c>
    </row>
    <row r="161" spans="1:8">
      <c r="A161" s="4" t="s">
        <v>18</v>
      </c>
      <c r="B161" s="4">
        <v>211973423</v>
      </c>
      <c r="C161" s="4">
        <v>288</v>
      </c>
      <c r="D161" s="4" t="s">
        <v>14</v>
      </c>
      <c r="E161" s="6">
        <v>1.2589717616399598</v>
      </c>
      <c r="F161" s="1">
        <v>1.9523809523809526</v>
      </c>
      <c r="G161" s="5">
        <v>1.2589717616399598</v>
      </c>
      <c r="H161" s="5">
        <v>1.3403209679891661</v>
      </c>
    </row>
    <row r="162" spans="1:8">
      <c r="A162" s="4" t="s">
        <v>21</v>
      </c>
      <c r="B162" s="4">
        <v>211974055</v>
      </c>
      <c r="C162" s="4">
        <v>48</v>
      </c>
      <c r="D162" s="4" t="s">
        <v>14</v>
      </c>
      <c r="E162" s="6">
        <v>1.2903967680431607</v>
      </c>
      <c r="F162" s="1">
        <v>0.84665545241210305</v>
      </c>
      <c r="G162" s="5">
        <v>1.3403209679891661</v>
      </c>
      <c r="H162" s="5">
        <v>1.375598278506337</v>
      </c>
    </row>
    <row r="163" spans="1:8">
      <c r="A163" s="4" t="s">
        <v>35</v>
      </c>
      <c r="B163" s="4">
        <v>211976602</v>
      </c>
      <c r="C163" s="4">
        <v>48</v>
      </c>
      <c r="D163" s="4" t="s">
        <v>14</v>
      </c>
      <c r="E163" s="6">
        <v>1.4130267648847545</v>
      </c>
      <c r="F163" s="1">
        <v>0.66262704761904767</v>
      </c>
      <c r="G163" s="5">
        <v>1.4130267648847545</v>
      </c>
      <c r="H163" s="5">
        <v>1.4406362252022149</v>
      </c>
    </row>
    <row r="164" spans="1:8" s="14" customFormat="1" ht="9.75" customHeight="1">
      <c r="A164" s="9"/>
      <c r="B164" s="9"/>
      <c r="C164" s="9"/>
      <c r="D164" s="9"/>
      <c r="E164" s="12"/>
      <c r="F164" s="10"/>
      <c r="G164" s="11"/>
      <c r="H164" s="11"/>
    </row>
    <row r="165" spans="1:8">
      <c r="A165" s="4" t="s">
        <v>44</v>
      </c>
      <c r="B165" s="4" t="s">
        <v>157</v>
      </c>
      <c r="C165" s="4">
        <v>60</v>
      </c>
      <c r="D165" s="4" t="s">
        <v>10</v>
      </c>
      <c r="E165" s="6">
        <v>0.80535880248349978</v>
      </c>
      <c r="F165" s="1">
        <v>2.2697923545381169</v>
      </c>
      <c r="G165" s="5">
        <v>0.80535880248349978</v>
      </c>
      <c r="H165" s="5">
        <v>0.89993348392258798</v>
      </c>
    </row>
    <row r="166" spans="1:8">
      <c r="A166" s="4" t="s">
        <v>18</v>
      </c>
      <c r="B166" s="4" t="s">
        <v>160</v>
      </c>
      <c r="C166" s="4">
        <v>288</v>
      </c>
      <c r="D166" s="4" t="s">
        <v>14</v>
      </c>
      <c r="E166" s="6">
        <v>0.90654927867397594</v>
      </c>
      <c r="F166" s="1">
        <v>1.9523809523809526</v>
      </c>
      <c r="G166" s="5">
        <v>0.90654927867397594</v>
      </c>
      <c r="H166" s="5">
        <v>0.98789848502318234</v>
      </c>
    </row>
    <row r="167" spans="1:8">
      <c r="A167" s="4" t="s">
        <v>64</v>
      </c>
      <c r="B167" s="4" t="s">
        <v>164</v>
      </c>
      <c r="C167" s="4">
        <v>48</v>
      </c>
      <c r="D167" s="4" t="s">
        <v>10</v>
      </c>
      <c r="E167" s="6">
        <v>0.9562726610408947</v>
      </c>
      <c r="F167" s="1">
        <v>0.90150790855264284</v>
      </c>
      <c r="G167" s="5">
        <v>0.98789848502318234</v>
      </c>
      <c r="H167" s="5">
        <v>1.025461314546209</v>
      </c>
    </row>
    <row r="168" spans="1:8">
      <c r="A168" s="4" t="s">
        <v>64</v>
      </c>
      <c r="B168" s="4" t="s">
        <v>164</v>
      </c>
      <c r="C168" s="4">
        <v>48</v>
      </c>
      <c r="D168" s="4" t="s">
        <v>10</v>
      </c>
      <c r="E168" s="6">
        <v>1.0059960434078135</v>
      </c>
      <c r="F168" s="1">
        <v>0.90150790855264284</v>
      </c>
      <c r="G168" s="5">
        <v>1.025461314546209</v>
      </c>
      <c r="H168" s="5">
        <v>1.0630241440692358</v>
      </c>
    </row>
    <row r="169" spans="1:8">
      <c r="A169" s="4" t="s">
        <v>18</v>
      </c>
      <c r="B169" s="4" t="s">
        <v>160</v>
      </c>
      <c r="C169" s="4">
        <v>288</v>
      </c>
      <c r="D169" s="4" t="s">
        <v>14</v>
      </c>
      <c r="E169" s="6">
        <v>1.1071865195982895</v>
      </c>
      <c r="F169" s="1">
        <v>1.9523809523809526</v>
      </c>
      <c r="G169" s="5">
        <v>1.1071865195982895</v>
      </c>
      <c r="H169" s="5">
        <v>1.1885357259474958</v>
      </c>
    </row>
    <row r="170" spans="1:8">
      <c r="A170" s="4" t="s">
        <v>61</v>
      </c>
      <c r="B170" s="4" t="s">
        <v>172</v>
      </c>
      <c r="C170" s="4">
        <v>144</v>
      </c>
      <c r="D170" s="4" t="s">
        <v>14</v>
      </c>
      <c r="E170" s="6">
        <v>1.1859365195982896</v>
      </c>
      <c r="F170" s="1">
        <v>1.26</v>
      </c>
      <c r="G170" s="5">
        <v>1.1885357259474958</v>
      </c>
      <c r="H170" s="5">
        <v>1.2410357259474958</v>
      </c>
    </row>
    <row r="171" spans="1:8" s="14" customFormat="1" ht="9.75" customHeight="1">
      <c r="A171" s="9"/>
      <c r="B171" s="9"/>
      <c r="C171" s="9"/>
      <c r="D171" s="9"/>
      <c r="E171" s="12"/>
      <c r="F171" s="10"/>
      <c r="G171" s="11"/>
      <c r="H171" s="11"/>
    </row>
    <row r="172" spans="1:8">
      <c r="A172" s="4" t="s">
        <v>194</v>
      </c>
      <c r="B172" s="4" t="s">
        <v>195</v>
      </c>
      <c r="C172" s="4">
        <v>48</v>
      </c>
      <c r="D172" s="4" t="s">
        <v>20</v>
      </c>
      <c r="E172" s="18" t="s">
        <v>177</v>
      </c>
      <c r="F172" s="1">
        <v>1.3849344615895141</v>
      </c>
      <c r="G172" s="5">
        <v>0.72916666666666663</v>
      </c>
      <c r="H172" s="5">
        <v>0.78687226923289644</v>
      </c>
    </row>
    <row r="173" spans="1:8">
      <c r="A173" s="4" t="s">
        <v>74</v>
      </c>
      <c r="B173" s="4" t="s">
        <v>196</v>
      </c>
      <c r="C173" s="4">
        <v>60</v>
      </c>
      <c r="D173" s="4" t="s">
        <v>10</v>
      </c>
      <c r="E173" s="18" t="s">
        <v>177</v>
      </c>
      <c r="F173" s="1">
        <v>0.43721877465719833</v>
      </c>
      <c r="G173" s="5">
        <v>0.78687226923289644</v>
      </c>
      <c r="H173" s="5">
        <v>0.80508971817694641</v>
      </c>
    </row>
    <row r="174" spans="1:8">
      <c r="A174" s="4" t="s">
        <v>44</v>
      </c>
      <c r="B174" s="4" t="s">
        <v>180</v>
      </c>
      <c r="C174" s="4">
        <v>60</v>
      </c>
      <c r="D174" s="4" t="s">
        <v>10</v>
      </c>
      <c r="E174" s="6">
        <v>0.80535880248349978</v>
      </c>
      <c r="F174" s="1">
        <v>2.2697923545381169</v>
      </c>
      <c r="G174" s="5">
        <v>0.80535880248349978</v>
      </c>
      <c r="H174" s="5">
        <v>0.89993348392258798</v>
      </c>
    </row>
    <row r="175" spans="1:8">
      <c r="A175" s="4" t="s">
        <v>31</v>
      </c>
      <c r="B175" s="4" t="s">
        <v>182</v>
      </c>
      <c r="C175" s="4">
        <v>240</v>
      </c>
      <c r="D175" s="4" t="s">
        <v>20</v>
      </c>
      <c r="E175" s="6">
        <v>0.86218140887683392</v>
      </c>
      <c r="F175" s="1">
        <v>0.95569053459486664</v>
      </c>
      <c r="G175" s="5">
        <v>0.89993348392258798</v>
      </c>
      <c r="H175" s="5">
        <v>0.9397539228640408</v>
      </c>
    </row>
    <row r="176" spans="1:8">
      <c r="A176" s="4" t="s">
        <v>105</v>
      </c>
      <c r="B176" s="4" t="s">
        <v>183</v>
      </c>
      <c r="C176" s="4">
        <v>48</v>
      </c>
      <c r="D176" s="4" t="s">
        <v>20</v>
      </c>
      <c r="E176" s="6">
        <v>0.89607806777349286</v>
      </c>
      <c r="F176" s="1">
        <v>0.34998334998335007</v>
      </c>
      <c r="G176" s="5">
        <v>0.9397539228640408</v>
      </c>
      <c r="H176" s="5">
        <v>0.95433656244668041</v>
      </c>
    </row>
    <row r="177" spans="1:8">
      <c r="A177" s="4" t="s">
        <v>18</v>
      </c>
      <c r="B177" s="4" t="s">
        <v>186</v>
      </c>
      <c r="C177" s="4">
        <v>288</v>
      </c>
      <c r="D177" s="4" t="s">
        <v>14</v>
      </c>
      <c r="E177" s="6">
        <v>0.99726854396396902</v>
      </c>
      <c r="F177" s="1">
        <v>1.9523809523809526</v>
      </c>
      <c r="G177" s="5">
        <v>0.99726854396396902</v>
      </c>
      <c r="H177" s="5">
        <v>1.0786177503131753</v>
      </c>
    </row>
    <row r="178" spans="1:8">
      <c r="A178" s="4" t="s">
        <v>31</v>
      </c>
      <c r="B178" s="4" t="s">
        <v>182</v>
      </c>
      <c r="C178" s="4">
        <v>240</v>
      </c>
      <c r="D178" s="4" t="s">
        <v>20</v>
      </c>
      <c r="E178" s="6">
        <v>1.0540911503573032</v>
      </c>
      <c r="F178" s="1">
        <v>0.95569053459486664</v>
      </c>
      <c r="G178" s="5">
        <v>1.0786177503131753</v>
      </c>
      <c r="H178" s="5">
        <v>1.118438189254628</v>
      </c>
    </row>
    <row r="179" spans="1:8">
      <c r="A179" s="4" t="s">
        <v>105</v>
      </c>
      <c r="B179" s="4" t="s">
        <v>183</v>
      </c>
      <c r="C179" s="4">
        <v>48</v>
      </c>
      <c r="D179" s="4" t="s">
        <v>20</v>
      </c>
      <c r="E179" s="6">
        <v>1.0879878092539621</v>
      </c>
      <c r="F179" s="1">
        <v>0.34998334998335007</v>
      </c>
      <c r="G179" s="5">
        <v>1.118438189254628</v>
      </c>
      <c r="H179" s="5">
        <v>1.1330208288372676</v>
      </c>
    </row>
    <row r="180" spans="1:8">
      <c r="A180" s="4" t="s">
        <v>21</v>
      </c>
      <c r="B180" s="4" t="s">
        <v>188</v>
      </c>
      <c r="C180" s="4">
        <v>48</v>
      </c>
      <c r="D180" s="4" t="s">
        <v>14</v>
      </c>
      <c r="E180" s="6">
        <v>1.119412815657163</v>
      </c>
      <c r="F180" s="1">
        <v>0.84665545241210305</v>
      </c>
      <c r="G180" s="5">
        <v>1.1330208288372676</v>
      </c>
      <c r="H180" s="5">
        <v>1.1682981393544385</v>
      </c>
    </row>
    <row r="181" spans="1:8">
      <c r="A181" s="4" t="s">
        <v>21</v>
      </c>
      <c r="B181" s="4" t="s">
        <v>190</v>
      </c>
      <c r="C181" s="4">
        <v>48</v>
      </c>
      <c r="D181" s="4" t="s">
        <v>14</v>
      </c>
      <c r="E181" s="6">
        <v>1.1508378220603639</v>
      </c>
      <c r="F181" s="1">
        <v>0.84665545241210305</v>
      </c>
      <c r="G181" s="5">
        <v>1.1682981393544385</v>
      </c>
      <c r="H181" s="5">
        <v>1.2035754498716094</v>
      </c>
    </row>
    <row r="182" spans="1:8">
      <c r="A182" s="4" t="s">
        <v>72</v>
      </c>
      <c r="B182" s="4" t="s">
        <v>191</v>
      </c>
      <c r="C182" s="4">
        <v>60</v>
      </c>
      <c r="D182" s="5" t="s">
        <v>10</v>
      </c>
      <c r="E182" s="6">
        <v>1.1998836576230534</v>
      </c>
      <c r="F182" s="1">
        <v>1.1620117710005353</v>
      </c>
      <c r="G182" s="5">
        <v>1.2035754498716094</v>
      </c>
      <c r="H182" s="5">
        <v>1.2519926069966316</v>
      </c>
    </row>
    <row r="183" spans="1:8">
      <c r="A183" s="4" t="s">
        <v>41</v>
      </c>
      <c r="B183" s="4" t="s">
        <v>192</v>
      </c>
      <c r="C183" s="4">
        <v>240</v>
      </c>
      <c r="D183" s="4" t="s">
        <v>20</v>
      </c>
      <c r="E183" s="6">
        <v>1.2175556152950111</v>
      </c>
      <c r="F183" s="1">
        <v>0.2904761904761905</v>
      </c>
      <c r="G183" s="5">
        <v>1.2519926069966316</v>
      </c>
      <c r="H183" s="5">
        <v>1.2640957815998062</v>
      </c>
    </row>
    <row r="184" spans="1:8">
      <c r="A184" s="4" t="s">
        <v>35</v>
      </c>
      <c r="B184" s="4" t="s">
        <v>193</v>
      </c>
      <c r="C184" s="4">
        <v>48</v>
      </c>
      <c r="D184" s="4" t="s">
        <v>14</v>
      </c>
      <c r="E184" s="6">
        <v>1.2458383494219953</v>
      </c>
      <c r="F184" s="1">
        <v>0.66262704761904767</v>
      </c>
      <c r="G184" s="5">
        <v>1.2640957815998062</v>
      </c>
      <c r="H184" s="5">
        <v>1.2917052419172665</v>
      </c>
    </row>
    <row r="185" spans="1:8" s="14" customFormat="1" ht="9.75" customHeight="1">
      <c r="A185" s="9"/>
      <c r="B185" s="9"/>
      <c r="C185" s="9"/>
      <c r="D185" s="9"/>
      <c r="E185" s="12"/>
      <c r="F185" s="10"/>
      <c r="G185" s="11"/>
      <c r="H185" s="11"/>
    </row>
    <row r="186" spans="1:8">
      <c r="A186" s="4" t="s">
        <v>105</v>
      </c>
      <c r="B186" s="4" t="s">
        <v>183</v>
      </c>
      <c r="C186" s="4">
        <v>48</v>
      </c>
      <c r="D186" s="4" t="s">
        <v>20</v>
      </c>
      <c r="E186" s="18" t="s">
        <v>65</v>
      </c>
      <c r="F186" s="1">
        <v>0.34998334998335007</v>
      </c>
      <c r="G186" s="5">
        <v>0.72916666666666663</v>
      </c>
      <c r="H186" s="5">
        <v>0.74374930624930624</v>
      </c>
    </row>
    <row r="187" spans="1:8">
      <c r="A187" s="4" t="s">
        <v>41</v>
      </c>
      <c r="B187" s="4" t="s">
        <v>192</v>
      </c>
      <c r="C187" s="4">
        <v>240</v>
      </c>
      <c r="D187" s="4" t="s">
        <v>20</v>
      </c>
      <c r="E187" s="18" t="s">
        <v>65</v>
      </c>
      <c r="F187" s="1">
        <v>0.2904761904761905</v>
      </c>
      <c r="G187" s="5">
        <v>0.74374930624930624</v>
      </c>
      <c r="H187" s="5">
        <v>0.7558524808524808</v>
      </c>
    </row>
    <row r="188" spans="1:8">
      <c r="A188" s="4" t="s">
        <v>35</v>
      </c>
      <c r="B188" s="4" t="s">
        <v>193</v>
      </c>
      <c r="C188" s="4">
        <v>48</v>
      </c>
      <c r="D188" s="4" t="s">
        <v>14</v>
      </c>
      <c r="E188" s="18" t="s">
        <v>65</v>
      </c>
      <c r="F188" s="1">
        <v>0.66262704761904767</v>
      </c>
      <c r="G188" s="5">
        <v>0.7558524808524808</v>
      </c>
      <c r="H188" s="5">
        <v>0.78346194116994117</v>
      </c>
    </row>
    <row r="189" spans="1:8">
      <c r="A189" s="4" t="s">
        <v>44</v>
      </c>
      <c r="B189" s="4" t="s">
        <v>216</v>
      </c>
      <c r="C189" s="4">
        <v>60</v>
      </c>
      <c r="D189" s="4" t="s">
        <v>10</v>
      </c>
      <c r="E189" s="18" t="s">
        <v>65</v>
      </c>
      <c r="F189" s="1">
        <v>2.2697923545381169</v>
      </c>
      <c r="G189" s="5">
        <v>0.78346194116994117</v>
      </c>
      <c r="H189" s="5">
        <v>0.87803662260902937</v>
      </c>
    </row>
    <row r="190" spans="1:8">
      <c r="A190" s="4" t="s">
        <v>21</v>
      </c>
      <c r="B190" s="4" t="s">
        <v>217</v>
      </c>
      <c r="C190" s="4">
        <v>48</v>
      </c>
      <c r="D190" s="4" t="s">
        <v>14</v>
      </c>
      <c r="E190" s="18" t="s">
        <v>65</v>
      </c>
      <c r="F190" s="1">
        <v>0.84665545241210305</v>
      </c>
      <c r="G190" s="5">
        <v>0.87803662260902937</v>
      </c>
      <c r="H190" s="5">
        <v>0.91331393312620035</v>
      </c>
    </row>
    <row r="191" spans="1:8">
      <c r="A191" s="4" t="s">
        <v>214</v>
      </c>
      <c r="B191" s="4" t="s">
        <v>215</v>
      </c>
      <c r="C191" s="4">
        <v>48</v>
      </c>
      <c r="D191" s="4" t="s">
        <v>14</v>
      </c>
      <c r="E191" s="6">
        <v>0.77083333333333326</v>
      </c>
      <c r="F191" s="1">
        <v>1</v>
      </c>
      <c r="G191" s="5">
        <v>0.91331393312620035</v>
      </c>
      <c r="H191" s="5">
        <v>0.95498059979286698</v>
      </c>
    </row>
    <row r="192" spans="1:8">
      <c r="A192" s="4" t="s">
        <v>18</v>
      </c>
      <c r="B192" s="4" t="s">
        <v>199</v>
      </c>
      <c r="C192" s="4">
        <v>288</v>
      </c>
      <c r="D192" s="4" t="s">
        <v>14</v>
      </c>
      <c r="E192" s="6">
        <v>0.87202380952380942</v>
      </c>
      <c r="F192" s="1">
        <v>1.9523809523809526</v>
      </c>
      <c r="G192" s="5">
        <v>0.95498059979286698</v>
      </c>
      <c r="H192" s="5">
        <v>1.0363298061420734</v>
      </c>
    </row>
    <row r="193" spans="1:8">
      <c r="A193" s="4" t="s">
        <v>64</v>
      </c>
      <c r="B193" s="4" t="s">
        <v>197</v>
      </c>
      <c r="C193" s="4">
        <v>48</v>
      </c>
      <c r="D193" s="4" t="s">
        <v>10</v>
      </c>
      <c r="E193" s="6">
        <v>0.7788900490335855</v>
      </c>
      <c r="F193" s="1">
        <v>0.90150790855264284</v>
      </c>
      <c r="G193" s="5">
        <v>1.0363298061420734</v>
      </c>
      <c r="H193" s="5">
        <v>1.0738926356651002</v>
      </c>
    </row>
    <row r="194" spans="1:8">
      <c r="A194" s="4" t="s">
        <v>31</v>
      </c>
      <c r="B194" s="4" t="s">
        <v>198</v>
      </c>
      <c r="C194" s="4">
        <v>240</v>
      </c>
      <c r="D194" s="4" t="s">
        <v>20</v>
      </c>
      <c r="E194" s="6">
        <v>0.83571265542691964</v>
      </c>
      <c r="F194" s="1">
        <v>0.95569053459486664</v>
      </c>
      <c r="G194" s="5">
        <v>1.0738926356651002</v>
      </c>
      <c r="H194" s="5">
        <v>1.1137130746065529</v>
      </c>
    </row>
    <row r="195" spans="1:8">
      <c r="A195" s="4" t="s">
        <v>200</v>
      </c>
      <c r="B195" s="4" t="s">
        <v>201</v>
      </c>
      <c r="C195" s="4">
        <v>96</v>
      </c>
      <c r="D195" s="4" t="s">
        <v>20</v>
      </c>
      <c r="E195" s="6">
        <v>0.85709713514473274</v>
      </c>
      <c r="F195" s="1">
        <v>0.44444444444444448</v>
      </c>
      <c r="G195" s="5">
        <v>1.1137130746065529</v>
      </c>
      <c r="H195" s="5">
        <v>1.1322315931250715</v>
      </c>
    </row>
    <row r="196" spans="1:8">
      <c r="A196" s="4" t="s">
        <v>204</v>
      </c>
      <c r="B196" s="4" t="s">
        <v>205</v>
      </c>
      <c r="C196" s="4">
        <v>24</v>
      </c>
      <c r="D196" s="4" t="s">
        <v>20</v>
      </c>
      <c r="E196" s="6">
        <v>0.87462359017118774</v>
      </c>
      <c r="F196" s="1">
        <v>1.3929333333333334</v>
      </c>
      <c r="G196" s="5">
        <v>1.1322315931250715</v>
      </c>
      <c r="H196" s="5">
        <v>1.1902704820139605</v>
      </c>
    </row>
    <row r="197" spans="1:8">
      <c r="A197" s="4" t="s">
        <v>71</v>
      </c>
      <c r="B197" s="4" t="s">
        <v>212</v>
      </c>
      <c r="C197" s="4">
        <v>48</v>
      </c>
      <c r="D197" s="4" t="s">
        <v>20</v>
      </c>
      <c r="E197" s="6">
        <v>0.92025851080610832</v>
      </c>
      <c r="F197" s="1">
        <v>0.4844178509099975</v>
      </c>
      <c r="G197" s="5">
        <v>1.1902704820139605</v>
      </c>
      <c r="H197" s="5">
        <v>1.2104545591352103</v>
      </c>
    </row>
    <row r="198" spans="1:8">
      <c r="A198" s="4" t="s">
        <v>79</v>
      </c>
      <c r="B198" s="4" t="s">
        <v>213</v>
      </c>
      <c r="C198" s="4">
        <v>48</v>
      </c>
      <c r="D198" s="4" t="s">
        <v>20</v>
      </c>
      <c r="E198" s="6">
        <v>0.93394071980081728</v>
      </c>
      <c r="F198" s="1">
        <v>1.142857142857143</v>
      </c>
      <c r="G198" s="5">
        <v>1.2104545591352103</v>
      </c>
      <c r="H198" s="5">
        <v>1.2580736067542579</v>
      </c>
    </row>
    <row r="199" spans="1:8" s="14" customFormat="1" ht="9.75" customHeight="1">
      <c r="A199" s="9"/>
      <c r="B199" s="9"/>
      <c r="C199" s="9"/>
      <c r="D199" s="9"/>
      <c r="E199" s="12"/>
      <c r="F199" s="10"/>
      <c r="G199" s="11"/>
      <c r="H199" s="11"/>
    </row>
    <row r="200" spans="1:8">
      <c r="A200" s="4" t="s">
        <v>18</v>
      </c>
      <c r="B200" s="4" t="s">
        <v>199</v>
      </c>
      <c r="C200" s="4">
        <v>288</v>
      </c>
      <c r="D200" s="4" t="s">
        <v>14</v>
      </c>
      <c r="E200" s="21" t="s">
        <v>65</v>
      </c>
      <c r="F200" s="1">
        <v>1.9523809523809526</v>
      </c>
      <c r="G200" s="5">
        <v>0.72916666666666663</v>
      </c>
      <c r="H200" s="5">
        <v>0.81051587301587302</v>
      </c>
    </row>
    <row r="201" spans="1:8">
      <c r="A201" s="4" t="s">
        <v>204</v>
      </c>
      <c r="B201" s="4" t="s">
        <v>205</v>
      </c>
      <c r="C201" s="4">
        <v>24</v>
      </c>
      <c r="D201" s="4" t="s">
        <v>20</v>
      </c>
      <c r="E201" s="21" t="s">
        <v>65</v>
      </c>
      <c r="F201" s="1">
        <v>1.3929333333333334</v>
      </c>
      <c r="G201" s="5">
        <v>0.81051587301587302</v>
      </c>
      <c r="H201" s="5">
        <v>0.86855476190476189</v>
      </c>
    </row>
    <row r="202" spans="1:8">
      <c r="A202" s="4" t="s">
        <v>71</v>
      </c>
      <c r="B202" s="4" t="s">
        <v>212</v>
      </c>
      <c r="C202" s="4">
        <v>48</v>
      </c>
      <c r="D202" s="4" t="s">
        <v>20</v>
      </c>
      <c r="E202" s="21" t="s">
        <v>65</v>
      </c>
      <c r="F202" s="1">
        <v>0.4844178509099975</v>
      </c>
      <c r="G202" s="5">
        <v>0.86855476190476189</v>
      </c>
      <c r="H202" s="5">
        <v>0.88873883902601181</v>
      </c>
    </row>
    <row r="203" spans="1:8">
      <c r="A203" s="4" t="s">
        <v>79</v>
      </c>
      <c r="B203" s="4" t="s">
        <v>213</v>
      </c>
      <c r="C203" s="4">
        <v>48</v>
      </c>
      <c r="D203" s="4" t="s">
        <v>20</v>
      </c>
      <c r="E203" s="21" t="s">
        <v>65</v>
      </c>
      <c r="F203" s="1">
        <v>1.142857142857143</v>
      </c>
      <c r="G203" s="5">
        <v>0.88873883902601181</v>
      </c>
      <c r="H203" s="5">
        <v>0.93635788664505948</v>
      </c>
    </row>
    <row r="204" spans="1:8">
      <c r="A204" s="4" t="s">
        <v>35</v>
      </c>
      <c r="B204" s="4" t="s">
        <v>243</v>
      </c>
      <c r="C204" s="4">
        <v>48</v>
      </c>
      <c r="D204" s="4" t="s">
        <v>14</v>
      </c>
      <c r="E204" s="21" t="s">
        <v>65</v>
      </c>
      <c r="F204" s="1">
        <v>0.66262704761904767</v>
      </c>
      <c r="G204" s="5">
        <v>0.93635788664505948</v>
      </c>
      <c r="H204" s="5">
        <v>0.96396734696251984</v>
      </c>
    </row>
    <row r="205" spans="1:8">
      <c r="A205" s="4" t="s">
        <v>21</v>
      </c>
      <c r="B205" s="4" t="s">
        <v>244</v>
      </c>
      <c r="C205" s="4">
        <v>48</v>
      </c>
      <c r="D205" s="4" t="s">
        <v>14</v>
      </c>
      <c r="E205" s="21" t="s">
        <v>65</v>
      </c>
      <c r="F205" s="1">
        <v>0.84665545241210305</v>
      </c>
      <c r="G205" s="5">
        <v>0.96396734696251984</v>
      </c>
      <c r="H205" s="5">
        <v>0.99924465747969082</v>
      </c>
    </row>
    <row r="206" spans="1:8">
      <c r="A206" s="4" t="s">
        <v>18</v>
      </c>
      <c r="B206" s="4" t="s">
        <v>223</v>
      </c>
      <c r="C206" s="4">
        <v>288</v>
      </c>
      <c r="D206" s="4" t="s">
        <v>14</v>
      </c>
      <c r="E206" s="19">
        <v>0.83035714285714279</v>
      </c>
      <c r="F206" s="1">
        <v>1.9523809523809526</v>
      </c>
      <c r="G206" s="5">
        <v>0.99924465747969082</v>
      </c>
      <c r="H206" s="5">
        <v>1.0805938638288972</v>
      </c>
    </row>
    <row r="207" spans="1:8">
      <c r="A207" s="4" t="s">
        <v>116</v>
      </c>
      <c r="B207" s="4" t="s">
        <v>226</v>
      </c>
      <c r="C207" s="4">
        <v>24</v>
      </c>
      <c r="D207" s="4" t="s">
        <v>20</v>
      </c>
      <c r="E207" s="19">
        <v>0.86607142857142849</v>
      </c>
      <c r="F207" s="1">
        <v>1.0952380952380953</v>
      </c>
      <c r="G207" s="5">
        <v>1.0805938638288972</v>
      </c>
      <c r="H207" s="5">
        <v>1.1262287844638179</v>
      </c>
    </row>
    <row r="208" spans="1:8">
      <c r="A208" s="4" t="s">
        <v>44</v>
      </c>
      <c r="B208" s="4" t="s">
        <v>222</v>
      </c>
      <c r="C208" s="4">
        <v>60</v>
      </c>
      <c r="D208" s="4" t="s">
        <v>10</v>
      </c>
      <c r="E208" s="19">
        <v>0.80535880248349978</v>
      </c>
      <c r="F208" s="1">
        <v>2.2697923545381169</v>
      </c>
      <c r="G208" s="5">
        <v>1.1262287844638179</v>
      </c>
      <c r="H208" s="5">
        <v>1.2208034659029061</v>
      </c>
    </row>
    <row r="209" spans="1:8">
      <c r="A209" s="4" t="s">
        <v>74</v>
      </c>
      <c r="B209" s="4" t="s">
        <v>227</v>
      </c>
      <c r="C209" s="4">
        <v>60</v>
      </c>
      <c r="D209" s="4" t="s">
        <v>10</v>
      </c>
      <c r="E209" s="19">
        <v>0.82211681185234664</v>
      </c>
      <c r="F209" s="1">
        <v>0.43721877465719833</v>
      </c>
      <c r="G209" s="5">
        <v>1.2208034659029061</v>
      </c>
      <c r="H209" s="5">
        <v>1.239020914846956</v>
      </c>
    </row>
    <row r="210" spans="1:8">
      <c r="A210" s="4" t="s">
        <v>72</v>
      </c>
      <c r="B210" s="4" t="s">
        <v>239</v>
      </c>
      <c r="C210" s="4">
        <v>60</v>
      </c>
      <c r="D210" s="5" t="s">
        <v>10</v>
      </c>
      <c r="E210" s="19">
        <v>0.9150007473276911</v>
      </c>
      <c r="F210" s="1">
        <v>1.1620117710005353</v>
      </c>
      <c r="G210" s="5">
        <v>1.239020914846956</v>
      </c>
      <c r="H210" s="5">
        <v>1.2874380719719782</v>
      </c>
    </row>
    <row r="211" spans="1:8" s="14" customFormat="1" ht="9.75" customHeight="1">
      <c r="A211" s="9"/>
      <c r="B211" s="9"/>
      <c r="C211" s="9"/>
      <c r="D211" s="9"/>
      <c r="E211" s="12"/>
      <c r="F211" s="10"/>
      <c r="G211" s="11"/>
      <c r="H211" s="11"/>
    </row>
    <row r="212" spans="1:8">
      <c r="A212" s="4" t="s">
        <v>81</v>
      </c>
      <c r="B212" s="4" t="s">
        <v>247</v>
      </c>
      <c r="C212" s="4">
        <v>48</v>
      </c>
      <c r="D212" s="4" t="s">
        <v>10</v>
      </c>
      <c r="E212" s="19">
        <v>0.74466765873015872</v>
      </c>
      <c r="F212" s="1">
        <v>0.85</v>
      </c>
      <c r="G212" s="5">
        <v>0.72916666666666663</v>
      </c>
      <c r="H212" s="5">
        <v>0.76458333333333328</v>
      </c>
    </row>
    <row r="213" spans="1:8">
      <c r="A213" s="4" t="s">
        <v>21</v>
      </c>
      <c r="B213" s="4" t="s">
        <v>248</v>
      </c>
      <c r="C213" s="4">
        <v>48</v>
      </c>
      <c r="D213" s="4" t="s">
        <v>14</v>
      </c>
      <c r="E213" s="19">
        <v>0.76059167306986752</v>
      </c>
      <c r="F213" s="1">
        <v>0.84665545241210305</v>
      </c>
      <c r="G213" s="5">
        <v>0.76458333333333328</v>
      </c>
      <c r="H213" s="5">
        <v>0.79986064385050426</v>
      </c>
    </row>
    <row r="214" spans="1:8">
      <c r="A214" s="4" t="s">
        <v>37</v>
      </c>
      <c r="B214" s="4" t="s">
        <v>250</v>
      </c>
      <c r="C214" s="4">
        <v>24</v>
      </c>
      <c r="D214" s="4" t="s">
        <v>10</v>
      </c>
      <c r="E214" s="19">
        <v>0.77876411782539678</v>
      </c>
      <c r="F214" s="1">
        <v>0.85</v>
      </c>
      <c r="G214" s="5">
        <v>0.79986064385050426</v>
      </c>
      <c r="H214" s="5">
        <v>0.83527731051717091</v>
      </c>
    </row>
    <row r="215" spans="1:8">
      <c r="A215" s="4" t="s">
        <v>44</v>
      </c>
      <c r="B215" s="4" t="s">
        <v>255</v>
      </c>
      <c r="C215" s="4">
        <v>60</v>
      </c>
      <c r="D215" s="4" t="s">
        <v>10</v>
      </c>
      <c r="E215" s="19">
        <v>0.85495625364222994</v>
      </c>
      <c r="F215" s="1">
        <v>2.2697923545381169</v>
      </c>
      <c r="G215" s="5">
        <v>0.85495625364222994</v>
      </c>
      <c r="H215" s="5">
        <v>0.94953093508131814</v>
      </c>
    </row>
    <row r="216" spans="1:8">
      <c r="A216" s="4" t="s">
        <v>18</v>
      </c>
      <c r="B216" s="4" t="s">
        <v>252</v>
      </c>
      <c r="C216" s="4">
        <v>288</v>
      </c>
      <c r="D216" s="4" t="s">
        <v>14</v>
      </c>
      <c r="E216" s="19">
        <v>0.86178214926034369</v>
      </c>
      <c r="F216" s="1">
        <v>1.9523809523809526</v>
      </c>
      <c r="G216" s="5">
        <v>0.94953093508131814</v>
      </c>
      <c r="H216" s="5">
        <v>1.0308801414305244</v>
      </c>
    </row>
    <row r="217" spans="1:8">
      <c r="A217" s="4" t="s">
        <v>72</v>
      </c>
      <c r="B217" s="4" t="s">
        <v>265</v>
      </c>
      <c r="C217" s="4">
        <v>60</v>
      </c>
      <c r="D217" s="4" t="s">
        <v>10</v>
      </c>
      <c r="E217" s="19">
        <v>0.96025208722079247</v>
      </c>
      <c r="F217" s="1">
        <v>1.1620117710005353</v>
      </c>
      <c r="G217" s="5">
        <v>1.0308801414305244</v>
      </c>
      <c r="H217" s="5">
        <v>1.0792972985555467</v>
      </c>
    </row>
    <row r="218" spans="1:8">
      <c r="A218" s="4" t="s">
        <v>35</v>
      </c>
      <c r="B218" s="4" t="s">
        <v>257</v>
      </c>
      <c r="C218" s="4">
        <v>48</v>
      </c>
      <c r="D218" s="4" t="s">
        <v>14</v>
      </c>
      <c r="E218" s="19">
        <v>0.97310059767304202</v>
      </c>
      <c r="F218" s="1">
        <v>0.66262704761904767</v>
      </c>
      <c r="G218" s="5">
        <v>1.0792972985555467</v>
      </c>
      <c r="H218" s="5">
        <v>1.106906758873007</v>
      </c>
    </row>
    <row r="219" spans="1:8">
      <c r="A219" s="4" t="s">
        <v>120</v>
      </c>
      <c r="B219" s="4" t="s">
        <v>264</v>
      </c>
      <c r="C219" s="4">
        <v>48</v>
      </c>
      <c r="D219" s="4" t="s">
        <v>20</v>
      </c>
      <c r="E219" s="19">
        <v>1.0240420853792356</v>
      </c>
      <c r="F219" s="1">
        <v>1.2913165266106443</v>
      </c>
      <c r="G219" s="5">
        <v>1.106906758873007</v>
      </c>
      <c r="H219" s="5">
        <v>1.1607116141484506</v>
      </c>
    </row>
    <row r="220" spans="1:8">
      <c r="A220" s="4" t="s">
        <v>266</v>
      </c>
      <c r="B220" s="4" t="s">
        <v>267</v>
      </c>
      <c r="C220" s="4">
        <v>100</v>
      </c>
      <c r="D220" s="4" t="s">
        <v>20</v>
      </c>
      <c r="E220" s="19">
        <v>1.0533906303527805</v>
      </c>
      <c r="F220" s="1">
        <v>0.56547619047619047</v>
      </c>
      <c r="G220" s="5">
        <v>1.1607116141484506</v>
      </c>
      <c r="H220" s="5">
        <v>1.1842731220849585</v>
      </c>
    </row>
    <row r="221" spans="1:8" s="14" customFormat="1" ht="9.75" customHeight="1">
      <c r="A221" s="9"/>
      <c r="B221" s="9"/>
      <c r="C221" s="9"/>
      <c r="D221" s="9"/>
      <c r="E221" s="12"/>
      <c r="F221" s="10"/>
      <c r="G221" s="11"/>
      <c r="H221" s="11"/>
    </row>
    <row r="222" spans="1:8">
      <c r="A222" s="4" t="s">
        <v>35</v>
      </c>
      <c r="B222" s="4" t="s">
        <v>257</v>
      </c>
      <c r="C222" s="4">
        <v>48</v>
      </c>
      <c r="D222" s="4" t="s">
        <v>14</v>
      </c>
      <c r="E222" s="21" t="s">
        <v>65</v>
      </c>
      <c r="F222" s="1">
        <v>0.66262704761904767</v>
      </c>
      <c r="G222" s="5">
        <v>0.72916666666666663</v>
      </c>
      <c r="H222" s="5">
        <v>0.756776126984127</v>
      </c>
    </row>
    <row r="223" spans="1:8">
      <c r="A223" s="4" t="s">
        <v>98</v>
      </c>
      <c r="B223" s="4" t="s">
        <v>291</v>
      </c>
      <c r="C223" s="4">
        <v>96</v>
      </c>
      <c r="D223" s="4" t="s">
        <v>20</v>
      </c>
      <c r="E223" s="21" t="s">
        <v>65</v>
      </c>
      <c r="F223" s="1">
        <v>0.49867724867724872</v>
      </c>
      <c r="G223" s="5">
        <v>0.756776126984127</v>
      </c>
      <c r="H223" s="5">
        <v>0.77755434567901238</v>
      </c>
    </row>
    <row r="224" spans="1:8">
      <c r="A224" s="4" t="s">
        <v>74</v>
      </c>
      <c r="B224" s="4" t="s">
        <v>292</v>
      </c>
      <c r="C224" s="4">
        <v>60</v>
      </c>
      <c r="D224" s="4" t="s">
        <v>10</v>
      </c>
      <c r="E224" s="21" t="s">
        <v>65</v>
      </c>
      <c r="F224" s="1">
        <v>0.43721877465719833</v>
      </c>
      <c r="G224" s="5">
        <v>0.77755434567901238</v>
      </c>
      <c r="H224" s="5">
        <v>0.79577179462306236</v>
      </c>
    </row>
    <row r="225" spans="1:8">
      <c r="A225" s="4" t="s">
        <v>120</v>
      </c>
      <c r="B225" s="4" t="s">
        <v>270</v>
      </c>
      <c r="C225" s="4">
        <v>48</v>
      </c>
      <c r="D225" s="4" t="s">
        <v>20</v>
      </c>
      <c r="E225" s="19">
        <v>0.78010815437286019</v>
      </c>
      <c r="F225" s="1">
        <v>1.2913165266106443</v>
      </c>
      <c r="G225" s="5">
        <v>0.79577179462306236</v>
      </c>
      <c r="H225" s="5">
        <v>0.8495766498985059</v>
      </c>
    </row>
    <row r="226" spans="1:8">
      <c r="A226" s="4" t="s">
        <v>41</v>
      </c>
      <c r="B226" s="4" t="s">
        <v>272</v>
      </c>
      <c r="C226" s="4">
        <v>240</v>
      </c>
      <c r="D226" s="4" t="s">
        <v>20</v>
      </c>
      <c r="E226" s="19">
        <v>0.7977801120448178</v>
      </c>
      <c r="F226" s="1">
        <v>0.2904761904761905</v>
      </c>
      <c r="G226" s="5">
        <v>0.8495766498985059</v>
      </c>
      <c r="H226" s="5">
        <v>0.86167982450168046</v>
      </c>
    </row>
    <row r="227" spans="1:8">
      <c r="A227" s="4" t="s">
        <v>44</v>
      </c>
      <c r="B227" s="4" t="s">
        <v>271</v>
      </c>
      <c r="C227" s="4">
        <v>60</v>
      </c>
      <c r="D227" s="4" t="s">
        <v>10</v>
      </c>
      <c r="E227" s="19">
        <v>0.80535880248349978</v>
      </c>
      <c r="F227" s="1">
        <v>2.2697923545381169</v>
      </c>
      <c r="G227" s="5">
        <v>0.86167982450168046</v>
      </c>
      <c r="H227" s="5">
        <v>0.95625450594076866</v>
      </c>
    </row>
    <row r="228" spans="1:8">
      <c r="A228" s="4" t="s">
        <v>64</v>
      </c>
      <c r="B228" s="4" t="s">
        <v>273</v>
      </c>
      <c r="C228" s="4">
        <v>48</v>
      </c>
      <c r="D228" s="4" t="s">
        <v>10</v>
      </c>
      <c r="E228" s="19">
        <v>0.85508218485041865</v>
      </c>
      <c r="F228" s="1">
        <v>0.90150790855264284</v>
      </c>
      <c r="G228" s="5">
        <v>0.95625450594076866</v>
      </c>
      <c r="H228" s="5">
        <v>0.99381733546379547</v>
      </c>
    </row>
    <row r="229" spans="1:8">
      <c r="A229" s="4" t="s">
        <v>18</v>
      </c>
      <c r="B229" s="4" t="s">
        <v>278</v>
      </c>
      <c r="C229" s="4">
        <v>288</v>
      </c>
      <c r="D229" s="4" t="s">
        <v>14</v>
      </c>
      <c r="E229" s="19">
        <v>0.89897058823529397</v>
      </c>
      <c r="F229" s="1">
        <v>1.9523809523809526</v>
      </c>
      <c r="G229" s="5">
        <v>0.99381733546379547</v>
      </c>
      <c r="H229" s="5">
        <v>1.0751665418130019</v>
      </c>
    </row>
    <row r="230" spans="1:8">
      <c r="A230" s="4" t="s">
        <v>72</v>
      </c>
      <c r="B230" s="4" t="s">
        <v>280</v>
      </c>
      <c r="C230" s="4">
        <v>60</v>
      </c>
      <c r="D230" s="4" t="s">
        <v>10</v>
      </c>
      <c r="E230" s="19">
        <v>0.90412802041310814</v>
      </c>
      <c r="F230" s="1">
        <v>1.1620117710005353</v>
      </c>
      <c r="G230" s="5">
        <v>1.0751665418130019</v>
      </c>
      <c r="H230" s="5">
        <v>1.1235836989380241</v>
      </c>
    </row>
    <row r="231" spans="1:8">
      <c r="A231" s="4" t="s">
        <v>33</v>
      </c>
      <c r="B231" s="4" t="s">
        <v>285</v>
      </c>
      <c r="C231" s="4">
        <v>24</v>
      </c>
      <c r="D231" s="4" t="s">
        <v>20</v>
      </c>
      <c r="E231" s="19">
        <v>0.91905857596866369</v>
      </c>
      <c r="F231" s="1">
        <v>0.43571428571428572</v>
      </c>
      <c r="G231" s="5">
        <v>1.1235836989380241</v>
      </c>
      <c r="H231" s="5">
        <v>1.1417384608427861</v>
      </c>
    </row>
    <row r="232" spans="1:8">
      <c r="A232" s="4" t="s">
        <v>21</v>
      </c>
      <c r="B232" s="4" t="s">
        <v>279</v>
      </c>
      <c r="C232" s="4">
        <v>48</v>
      </c>
      <c r="D232" s="5" t="s">
        <v>14</v>
      </c>
      <c r="E232" s="19">
        <v>0.93039559463849486</v>
      </c>
      <c r="F232" s="1">
        <v>0.84665545241210305</v>
      </c>
      <c r="G232" s="5">
        <v>1.1417384608427861</v>
      </c>
      <c r="H232" s="5">
        <v>1.1770157713599569</v>
      </c>
    </row>
    <row r="233" spans="1:8">
      <c r="A233" s="4" t="s">
        <v>37</v>
      </c>
      <c r="B233" s="4" t="s">
        <v>288</v>
      </c>
      <c r="C233" s="4">
        <v>24</v>
      </c>
      <c r="D233" s="4" t="s">
        <v>10</v>
      </c>
      <c r="E233" s="19">
        <v>0.95315503506390176</v>
      </c>
      <c r="F233" s="15">
        <v>0.75</v>
      </c>
      <c r="G233" s="5">
        <v>1.1770157713599569</v>
      </c>
      <c r="H233" s="5">
        <v>1.2082657713599569</v>
      </c>
    </row>
    <row r="234" spans="1:8">
      <c r="A234" s="4" t="s">
        <v>35</v>
      </c>
      <c r="B234" s="4" t="s">
        <v>284</v>
      </c>
      <c r="C234" s="4">
        <v>60</v>
      </c>
      <c r="D234" s="4" t="s">
        <v>14</v>
      </c>
      <c r="E234" s="19">
        <v>0.96326885356706626</v>
      </c>
      <c r="F234" s="1">
        <v>0.76876000000000011</v>
      </c>
      <c r="G234" s="5">
        <v>1.2082657713599569</v>
      </c>
      <c r="H234" s="5">
        <v>1.2402974380266236</v>
      </c>
    </row>
    <row r="235" spans="1:8">
      <c r="A235" s="4" t="s">
        <v>104</v>
      </c>
      <c r="B235" s="4" t="s">
        <v>289</v>
      </c>
      <c r="C235" s="4">
        <v>48</v>
      </c>
      <c r="D235" s="4" t="s">
        <v>20</v>
      </c>
      <c r="E235" s="19">
        <v>1.0057622398104524</v>
      </c>
      <c r="F235" s="1">
        <v>1.3789682539682542</v>
      </c>
      <c r="G235" s="5">
        <v>1.2402974380266236</v>
      </c>
      <c r="H235" s="5">
        <v>1.2977544486086343</v>
      </c>
    </row>
    <row r="236" spans="1:8" s="14" customFormat="1" ht="9.75" customHeight="1">
      <c r="A236" s="9"/>
      <c r="B236" s="9"/>
      <c r="C236" s="9"/>
      <c r="D236" s="9"/>
      <c r="E236" s="12"/>
      <c r="F236" s="10"/>
      <c r="G236" s="11"/>
      <c r="H236" s="11"/>
    </row>
    <row r="237" spans="1:8">
      <c r="A237" s="4" t="s">
        <v>21</v>
      </c>
      <c r="B237" s="4" t="s">
        <v>279</v>
      </c>
      <c r="C237" s="4">
        <v>48</v>
      </c>
      <c r="D237" s="4" t="s">
        <v>14</v>
      </c>
      <c r="E237" s="18" t="s">
        <v>65</v>
      </c>
      <c r="F237" s="1">
        <v>0.84665545241210305</v>
      </c>
      <c r="G237" s="5">
        <v>0.72916666666666663</v>
      </c>
      <c r="H237" s="5">
        <v>0.76444397718383761</v>
      </c>
    </row>
    <row r="238" spans="1:8">
      <c r="A238" s="4" t="s">
        <v>37</v>
      </c>
      <c r="B238" s="4" t="s">
        <v>288</v>
      </c>
      <c r="C238" s="4">
        <v>24</v>
      </c>
      <c r="D238" s="4" t="s">
        <v>10</v>
      </c>
      <c r="E238" s="18" t="s">
        <v>65</v>
      </c>
      <c r="F238" s="15">
        <v>0.75</v>
      </c>
      <c r="G238" s="5">
        <v>0.76444397718383761</v>
      </c>
      <c r="H238" s="5">
        <v>0.79569397718383761</v>
      </c>
    </row>
    <row r="239" spans="1:8">
      <c r="A239" s="4" t="s">
        <v>121</v>
      </c>
      <c r="B239" s="4" t="s">
        <v>305</v>
      </c>
      <c r="C239" s="4">
        <v>48</v>
      </c>
      <c r="D239" s="4" t="s">
        <v>20</v>
      </c>
      <c r="E239" s="18" t="s">
        <v>65</v>
      </c>
      <c r="F239" s="1">
        <v>1.2625482625482627</v>
      </c>
      <c r="G239" s="5">
        <v>0.79569397718383761</v>
      </c>
      <c r="H239" s="5">
        <v>0.84830015479001519</v>
      </c>
    </row>
    <row r="240" spans="1:8">
      <c r="A240" s="4" t="s">
        <v>21</v>
      </c>
      <c r="B240" s="4" t="s">
        <v>306</v>
      </c>
      <c r="C240" s="4">
        <v>48</v>
      </c>
      <c r="D240" s="4" t="s">
        <v>14</v>
      </c>
      <c r="E240" s="18" t="s">
        <v>65</v>
      </c>
      <c r="F240" s="1">
        <v>0.84665545241210305</v>
      </c>
      <c r="G240" s="5">
        <v>0.84830015479001519</v>
      </c>
      <c r="H240" s="5">
        <v>0.88357746530718617</v>
      </c>
    </row>
    <row r="241" spans="1:8">
      <c r="A241" s="4" t="s">
        <v>74</v>
      </c>
      <c r="B241" s="4" t="s">
        <v>307</v>
      </c>
      <c r="C241" s="4">
        <v>60</v>
      </c>
      <c r="D241" s="4" t="s">
        <v>10</v>
      </c>
      <c r="E241" s="18" t="s">
        <v>65</v>
      </c>
      <c r="F241" s="1">
        <v>0.43721877465719833</v>
      </c>
      <c r="G241" s="5">
        <v>0.88357746530718617</v>
      </c>
      <c r="H241" s="5">
        <v>0.90179491425123615</v>
      </c>
    </row>
    <row r="242" spans="1:8">
      <c r="A242" s="4" t="s">
        <v>18</v>
      </c>
      <c r="B242" s="4" t="s">
        <v>295</v>
      </c>
      <c r="C242" s="4">
        <v>144</v>
      </c>
      <c r="D242" s="4" t="s">
        <v>14</v>
      </c>
      <c r="E242" s="19">
        <v>0.7847222222222221</v>
      </c>
      <c r="F242" s="1">
        <v>1.0952380952380953</v>
      </c>
      <c r="G242" s="5">
        <v>0.90179491425123615</v>
      </c>
      <c r="H242" s="5">
        <v>0.94742983488615673</v>
      </c>
    </row>
    <row r="243" spans="1:8">
      <c r="A243" s="4" t="s">
        <v>47</v>
      </c>
      <c r="B243" s="4" t="s">
        <v>293</v>
      </c>
      <c r="C243" s="4">
        <v>46</v>
      </c>
      <c r="D243" s="4" t="s">
        <v>10</v>
      </c>
      <c r="E243" s="19">
        <v>0.76041666666666663</v>
      </c>
      <c r="F243" s="15">
        <v>0.75</v>
      </c>
      <c r="G243" s="5">
        <v>0.94742983488615673</v>
      </c>
      <c r="H243" s="5">
        <v>0.97867983488615673</v>
      </c>
    </row>
    <row r="244" spans="1:8">
      <c r="A244" s="4" t="s">
        <v>15</v>
      </c>
      <c r="B244" s="4" t="s">
        <v>294</v>
      </c>
      <c r="C244" s="4">
        <v>60</v>
      </c>
      <c r="D244" s="4" t="s">
        <v>10</v>
      </c>
      <c r="E244" s="19">
        <v>0.79049351221891528</v>
      </c>
      <c r="F244" s="15">
        <v>0.75</v>
      </c>
      <c r="G244" s="5">
        <v>0.97867983488615673</v>
      </c>
      <c r="H244" s="5">
        <v>1.0099298348861567</v>
      </c>
    </row>
    <row r="245" spans="1:8">
      <c r="A245" s="4" t="s">
        <v>64</v>
      </c>
      <c r="B245" s="4" t="s">
        <v>302</v>
      </c>
      <c r="C245" s="4">
        <v>48</v>
      </c>
      <c r="D245" s="4" t="s">
        <v>10</v>
      </c>
      <c r="E245" s="19">
        <v>0.84021689458583415</v>
      </c>
      <c r="F245" s="1">
        <v>0.90150790855264284</v>
      </c>
      <c r="G245" s="5">
        <v>1.0099298348861567</v>
      </c>
      <c r="H245" s="5">
        <v>1.0474926644091835</v>
      </c>
    </row>
    <row r="246" spans="1:8">
      <c r="A246" s="4" t="s">
        <v>31</v>
      </c>
      <c r="B246" s="4" t="s">
        <v>303</v>
      </c>
      <c r="C246" s="4">
        <v>240</v>
      </c>
      <c r="D246" s="4" t="s">
        <v>20</v>
      </c>
      <c r="E246" s="19">
        <v>0.91116763902518239</v>
      </c>
      <c r="F246" s="1">
        <v>0.95569053459486664</v>
      </c>
      <c r="G246" s="5">
        <v>1.0474926644091835</v>
      </c>
      <c r="H246" s="5">
        <v>1.0873131033506362</v>
      </c>
    </row>
    <row r="247" spans="1:8" s="14" customFormat="1" ht="9.75" customHeight="1">
      <c r="A247" s="9"/>
      <c r="B247" s="9"/>
      <c r="C247" s="9"/>
      <c r="D247" s="9"/>
      <c r="E247" s="12"/>
      <c r="F247" s="10"/>
      <c r="G247" s="11"/>
      <c r="H247" s="11"/>
    </row>
    <row r="248" spans="1:8">
      <c r="A248" s="4" t="s">
        <v>46</v>
      </c>
      <c r="B248" s="4" t="s">
        <v>319</v>
      </c>
      <c r="C248" s="4">
        <v>448</v>
      </c>
      <c r="D248" s="4" t="s">
        <v>14</v>
      </c>
      <c r="E248" s="18" t="s">
        <v>65</v>
      </c>
      <c r="F248" s="1">
        <v>0.27538584713378622</v>
      </c>
      <c r="G248" s="5">
        <v>0.72916666666666663</v>
      </c>
      <c r="H248" s="5">
        <v>0.74064107696390769</v>
      </c>
    </row>
    <row r="249" spans="1:8">
      <c r="A249" s="4" t="s">
        <v>81</v>
      </c>
      <c r="B249" s="4" t="s">
        <v>320</v>
      </c>
      <c r="C249" s="4">
        <v>48</v>
      </c>
      <c r="D249" s="4" t="s">
        <v>10</v>
      </c>
      <c r="E249" s="18" t="s">
        <v>65</v>
      </c>
      <c r="F249" s="15">
        <v>0.75</v>
      </c>
      <c r="G249" s="5">
        <v>0.74064107696390769</v>
      </c>
      <c r="H249" s="5">
        <v>0.77189107696390769</v>
      </c>
    </row>
    <row r="250" spans="1:8">
      <c r="A250" s="4" t="s">
        <v>47</v>
      </c>
      <c r="B250" s="4" t="s">
        <v>308</v>
      </c>
      <c r="C250" s="4">
        <v>48</v>
      </c>
      <c r="D250" s="4" t="s">
        <v>10</v>
      </c>
      <c r="E250" s="19">
        <v>0.76041666666666663</v>
      </c>
      <c r="F250" s="1">
        <v>0.75</v>
      </c>
      <c r="G250" s="5">
        <v>0.77189107696390769</v>
      </c>
      <c r="H250" s="5">
        <v>0.80314107696390769</v>
      </c>
    </row>
    <row r="251" spans="1:8">
      <c r="A251" s="4" t="s">
        <v>37</v>
      </c>
      <c r="B251" s="4" t="s">
        <v>314</v>
      </c>
      <c r="C251" s="4">
        <v>59</v>
      </c>
      <c r="D251" s="4" t="s">
        <v>10</v>
      </c>
      <c r="E251" s="19">
        <v>0.82976953601653436</v>
      </c>
      <c r="F251" s="1">
        <v>0.75</v>
      </c>
      <c r="G251" s="5">
        <v>0.80314107696390769</v>
      </c>
      <c r="H251" s="5">
        <v>0.83439107696390769</v>
      </c>
    </row>
    <row r="252" spans="1:8">
      <c r="A252" s="4" t="s">
        <v>18</v>
      </c>
      <c r="B252" s="4" t="s">
        <v>312</v>
      </c>
      <c r="C252" s="4">
        <v>288</v>
      </c>
      <c r="D252" s="4" t="s">
        <v>14</v>
      </c>
      <c r="E252" s="19">
        <v>0.83035714285714279</v>
      </c>
      <c r="F252" s="1">
        <v>1.9523809523809526</v>
      </c>
      <c r="G252" s="5">
        <v>0.83439107696390769</v>
      </c>
      <c r="H252" s="5">
        <v>0.91574028331311408</v>
      </c>
    </row>
    <row r="253" spans="1:8">
      <c r="A253" s="4" t="s">
        <v>15</v>
      </c>
      <c r="B253" s="4" t="s">
        <v>315</v>
      </c>
      <c r="C253" s="4">
        <v>36</v>
      </c>
      <c r="D253" s="4" t="s">
        <v>10</v>
      </c>
      <c r="E253" s="19">
        <v>0.85178389731613757</v>
      </c>
      <c r="F253" s="1">
        <v>0.75</v>
      </c>
      <c r="G253" s="5">
        <v>0.91574028331311408</v>
      </c>
      <c r="H253" s="5">
        <v>0.94699028331311408</v>
      </c>
    </row>
    <row r="254" spans="1:8">
      <c r="A254" s="4" t="s">
        <v>61</v>
      </c>
      <c r="B254" s="4" t="s">
        <v>313</v>
      </c>
      <c r="C254" s="4">
        <v>48</v>
      </c>
      <c r="D254" s="4" t="s">
        <v>14</v>
      </c>
      <c r="E254" s="19">
        <v>0.86322635870640851</v>
      </c>
      <c r="F254" s="1">
        <v>0.57938487115544479</v>
      </c>
      <c r="G254" s="5">
        <v>0.94699028331311408</v>
      </c>
      <c r="H254" s="5">
        <v>0.97113131961125765</v>
      </c>
    </row>
    <row r="255" spans="1:8">
      <c r="A255" s="4" t="s">
        <v>72</v>
      </c>
      <c r="B255" s="4" t="s">
        <v>318</v>
      </c>
      <c r="C255" s="4">
        <v>60</v>
      </c>
      <c r="D255" s="4" t="s">
        <v>10</v>
      </c>
      <c r="E255" s="19">
        <v>0.90082973287882706</v>
      </c>
      <c r="F255" s="1">
        <v>1.1620117710005353</v>
      </c>
      <c r="G255" s="5">
        <v>0.97113131961125765</v>
      </c>
      <c r="H255" s="5">
        <v>1.0195484767362799</v>
      </c>
    </row>
    <row r="256" spans="1:8">
      <c r="A256" s="4" t="s">
        <v>18</v>
      </c>
      <c r="B256" s="4" t="s">
        <v>312</v>
      </c>
      <c r="C256" s="4">
        <v>288</v>
      </c>
      <c r="D256" s="4" t="s">
        <v>14</v>
      </c>
      <c r="E256" s="19">
        <v>0.96441683489688468</v>
      </c>
      <c r="F256" s="1">
        <v>1.9523809523809526</v>
      </c>
      <c r="G256" s="5">
        <v>1.0195484767362799</v>
      </c>
      <c r="H256" s="5">
        <v>1.1008976830854862</v>
      </c>
    </row>
    <row r="257" spans="1:8" s="14" customFormat="1" ht="9.75" customHeight="1">
      <c r="A257" s="9"/>
      <c r="B257" s="9"/>
      <c r="C257" s="9"/>
      <c r="D257" s="9"/>
      <c r="E257" s="12"/>
      <c r="F257" s="10"/>
      <c r="G257" s="11"/>
      <c r="H257" s="11"/>
    </row>
    <row r="258" spans="1:8">
      <c r="A258" s="4" t="s">
        <v>47</v>
      </c>
      <c r="B258" s="4" t="s">
        <v>308</v>
      </c>
      <c r="C258" s="4">
        <v>48</v>
      </c>
      <c r="D258" s="4" t="s">
        <v>10</v>
      </c>
      <c r="E258" s="17" t="s">
        <v>65</v>
      </c>
      <c r="F258" s="1">
        <v>0.23887619047619049</v>
      </c>
      <c r="G258" s="5">
        <v>0.72916666666666663</v>
      </c>
      <c r="H258" s="5">
        <v>0.75</v>
      </c>
    </row>
    <row r="259" spans="1:8">
      <c r="A259" s="4" t="s">
        <v>61</v>
      </c>
      <c r="B259" s="4" t="s">
        <v>313</v>
      </c>
      <c r="C259" s="4">
        <v>48</v>
      </c>
      <c r="D259" s="4" t="s">
        <v>14</v>
      </c>
      <c r="E259" s="17" t="s">
        <v>65</v>
      </c>
      <c r="F259" s="1">
        <v>0.23819047619047623</v>
      </c>
      <c r="G259" s="5">
        <v>0.75</v>
      </c>
      <c r="H259" s="5">
        <v>0.7599246031746032</v>
      </c>
    </row>
    <row r="260" spans="1:8">
      <c r="A260" s="4" t="s">
        <v>15</v>
      </c>
      <c r="B260" s="4" t="s">
        <v>315</v>
      </c>
      <c r="C260" s="4">
        <v>36</v>
      </c>
      <c r="D260" s="4" t="s">
        <v>10</v>
      </c>
      <c r="E260" s="17" t="s">
        <v>65</v>
      </c>
      <c r="F260" s="1">
        <v>0.23820952380952384</v>
      </c>
      <c r="G260" s="5">
        <v>0.7599246031746032</v>
      </c>
      <c r="H260" s="5">
        <v>0.76985000000000003</v>
      </c>
    </row>
    <row r="261" spans="1:8">
      <c r="A261" s="4" t="s">
        <v>18</v>
      </c>
      <c r="B261" s="4" t="s">
        <v>312</v>
      </c>
      <c r="C261" s="4">
        <v>288</v>
      </c>
      <c r="D261" s="4" t="s">
        <v>14</v>
      </c>
      <c r="E261" s="17" t="s">
        <v>65</v>
      </c>
      <c r="F261" s="1">
        <v>1.9523809523809526</v>
      </c>
      <c r="G261" s="5">
        <v>0.76985000000000003</v>
      </c>
      <c r="H261" s="5">
        <v>0.85119920634920643</v>
      </c>
    </row>
    <row r="262" spans="1:8">
      <c r="A262" s="4" t="s">
        <v>72</v>
      </c>
      <c r="B262" s="4" t="s">
        <v>318</v>
      </c>
      <c r="C262" s="4">
        <v>60</v>
      </c>
      <c r="D262" s="4" t="s">
        <v>10</v>
      </c>
      <c r="E262" s="17" t="s">
        <v>65</v>
      </c>
      <c r="F262" s="1">
        <v>1.1620117710005353</v>
      </c>
      <c r="G262" s="5">
        <v>0.85119920634920643</v>
      </c>
      <c r="H262" s="5">
        <v>0.89961636347422869</v>
      </c>
    </row>
    <row r="263" spans="1:8">
      <c r="A263" s="4" t="s">
        <v>46</v>
      </c>
      <c r="B263" s="4" t="s">
        <v>331</v>
      </c>
      <c r="C263" s="4">
        <v>448</v>
      </c>
      <c r="D263" s="4" t="s">
        <v>14</v>
      </c>
      <c r="E263" s="17" t="s">
        <v>65</v>
      </c>
      <c r="F263" s="1">
        <v>0.27538584713378622</v>
      </c>
      <c r="G263" s="5">
        <v>0.89961636347422869</v>
      </c>
      <c r="H263" s="5">
        <v>0.91109077377146974</v>
      </c>
    </row>
    <row r="264" spans="1:8">
      <c r="A264" s="4" t="s">
        <v>111</v>
      </c>
      <c r="B264" s="4" t="s">
        <v>332</v>
      </c>
      <c r="C264" s="4">
        <v>48</v>
      </c>
      <c r="D264" s="4" t="s">
        <v>20</v>
      </c>
      <c r="E264" s="17" t="s">
        <v>65</v>
      </c>
      <c r="F264" s="1">
        <v>0.59821428571428581</v>
      </c>
      <c r="G264" s="5">
        <v>0.91109077377146974</v>
      </c>
      <c r="H264" s="5">
        <v>0.93601636900956497</v>
      </c>
    </row>
    <row r="265" spans="1:8">
      <c r="A265" s="4" t="s">
        <v>34</v>
      </c>
      <c r="B265" s="4" t="s">
        <v>333</v>
      </c>
      <c r="C265" s="4">
        <v>60</v>
      </c>
      <c r="D265" s="4" t="s">
        <v>10</v>
      </c>
      <c r="E265" s="17" t="s">
        <v>65</v>
      </c>
      <c r="F265" s="1">
        <v>0.50964187327823696</v>
      </c>
      <c r="G265" s="5">
        <v>0.93601636900956497</v>
      </c>
      <c r="H265" s="5">
        <v>0.95725144706282483</v>
      </c>
    </row>
    <row r="266" spans="1:8">
      <c r="A266" s="4" t="s">
        <v>109</v>
      </c>
      <c r="B266" s="4" t="s">
        <v>334</v>
      </c>
      <c r="C266" s="4">
        <v>48</v>
      </c>
      <c r="D266" s="4" t="s">
        <v>20</v>
      </c>
      <c r="E266" s="17" t="s">
        <v>65</v>
      </c>
      <c r="F266" s="1">
        <v>0.73376623376623429</v>
      </c>
      <c r="G266" s="5">
        <v>0.95725144706282483</v>
      </c>
      <c r="H266" s="5">
        <v>0.98782504013641792</v>
      </c>
    </row>
    <row r="267" spans="1:8">
      <c r="A267" s="4" t="s">
        <v>21</v>
      </c>
      <c r="B267" s="4" t="s">
        <v>335</v>
      </c>
      <c r="C267" s="4">
        <v>48</v>
      </c>
      <c r="D267" s="4" t="s">
        <v>14</v>
      </c>
      <c r="E267" s="17" t="s">
        <v>65</v>
      </c>
      <c r="F267" s="1">
        <v>0.84665545241210305</v>
      </c>
      <c r="G267" s="5">
        <v>0.98782504013641792</v>
      </c>
      <c r="H267" s="5">
        <v>1.0231023506535888</v>
      </c>
    </row>
    <row r="268" spans="1:8">
      <c r="A268" s="4" t="s">
        <v>329</v>
      </c>
      <c r="B268" s="4" t="s">
        <v>330</v>
      </c>
      <c r="C268" s="4">
        <v>270</v>
      </c>
      <c r="D268" s="5" t="s">
        <v>20</v>
      </c>
      <c r="E268" s="17" t="s">
        <v>65</v>
      </c>
      <c r="F268" s="1">
        <v>0.43333333333333307</v>
      </c>
      <c r="G268" s="5">
        <v>1.0231023506535888</v>
      </c>
      <c r="H268" s="5">
        <v>1.0411579062091443</v>
      </c>
    </row>
    <row r="269" spans="1:8">
      <c r="A269" s="4" t="s">
        <v>39</v>
      </c>
      <c r="B269" s="4" t="s">
        <v>323</v>
      </c>
      <c r="C269" s="4">
        <v>30</v>
      </c>
      <c r="D269" s="4" t="s">
        <v>20</v>
      </c>
      <c r="E269" s="19">
        <v>0.75</v>
      </c>
      <c r="F269" s="1">
        <v>0.37023809523809526</v>
      </c>
      <c r="G269" s="5">
        <v>1.0411579062091443</v>
      </c>
      <c r="H269" s="5">
        <v>1.0565844935107316</v>
      </c>
    </row>
    <row r="270" spans="1:8">
      <c r="A270" s="4" t="s">
        <v>329</v>
      </c>
      <c r="B270" s="4" t="s">
        <v>330</v>
      </c>
      <c r="C270" s="4">
        <v>270</v>
      </c>
      <c r="D270" s="4" t="s">
        <v>20</v>
      </c>
      <c r="E270" s="19">
        <v>0.77053571428571432</v>
      </c>
      <c r="F270" s="1">
        <v>0.43333333333333307</v>
      </c>
      <c r="G270" s="5">
        <v>1.0565844935107316</v>
      </c>
      <c r="H270" s="5">
        <v>1.0746400490662871</v>
      </c>
    </row>
    <row r="271" spans="1:8">
      <c r="A271" s="4" t="s">
        <v>18</v>
      </c>
      <c r="B271" s="4" t="s">
        <v>328</v>
      </c>
      <c r="C271" s="4">
        <v>288</v>
      </c>
      <c r="D271" s="4" t="s">
        <v>14</v>
      </c>
      <c r="E271" s="19">
        <v>0.80178571428571432</v>
      </c>
      <c r="F271" s="1">
        <v>1.9523809523809526</v>
      </c>
      <c r="G271" s="5">
        <v>1.0746400490662871</v>
      </c>
      <c r="H271" s="5">
        <v>1.1559892554154934</v>
      </c>
    </row>
    <row r="272" spans="1:8">
      <c r="A272" s="4" t="s">
        <v>21</v>
      </c>
      <c r="B272" s="4" t="s">
        <v>279</v>
      </c>
      <c r="C272" s="4">
        <v>48</v>
      </c>
      <c r="D272" s="4" t="s">
        <v>14</v>
      </c>
      <c r="E272" s="19">
        <v>0.90297619047619049</v>
      </c>
      <c r="F272" s="1">
        <v>0.84665545241210305</v>
      </c>
      <c r="G272" s="5">
        <v>1.1559892554154934</v>
      </c>
      <c r="H272" s="5">
        <v>1.1912665659326642</v>
      </c>
    </row>
    <row r="273" spans="1:8">
      <c r="A273" s="4" t="s">
        <v>64</v>
      </c>
      <c r="B273" s="4" t="s">
        <v>325</v>
      </c>
      <c r="C273" s="4">
        <v>48</v>
      </c>
      <c r="D273" s="4" t="s">
        <v>10</v>
      </c>
      <c r="E273" s="19">
        <v>0.75</v>
      </c>
      <c r="F273" s="1">
        <v>0.90150790855264284</v>
      </c>
      <c r="G273" s="5">
        <v>1.1912665659326642</v>
      </c>
      <c r="H273" s="5">
        <v>1.228829395455691</v>
      </c>
    </row>
    <row r="274" spans="1:8">
      <c r="A274" s="4" t="s">
        <v>72</v>
      </c>
      <c r="B274" s="4" t="s">
        <v>327</v>
      </c>
      <c r="C274" s="4">
        <v>60</v>
      </c>
      <c r="D274" s="4" t="s">
        <v>10</v>
      </c>
      <c r="E274" s="19">
        <v>0.79972338236691876</v>
      </c>
      <c r="F274" s="1">
        <v>1.1620117710005353</v>
      </c>
      <c r="G274" s="5">
        <v>1.228829395455691</v>
      </c>
      <c r="H274" s="5">
        <v>1.2772465525807133</v>
      </c>
    </row>
    <row r="275" spans="1:8" s="14" customFormat="1" ht="9.75" customHeight="1">
      <c r="A275" s="9"/>
      <c r="B275" s="9"/>
      <c r="C275" s="9"/>
      <c r="D275" s="9"/>
      <c r="E275" s="12"/>
      <c r="F275" s="10"/>
      <c r="G275" s="11"/>
      <c r="H275" s="11"/>
    </row>
    <row r="276" spans="1:8">
      <c r="A276" s="4" t="s">
        <v>15</v>
      </c>
      <c r="B276" s="4" t="s">
        <v>315</v>
      </c>
      <c r="C276" s="4">
        <v>36</v>
      </c>
      <c r="D276" s="4" t="s">
        <v>10</v>
      </c>
      <c r="E276" s="18" t="s">
        <v>65</v>
      </c>
      <c r="F276" s="1">
        <v>0.23820952380952384</v>
      </c>
      <c r="G276" s="5">
        <v>0.72916666666666663</v>
      </c>
      <c r="H276" s="5">
        <v>0.75</v>
      </c>
    </row>
    <row r="277" spans="1:8">
      <c r="A277" s="4" t="s">
        <v>111</v>
      </c>
      <c r="B277" s="4" t="s">
        <v>332</v>
      </c>
      <c r="C277" s="4">
        <v>48</v>
      </c>
      <c r="D277" s="4" t="s">
        <v>20</v>
      </c>
      <c r="E277" s="18" t="s">
        <v>65</v>
      </c>
      <c r="F277" s="1">
        <v>0.59821428571428581</v>
      </c>
      <c r="G277" s="5">
        <v>0.75</v>
      </c>
      <c r="H277" s="5">
        <v>0.77492559523809523</v>
      </c>
    </row>
    <row r="278" spans="1:8">
      <c r="A278" s="4" t="s">
        <v>21</v>
      </c>
      <c r="B278" s="4" t="s">
        <v>335</v>
      </c>
      <c r="C278" s="4">
        <v>48</v>
      </c>
      <c r="D278" s="4" t="s">
        <v>14</v>
      </c>
      <c r="E278" s="18" t="s">
        <v>65</v>
      </c>
      <c r="F278" s="1">
        <v>0.84665545241210305</v>
      </c>
      <c r="G278" s="5">
        <v>0.77492559523809523</v>
      </c>
      <c r="H278" s="5">
        <v>0.81020290575526621</v>
      </c>
    </row>
    <row r="279" spans="1:8">
      <c r="A279" s="4" t="s">
        <v>329</v>
      </c>
      <c r="B279" s="4" t="s">
        <v>330</v>
      </c>
      <c r="C279" s="4">
        <v>270</v>
      </c>
      <c r="D279" s="4" t="s">
        <v>20</v>
      </c>
      <c r="E279" s="18" t="s">
        <v>65</v>
      </c>
      <c r="F279" s="1">
        <v>0.43333333333333307</v>
      </c>
      <c r="G279" s="5">
        <v>0.81020290575526621</v>
      </c>
      <c r="H279" s="5">
        <v>0.8282584613108217</v>
      </c>
    </row>
    <row r="280" spans="1:8">
      <c r="A280" s="4" t="s">
        <v>18</v>
      </c>
      <c r="B280" s="4" t="s">
        <v>328</v>
      </c>
      <c r="C280" s="4">
        <v>288</v>
      </c>
      <c r="D280" s="4" t="s">
        <v>14</v>
      </c>
      <c r="E280" s="18" t="s">
        <v>65</v>
      </c>
      <c r="F280" s="1">
        <v>1.9523809523809526</v>
      </c>
      <c r="G280" s="5">
        <v>0.8282584613108217</v>
      </c>
      <c r="H280" s="5">
        <v>0.9096076676600281</v>
      </c>
    </row>
    <row r="281" spans="1:8">
      <c r="A281" s="4" t="s">
        <v>346</v>
      </c>
      <c r="B281" s="4" t="s">
        <v>347</v>
      </c>
      <c r="C281" s="4">
        <v>96</v>
      </c>
      <c r="D281" s="4" t="s">
        <v>20</v>
      </c>
      <c r="E281" s="18" t="s">
        <v>65</v>
      </c>
      <c r="F281" s="1">
        <v>0.2388952380952381</v>
      </c>
      <c r="G281" s="5">
        <v>0.9096076676600281</v>
      </c>
      <c r="H281" s="5">
        <v>0.91956163591399631</v>
      </c>
    </row>
    <row r="282" spans="1:8">
      <c r="A282" s="4" t="s">
        <v>37</v>
      </c>
      <c r="B282" s="4" t="s">
        <v>348</v>
      </c>
      <c r="C282" s="4">
        <v>24</v>
      </c>
      <c r="D282" s="4" t="s">
        <v>10</v>
      </c>
      <c r="E282" s="18" t="s">
        <v>65</v>
      </c>
      <c r="F282" s="1">
        <v>0.23829523809523809</v>
      </c>
      <c r="G282" s="5">
        <v>0.91956163591399631</v>
      </c>
      <c r="H282" s="5">
        <v>0.92949060416796458</v>
      </c>
    </row>
    <row r="283" spans="1:8">
      <c r="A283" s="4" t="s">
        <v>35</v>
      </c>
      <c r="B283" s="4" t="s">
        <v>336</v>
      </c>
      <c r="C283" s="4">
        <v>48</v>
      </c>
      <c r="D283" s="4" t="s">
        <v>14</v>
      </c>
      <c r="E283" s="19">
        <v>0.77828273412698412</v>
      </c>
      <c r="F283" s="1">
        <v>0.66262704761904767</v>
      </c>
      <c r="G283" s="5">
        <v>0.92949060416796458</v>
      </c>
      <c r="H283" s="5">
        <v>0.95710006448542495</v>
      </c>
    </row>
    <row r="284" spans="1:8">
      <c r="A284" s="4" t="s">
        <v>71</v>
      </c>
      <c r="B284" s="4" t="s">
        <v>340</v>
      </c>
      <c r="C284" s="4">
        <v>48</v>
      </c>
      <c r="D284" s="4" t="s">
        <v>20</v>
      </c>
      <c r="E284" s="19">
        <v>0.79563492063492069</v>
      </c>
      <c r="F284" s="1">
        <v>0.4844178509099975</v>
      </c>
      <c r="G284" s="5">
        <v>0.95710006448542495</v>
      </c>
      <c r="H284" s="5">
        <v>0.97728414160667487</v>
      </c>
    </row>
    <row r="285" spans="1:8">
      <c r="A285" s="4" t="s">
        <v>18</v>
      </c>
      <c r="B285" s="4" t="s">
        <v>337</v>
      </c>
      <c r="C285" s="4">
        <v>288</v>
      </c>
      <c r="D285" s="4" t="s">
        <v>14</v>
      </c>
      <c r="E285" s="19">
        <v>0.87947321031746029</v>
      </c>
      <c r="F285" s="1">
        <v>1.9523809523809526</v>
      </c>
      <c r="G285" s="5">
        <v>0.97728414160667487</v>
      </c>
      <c r="H285" s="5">
        <v>1.0586333479558812</v>
      </c>
    </row>
    <row r="286" spans="1:8">
      <c r="A286" s="4" t="s">
        <v>21</v>
      </c>
      <c r="B286" s="4" t="s">
        <v>345</v>
      </c>
      <c r="C286" s="4">
        <v>48</v>
      </c>
      <c r="D286" s="5" t="s">
        <v>14</v>
      </c>
      <c r="E286" s="19">
        <v>1.1648059790125698</v>
      </c>
      <c r="F286" s="1">
        <v>0.84665545241210305</v>
      </c>
      <c r="G286" s="5">
        <v>1.0586333479558812</v>
      </c>
      <c r="H286" s="5">
        <v>1.093910658473052</v>
      </c>
    </row>
    <row r="287" spans="1:8">
      <c r="A287" s="4" t="s">
        <v>24</v>
      </c>
      <c r="B287" s="4" t="s">
        <v>343</v>
      </c>
      <c r="C287" s="4">
        <v>48</v>
      </c>
      <c r="D287" s="4" t="s">
        <v>20</v>
      </c>
      <c r="E287" s="19">
        <v>45586.868119803476</v>
      </c>
      <c r="F287" s="1">
        <v>0.49319727891156467</v>
      </c>
      <c r="G287" s="5">
        <v>1.093910658473052</v>
      </c>
      <c r="H287" s="5">
        <v>1.1144605450943672</v>
      </c>
    </row>
    <row r="288" spans="1:8">
      <c r="A288" s="4" t="s">
        <v>59</v>
      </c>
      <c r="B288" s="4" t="s">
        <v>344</v>
      </c>
      <c r="C288" s="4">
        <v>48</v>
      </c>
      <c r="D288" s="4" t="s">
        <v>20</v>
      </c>
      <c r="E288" s="19">
        <v>45587.024244378306</v>
      </c>
      <c r="F288" s="1">
        <v>3.5714285714285716</v>
      </c>
      <c r="G288" s="5">
        <v>1.1144605450943672</v>
      </c>
      <c r="H288" s="5">
        <v>1.2632700689038909</v>
      </c>
    </row>
    <row r="289" spans="1:8" s="14" customFormat="1" ht="9.75" customHeight="1">
      <c r="A289" s="9"/>
      <c r="B289" s="9"/>
      <c r="C289" s="9"/>
      <c r="D289" s="9"/>
      <c r="E289" s="12"/>
      <c r="F289" s="10"/>
      <c r="G289" s="11"/>
      <c r="H289" s="11"/>
    </row>
    <row r="290" spans="1:8">
      <c r="A290" s="4" t="s">
        <v>18</v>
      </c>
      <c r="B290" s="4" t="s">
        <v>337</v>
      </c>
      <c r="C290" s="4">
        <v>288</v>
      </c>
      <c r="D290" s="4" t="s">
        <v>14</v>
      </c>
      <c r="E290" s="19">
        <v>0.78408090277662268</v>
      </c>
      <c r="F290" s="1">
        <v>1.9523809523809526</v>
      </c>
      <c r="G290" s="5">
        <v>0.54166666666666663</v>
      </c>
      <c r="H290" s="5">
        <v>0.62301587301587302</v>
      </c>
    </row>
    <row r="291" spans="1:8">
      <c r="A291" s="4" t="s">
        <v>15</v>
      </c>
      <c r="B291" s="4" t="s">
        <v>315</v>
      </c>
      <c r="C291" s="4">
        <v>36</v>
      </c>
      <c r="D291" s="4" t="s">
        <v>10</v>
      </c>
      <c r="E291" s="19">
        <v>4.9056635416636709</v>
      </c>
      <c r="F291" s="1">
        <v>0.23820952380952384</v>
      </c>
      <c r="G291" s="5">
        <v>0.62301587301587302</v>
      </c>
      <c r="H291" s="5">
        <v>0.63294126984126986</v>
      </c>
    </row>
    <row r="292" spans="1:8">
      <c r="A292" s="4" t="s">
        <v>24</v>
      </c>
      <c r="B292" s="4" t="s">
        <v>343</v>
      </c>
      <c r="C292" s="4">
        <v>48</v>
      </c>
      <c r="D292" s="4" t="s">
        <v>20</v>
      </c>
      <c r="E292" s="19">
        <v>0.73845289351447718</v>
      </c>
      <c r="F292" s="1">
        <v>0.49319727891156467</v>
      </c>
      <c r="G292" s="5">
        <v>0.63294126984126986</v>
      </c>
      <c r="H292" s="5">
        <v>0.65349115646258504</v>
      </c>
    </row>
    <row r="293" spans="1:8">
      <c r="A293" s="4" t="s">
        <v>15</v>
      </c>
      <c r="B293" s="4" t="s">
        <v>350</v>
      </c>
      <c r="C293" s="4">
        <v>36</v>
      </c>
      <c r="D293" s="4" t="s">
        <v>10</v>
      </c>
      <c r="E293" s="5">
        <v>0.56368102796626984</v>
      </c>
      <c r="F293" s="1">
        <v>0.23820952380952384</v>
      </c>
      <c r="G293" s="5">
        <v>0.65349115646258504</v>
      </c>
      <c r="H293" s="5">
        <v>0.66341655328798188</v>
      </c>
    </row>
    <row r="294" spans="1:8">
      <c r="A294" s="4" t="s">
        <v>71</v>
      </c>
      <c r="B294" s="4" t="s">
        <v>340</v>
      </c>
      <c r="C294" s="4">
        <v>48</v>
      </c>
      <c r="D294" s="4" t="s">
        <v>20</v>
      </c>
      <c r="E294" s="5">
        <v>0.60466269841269837</v>
      </c>
      <c r="F294" s="1">
        <v>0.4844178509099975</v>
      </c>
      <c r="G294" s="5">
        <v>0.66341655328798188</v>
      </c>
      <c r="H294" s="5">
        <v>0.6836006304092318</v>
      </c>
    </row>
    <row r="295" spans="1:8">
      <c r="A295" s="4" t="s">
        <v>59</v>
      </c>
      <c r="B295" s="4" t="s">
        <v>344</v>
      </c>
      <c r="C295" s="4">
        <v>48</v>
      </c>
      <c r="D295" s="4" t="s">
        <v>20</v>
      </c>
      <c r="E295" s="18" t="s">
        <v>65</v>
      </c>
      <c r="F295" s="1">
        <v>3.5714285714285716</v>
      </c>
      <c r="G295" s="5">
        <v>0.75</v>
      </c>
      <c r="H295" s="5">
        <v>0.89880952380952384</v>
      </c>
    </row>
    <row r="296" spans="1:8">
      <c r="A296" s="4" t="s">
        <v>46</v>
      </c>
      <c r="B296" s="4" t="s">
        <v>349</v>
      </c>
      <c r="C296" s="4">
        <v>448</v>
      </c>
      <c r="D296" s="4" t="s">
        <v>14</v>
      </c>
      <c r="E296" s="18" t="s">
        <v>65</v>
      </c>
      <c r="F296" s="1">
        <v>0.27538584713378622</v>
      </c>
      <c r="G296" s="5">
        <v>0.89880952380952384</v>
      </c>
      <c r="H296" s="5">
        <v>0.91028393410676489</v>
      </c>
    </row>
    <row r="297" spans="1:8">
      <c r="A297" s="4" t="s">
        <v>73</v>
      </c>
      <c r="B297" s="4" t="s">
        <v>351</v>
      </c>
      <c r="C297" s="4">
        <v>48</v>
      </c>
      <c r="D297" s="4" t="s">
        <v>20</v>
      </c>
      <c r="E297" s="18" t="s">
        <v>65</v>
      </c>
      <c r="F297" s="1">
        <v>1.275689223057644</v>
      </c>
      <c r="G297" s="5">
        <v>0.91028393410676489</v>
      </c>
      <c r="H297" s="5">
        <v>0.96343765173416673</v>
      </c>
    </row>
    <row r="298" spans="1:8">
      <c r="A298" s="4" t="s">
        <v>372</v>
      </c>
      <c r="B298" s="4" t="s">
        <v>354</v>
      </c>
      <c r="C298" s="4">
        <v>48</v>
      </c>
      <c r="D298" s="4" t="s">
        <v>14</v>
      </c>
      <c r="E298" s="18" t="s">
        <v>65</v>
      </c>
      <c r="F298" s="1">
        <v>0.66262704761904767</v>
      </c>
      <c r="G298" s="5">
        <v>0.96343765173416673</v>
      </c>
      <c r="H298" s="5">
        <v>0.9910471120516271</v>
      </c>
    </row>
    <row r="299" spans="1:8">
      <c r="A299" s="4" t="s">
        <v>64</v>
      </c>
      <c r="B299" s="4" t="s">
        <v>357</v>
      </c>
      <c r="C299" s="4">
        <v>48</v>
      </c>
      <c r="D299" s="4" t="s">
        <v>10</v>
      </c>
      <c r="E299" s="21">
        <v>0.79972338236691876</v>
      </c>
      <c r="F299" s="1">
        <v>0.90150790855264284</v>
      </c>
      <c r="G299" s="5">
        <v>0.9910471120516271</v>
      </c>
      <c r="H299" s="5">
        <v>1.0286099415746539</v>
      </c>
    </row>
    <row r="300" spans="1:8">
      <c r="A300" s="4" t="s">
        <v>127</v>
      </c>
      <c r="B300" s="4" t="s">
        <v>370</v>
      </c>
      <c r="C300" s="4">
        <v>192</v>
      </c>
      <c r="D300" s="4" t="s">
        <v>20</v>
      </c>
      <c r="E300" s="21">
        <v>0.82023429506533141</v>
      </c>
      <c r="F300" s="1">
        <v>4.7523809523809533</v>
      </c>
      <c r="G300" s="5">
        <v>1.0286099415746539</v>
      </c>
      <c r="H300" s="5">
        <v>1.2266258145905269</v>
      </c>
    </row>
    <row r="301" spans="1:8">
      <c r="A301" s="4" t="s">
        <v>18</v>
      </c>
      <c r="B301" s="4" t="s">
        <v>368</v>
      </c>
      <c r="C301" s="4">
        <v>288</v>
      </c>
      <c r="D301" s="4" t="s">
        <v>14</v>
      </c>
      <c r="E301" s="21">
        <v>0.9185592810866724</v>
      </c>
      <c r="F301" s="1">
        <v>1.9523809523809526</v>
      </c>
      <c r="G301" s="5">
        <v>1.2266258145905269</v>
      </c>
      <c r="H301" s="5">
        <v>1.3079750209397332</v>
      </c>
    </row>
    <row r="302" spans="1:8">
      <c r="A302" s="4" t="s">
        <v>21</v>
      </c>
      <c r="B302" s="4" t="s">
        <v>369</v>
      </c>
      <c r="C302" s="4">
        <v>48</v>
      </c>
      <c r="D302" s="4" t="s">
        <v>14</v>
      </c>
      <c r="E302" s="21">
        <v>0.94998428748987329</v>
      </c>
      <c r="F302" s="1">
        <v>0.84665545241210305</v>
      </c>
      <c r="G302" s="5">
        <v>1.3079750209397332</v>
      </c>
      <c r="H302" s="5">
        <v>1.343252331456904</v>
      </c>
    </row>
    <row r="303" spans="1:8">
      <c r="A303" s="4" t="s">
        <v>31</v>
      </c>
      <c r="B303" s="4" t="s">
        <v>371</v>
      </c>
      <c r="C303" s="4">
        <v>260</v>
      </c>
      <c r="D303" s="4" t="s">
        <v>20</v>
      </c>
      <c r="E303" s="21">
        <v>1.0477145148125619</v>
      </c>
      <c r="F303" s="1">
        <v>1.0154901426365026</v>
      </c>
      <c r="G303" s="5">
        <v>1.343252331456904</v>
      </c>
      <c r="H303" s="5">
        <v>1.385564420733425</v>
      </c>
    </row>
    <row r="304" spans="1:8" s="14" customFormat="1" ht="9.75" customHeight="1">
      <c r="A304" s="9"/>
      <c r="B304" s="9"/>
      <c r="C304" s="9"/>
      <c r="D304" s="9"/>
      <c r="E304" s="12"/>
      <c r="F304" s="10"/>
      <c r="G304" s="11"/>
      <c r="H304" s="11"/>
    </row>
    <row r="305" spans="1:8">
      <c r="A305" s="4" t="s">
        <v>59</v>
      </c>
      <c r="B305" s="4" t="s">
        <v>344</v>
      </c>
      <c r="C305" s="4">
        <v>48</v>
      </c>
      <c r="D305" s="4" t="s">
        <v>20</v>
      </c>
      <c r="E305" s="19" t="s">
        <v>65</v>
      </c>
      <c r="F305" s="1">
        <v>3.5714285714285716</v>
      </c>
      <c r="G305" s="5">
        <v>0.75</v>
      </c>
      <c r="H305" s="5">
        <v>0.89880952380952384</v>
      </c>
    </row>
    <row r="306" spans="1:8">
      <c r="A306" s="4" t="s">
        <v>46</v>
      </c>
      <c r="B306" s="4" t="s">
        <v>349</v>
      </c>
      <c r="C306" s="4">
        <v>448</v>
      </c>
      <c r="D306" s="4" t="s">
        <v>14</v>
      </c>
      <c r="E306" s="19" t="s">
        <v>65</v>
      </c>
      <c r="F306" s="1">
        <v>0.27538584713378622</v>
      </c>
      <c r="G306" s="5">
        <v>0.89880952380952384</v>
      </c>
      <c r="H306" s="5">
        <v>0.91028393410676489</v>
      </c>
    </row>
    <row r="307" spans="1:8">
      <c r="A307" s="4" t="s">
        <v>373</v>
      </c>
      <c r="B307" s="4" t="s">
        <v>354</v>
      </c>
      <c r="C307" s="4">
        <v>48</v>
      </c>
      <c r="D307" s="4" t="s">
        <v>14</v>
      </c>
      <c r="E307" s="19" t="s">
        <v>65</v>
      </c>
      <c r="F307" s="1">
        <v>0.66262704761904767</v>
      </c>
      <c r="G307" s="5">
        <v>0.91028393410676489</v>
      </c>
      <c r="H307" s="5">
        <v>0.93789339442422526</v>
      </c>
    </row>
    <row r="308" spans="1:8">
      <c r="A308" s="4" t="s">
        <v>18</v>
      </c>
      <c r="B308" s="4" t="s">
        <v>368</v>
      </c>
      <c r="C308" s="4">
        <v>288</v>
      </c>
      <c r="D308" s="4" t="s">
        <v>14</v>
      </c>
      <c r="E308" s="19" t="s">
        <v>65</v>
      </c>
      <c r="F308" s="1">
        <v>1.9523809523809526</v>
      </c>
      <c r="G308" s="5">
        <v>0.93789339442422526</v>
      </c>
      <c r="H308" s="5">
        <v>1.0192426007734317</v>
      </c>
    </row>
    <row r="309" spans="1:8">
      <c r="A309" s="4" t="s">
        <v>21</v>
      </c>
      <c r="B309" s="4" t="s">
        <v>369</v>
      </c>
      <c r="C309" s="4">
        <v>48</v>
      </c>
      <c r="D309" s="4" t="s">
        <v>14</v>
      </c>
      <c r="E309" s="19" t="s">
        <v>65</v>
      </c>
      <c r="F309" s="1">
        <v>0.84665545241210305</v>
      </c>
      <c r="G309" s="5">
        <v>1.0192426007734317</v>
      </c>
      <c r="H309" s="5">
        <v>1.0545199112906025</v>
      </c>
    </row>
    <row r="310" spans="1:8">
      <c r="A310" s="4" t="s">
        <v>127</v>
      </c>
      <c r="B310" s="4" t="s">
        <v>370</v>
      </c>
      <c r="C310" s="4">
        <v>192</v>
      </c>
      <c r="D310" s="4" t="s">
        <v>20</v>
      </c>
      <c r="E310" s="19" t="s">
        <v>65</v>
      </c>
      <c r="F310" s="1">
        <v>4.7523809523809533</v>
      </c>
      <c r="G310" s="5">
        <v>1.0545199112906025</v>
      </c>
      <c r="H310" s="5">
        <v>1.2525357843064755</v>
      </c>
    </row>
    <row r="311" spans="1:8">
      <c r="A311" s="4" t="s">
        <v>46</v>
      </c>
      <c r="B311" s="4" t="s">
        <v>374</v>
      </c>
      <c r="C311" s="4">
        <v>448</v>
      </c>
      <c r="D311" s="4" t="s">
        <v>14</v>
      </c>
      <c r="E311" s="19" t="s">
        <v>65</v>
      </c>
      <c r="F311" s="1">
        <v>0.27538584713378622</v>
      </c>
      <c r="G311" s="5">
        <v>1.2525357843064755</v>
      </c>
      <c r="H311" s="5">
        <v>1.2640101946037166</v>
      </c>
    </row>
    <row r="312" spans="1:8">
      <c r="A312" s="4" t="s">
        <v>21</v>
      </c>
      <c r="B312" s="4" t="s">
        <v>387</v>
      </c>
      <c r="C312" s="4">
        <v>48</v>
      </c>
      <c r="D312" s="4" t="s">
        <v>14</v>
      </c>
      <c r="E312" s="5">
        <v>0.78142500640320089</v>
      </c>
      <c r="F312" s="1">
        <v>0.84665545241210305</v>
      </c>
      <c r="G312" s="5">
        <v>1.2640101946037166</v>
      </c>
      <c r="H312" s="5">
        <v>1.2992875051208874</v>
      </c>
    </row>
    <row r="313" spans="1:8">
      <c r="A313" s="4" t="s">
        <v>116</v>
      </c>
      <c r="B313" s="4" t="s">
        <v>375</v>
      </c>
      <c r="C313" s="4">
        <v>24</v>
      </c>
      <c r="D313" s="4" t="s">
        <v>20</v>
      </c>
      <c r="E313" s="5">
        <v>0.7857142857142857</v>
      </c>
      <c r="F313" s="1">
        <v>1.0952380952380953</v>
      </c>
      <c r="G313" s="5">
        <v>1.2992875051208874</v>
      </c>
      <c r="H313" s="5">
        <v>1.3449224257558081</v>
      </c>
    </row>
    <row r="314" spans="1:8">
      <c r="A314" s="4" t="s">
        <v>373</v>
      </c>
      <c r="B314" s="4" t="s">
        <v>388</v>
      </c>
      <c r="C314" s="4">
        <v>48</v>
      </c>
      <c r="D314" s="4" t="s">
        <v>14</v>
      </c>
      <c r="E314" s="5">
        <v>0.80970774053018502</v>
      </c>
      <c r="F314" s="1">
        <v>0.66262704761904767</v>
      </c>
      <c r="G314" s="5">
        <v>1.3449224257558081</v>
      </c>
      <c r="H314" s="5">
        <v>1.3725318860732685</v>
      </c>
    </row>
    <row r="315" spans="1:8">
      <c r="A315" s="4" t="s">
        <v>34</v>
      </c>
      <c r="B315" s="4" t="s">
        <v>398</v>
      </c>
      <c r="C315" s="4">
        <v>60</v>
      </c>
      <c r="D315" s="4" t="s">
        <v>10</v>
      </c>
      <c r="E315" s="5">
        <v>0.82726753266977138</v>
      </c>
      <c r="F315" s="1">
        <v>0.50964187327823696</v>
      </c>
      <c r="G315" s="5">
        <v>1.3725318860732685</v>
      </c>
      <c r="H315" s="5">
        <v>1.3937669641265285</v>
      </c>
    </row>
    <row r="316" spans="1:8">
      <c r="A316" s="4" t="s">
        <v>79</v>
      </c>
      <c r="B316" s="4" t="s">
        <v>390</v>
      </c>
      <c r="C316" s="4">
        <v>48</v>
      </c>
      <c r="D316" s="4" t="s">
        <v>20</v>
      </c>
      <c r="E316" s="5">
        <v>0.83927127140527447</v>
      </c>
      <c r="F316" s="1">
        <v>1.142857142857143</v>
      </c>
      <c r="G316" s="5">
        <v>1.3937669641265285</v>
      </c>
      <c r="H316" s="5">
        <v>1.4413860117455761</v>
      </c>
    </row>
    <row r="317" spans="1:8">
      <c r="A317" s="4" t="s">
        <v>64</v>
      </c>
      <c r="B317" s="4" t="s">
        <v>400</v>
      </c>
      <c r="C317" s="4">
        <v>48</v>
      </c>
      <c r="D317" s="4" t="s">
        <v>10</v>
      </c>
      <c r="E317" s="5">
        <v>0.87699091503669013</v>
      </c>
      <c r="F317" s="1">
        <v>0.90150790855264284</v>
      </c>
      <c r="G317" s="5">
        <v>1.4413860117455761</v>
      </c>
      <c r="H317" s="5">
        <v>1.4789488412686029</v>
      </c>
    </row>
    <row r="318" spans="1:8">
      <c r="A318" s="4" t="s">
        <v>104</v>
      </c>
      <c r="B318" s="4" t="s">
        <v>391</v>
      </c>
      <c r="C318" s="4">
        <v>48</v>
      </c>
      <c r="D318" s="4" t="s">
        <v>20</v>
      </c>
      <c r="E318" s="5">
        <v>0.88176465764866074</v>
      </c>
      <c r="F318" s="1">
        <v>1.3789682539682542</v>
      </c>
      <c r="G318" s="5">
        <v>1.4789488412686029</v>
      </c>
      <c r="H318" s="5">
        <v>1.5364058518506136</v>
      </c>
    </row>
    <row r="319" spans="1:8">
      <c r="A319" s="4" t="s">
        <v>18</v>
      </c>
      <c r="B319" s="4" t="s">
        <v>389</v>
      </c>
      <c r="C319" s="4">
        <v>288</v>
      </c>
      <c r="D319" s="4" t="s">
        <v>14</v>
      </c>
      <c r="E319" s="5">
        <v>0.91089821672066118</v>
      </c>
      <c r="F319" s="1">
        <v>1.9523809523809526</v>
      </c>
      <c r="G319" s="5">
        <v>1.5364058518506136</v>
      </c>
      <c r="H319" s="5">
        <v>1.6177550581998199</v>
      </c>
    </row>
    <row r="320" spans="1:8">
      <c r="A320" s="4" t="s">
        <v>105</v>
      </c>
      <c r="B320" s="4" t="s">
        <v>395</v>
      </c>
      <c r="C320" s="4">
        <v>48</v>
      </c>
      <c r="D320" s="4" t="s">
        <v>20</v>
      </c>
      <c r="E320" s="5">
        <v>1.010465384005637</v>
      </c>
      <c r="F320" s="1">
        <v>0.34998334998335007</v>
      </c>
      <c r="G320" s="5">
        <v>1.6177550581998199</v>
      </c>
      <c r="H320" s="5">
        <v>1.6323376977824595</v>
      </c>
    </row>
    <row r="321" spans="1:8">
      <c r="A321" s="4" t="s">
        <v>18</v>
      </c>
      <c r="B321" s="4" t="s">
        <v>401</v>
      </c>
      <c r="C321" s="4">
        <v>288</v>
      </c>
      <c r="D321" s="4" t="s">
        <v>14</v>
      </c>
      <c r="E321" s="5">
        <v>1.0120886929111372</v>
      </c>
      <c r="F321" s="1">
        <v>1.9523809523809526</v>
      </c>
      <c r="G321" s="5">
        <v>1.6323376977824595</v>
      </c>
      <c r="H321" s="5">
        <v>1.7136869041316658</v>
      </c>
    </row>
    <row r="322" spans="1:8">
      <c r="A322" s="4" t="s">
        <v>98</v>
      </c>
      <c r="B322" s="4" t="s">
        <v>396</v>
      </c>
      <c r="C322" s="4">
        <v>96</v>
      </c>
      <c r="D322" s="4" t="s">
        <v>20</v>
      </c>
      <c r="E322" s="5">
        <v>1.0240235850638382</v>
      </c>
      <c r="F322" s="1">
        <v>0.49867724867724872</v>
      </c>
      <c r="G322" s="5">
        <v>1.7136869041316658</v>
      </c>
      <c r="H322" s="5">
        <v>1.7344651228265511</v>
      </c>
    </row>
    <row r="323" spans="1:8" s="14" customFormat="1" ht="9.75" customHeight="1">
      <c r="A323" s="9"/>
      <c r="B323" s="9"/>
      <c r="C323" s="9"/>
      <c r="D323" s="9"/>
      <c r="E323" s="12"/>
      <c r="F323" s="10"/>
      <c r="G323" s="11"/>
      <c r="H323" s="11"/>
    </row>
    <row r="324" spans="1:8">
      <c r="A324" s="4" t="s">
        <v>21</v>
      </c>
      <c r="B324" s="4" t="s">
        <v>387</v>
      </c>
      <c r="C324" s="4">
        <v>48</v>
      </c>
      <c r="D324" s="4" t="s">
        <v>14</v>
      </c>
      <c r="E324" s="7" t="s">
        <v>65</v>
      </c>
      <c r="F324" s="1">
        <v>0.84665545241210305</v>
      </c>
      <c r="G324" s="5">
        <v>0.75</v>
      </c>
      <c r="H324" s="5">
        <v>0.78527731051717098</v>
      </c>
    </row>
    <row r="325" spans="1:8">
      <c r="A325" s="4" t="s">
        <v>373</v>
      </c>
      <c r="B325" s="4" t="s">
        <v>388</v>
      </c>
      <c r="C325" s="4">
        <v>48</v>
      </c>
      <c r="D325" s="4" t="s">
        <v>14</v>
      </c>
      <c r="E325" s="7" t="s">
        <v>65</v>
      </c>
      <c r="F325" s="1">
        <v>0.66262704761904767</v>
      </c>
      <c r="G325" s="5">
        <v>0.78527731051717098</v>
      </c>
      <c r="H325" s="5">
        <v>0.81288677083463134</v>
      </c>
    </row>
    <row r="326" spans="1:8">
      <c r="A326" s="4" t="s">
        <v>116</v>
      </c>
      <c r="B326" s="4" t="s">
        <v>375</v>
      </c>
      <c r="C326" s="4">
        <v>24</v>
      </c>
      <c r="D326" s="4" t="s">
        <v>20</v>
      </c>
      <c r="E326" s="7" t="s">
        <v>65</v>
      </c>
      <c r="F326" s="1">
        <v>1.0952380952380953</v>
      </c>
      <c r="G326" s="5">
        <v>0.81288677083463134</v>
      </c>
      <c r="H326" s="5">
        <v>0.85852169146955193</v>
      </c>
    </row>
    <row r="327" spans="1:8">
      <c r="A327" s="4" t="s">
        <v>34</v>
      </c>
      <c r="B327" s="4" t="s">
        <v>398</v>
      </c>
      <c r="C327" s="4">
        <v>60</v>
      </c>
      <c r="D327" s="4" t="s">
        <v>10</v>
      </c>
      <c r="E327" s="7" t="s">
        <v>65</v>
      </c>
      <c r="F327" s="1">
        <v>0.50964187327823696</v>
      </c>
      <c r="G327" s="5">
        <v>0.85852169146955193</v>
      </c>
      <c r="H327" s="5">
        <v>0.87975676952281179</v>
      </c>
    </row>
    <row r="328" spans="1:8">
      <c r="A328" s="4" t="s">
        <v>79</v>
      </c>
      <c r="B328" s="4" t="s">
        <v>390</v>
      </c>
      <c r="C328" s="4">
        <v>48</v>
      </c>
      <c r="D328" s="4" t="s">
        <v>20</v>
      </c>
      <c r="E328" s="7" t="s">
        <v>65</v>
      </c>
      <c r="F328" s="1">
        <v>1.142857142857143</v>
      </c>
      <c r="G328" s="5">
        <v>0.87975676952281179</v>
      </c>
      <c r="H328" s="5">
        <v>0.92737581714185946</v>
      </c>
    </row>
    <row r="329" spans="1:8">
      <c r="A329" s="4" t="s">
        <v>104</v>
      </c>
      <c r="B329" s="4" t="s">
        <v>391</v>
      </c>
      <c r="C329" s="4">
        <v>48</v>
      </c>
      <c r="D329" s="4" t="s">
        <v>20</v>
      </c>
      <c r="E329" s="7" t="s">
        <v>65</v>
      </c>
      <c r="F329" s="1">
        <v>1.3789682539682542</v>
      </c>
      <c r="G329" s="5">
        <v>0.92737581714185946</v>
      </c>
      <c r="H329" s="5">
        <v>0.98483282772387004</v>
      </c>
    </row>
    <row r="330" spans="1:8">
      <c r="A330" s="4" t="s">
        <v>18</v>
      </c>
      <c r="B330" s="4" t="s">
        <v>389</v>
      </c>
      <c r="C330" s="4">
        <v>288</v>
      </c>
      <c r="D330" s="4" t="s">
        <v>14</v>
      </c>
      <c r="E330" s="7" t="s">
        <v>65</v>
      </c>
      <c r="F330" s="1">
        <v>1.9523809523809526</v>
      </c>
      <c r="G330" s="5">
        <v>0.98483282772387004</v>
      </c>
      <c r="H330" s="5">
        <v>1.0661820340730763</v>
      </c>
    </row>
    <row r="331" spans="1:8">
      <c r="A331" s="4" t="s">
        <v>105</v>
      </c>
      <c r="B331" s="4" t="s">
        <v>395</v>
      </c>
      <c r="C331" s="4">
        <v>48</v>
      </c>
      <c r="D331" s="4" t="s">
        <v>20</v>
      </c>
      <c r="E331" s="7" t="s">
        <v>65</v>
      </c>
      <c r="F331" s="1">
        <v>0.34998334998335007</v>
      </c>
      <c r="G331" s="5">
        <v>1.0661820340730763</v>
      </c>
      <c r="H331" s="5">
        <v>1.0807646736557159</v>
      </c>
    </row>
    <row r="332" spans="1:8">
      <c r="A332" s="4" t="s">
        <v>18</v>
      </c>
      <c r="B332" s="4" t="s">
        <v>401</v>
      </c>
      <c r="C332" s="4">
        <v>288</v>
      </c>
      <c r="D332" s="4" t="s">
        <v>14</v>
      </c>
      <c r="E332" s="7" t="s">
        <v>65</v>
      </c>
      <c r="F332" s="1">
        <v>1.9523809523809526</v>
      </c>
      <c r="G332" s="5">
        <v>1.0807646736557159</v>
      </c>
      <c r="H332" s="5">
        <v>1.1621138800049222</v>
      </c>
    </row>
    <row r="333" spans="1:8">
      <c r="A333" s="4" t="s">
        <v>98</v>
      </c>
      <c r="B333" s="4" t="s">
        <v>396</v>
      </c>
      <c r="C333" s="4">
        <v>96</v>
      </c>
      <c r="D333" s="4" t="s">
        <v>20</v>
      </c>
      <c r="E333" s="7" t="s">
        <v>65</v>
      </c>
      <c r="F333" s="1">
        <v>0.49867724867724872</v>
      </c>
      <c r="G333" s="5">
        <v>1.1621138800049222</v>
      </c>
      <c r="H333" s="5">
        <v>1.1828920986998075</v>
      </c>
    </row>
    <row r="334" spans="1:8">
      <c r="A334" s="4" t="s">
        <v>127</v>
      </c>
      <c r="B334" s="4" t="s">
        <v>370</v>
      </c>
      <c r="C334" s="4">
        <v>192</v>
      </c>
      <c r="D334" s="5" t="s">
        <v>20</v>
      </c>
      <c r="E334" s="7" t="s">
        <v>65</v>
      </c>
      <c r="F334" s="1">
        <v>4.7523809523809533</v>
      </c>
      <c r="G334" s="5">
        <v>1.1828920986998075</v>
      </c>
      <c r="H334" s="5">
        <v>1.3809079717156805</v>
      </c>
    </row>
    <row r="335" spans="1:8" s="14" customFormat="1" ht="9.75" customHeight="1">
      <c r="A335" s="9"/>
      <c r="B335" s="9"/>
      <c r="C335" s="9"/>
      <c r="D335" s="9"/>
      <c r="E335" s="12"/>
      <c r="F335" s="10"/>
      <c r="G335" s="11"/>
      <c r="H335" s="11"/>
    </row>
    <row r="336" spans="1:8">
      <c r="A336" s="4" t="s">
        <v>204</v>
      </c>
      <c r="B336" s="4" t="s">
        <v>417</v>
      </c>
      <c r="C336" s="4">
        <v>24</v>
      </c>
      <c r="D336" s="4" t="s">
        <v>20</v>
      </c>
      <c r="E336" s="19">
        <v>0.767526455026455</v>
      </c>
      <c r="F336" s="1">
        <v>1.3929333333333334</v>
      </c>
      <c r="G336" s="5">
        <v>0.75</v>
      </c>
      <c r="H336" s="5">
        <v>0.80803888888888886</v>
      </c>
    </row>
    <row r="337" spans="1:8">
      <c r="A337" s="4" t="s">
        <v>21</v>
      </c>
      <c r="B337" s="4" t="s">
        <v>424</v>
      </c>
      <c r="C337" s="4">
        <v>48</v>
      </c>
      <c r="D337" s="4" t="s">
        <v>14</v>
      </c>
      <c r="E337" s="19">
        <v>0.78142500640320089</v>
      </c>
      <c r="F337" s="1">
        <v>0.84665545241210305</v>
      </c>
      <c r="G337" s="5">
        <v>0.80803888888888886</v>
      </c>
      <c r="H337" s="5">
        <v>0.84331619940605984</v>
      </c>
    </row>
    <row r="338" spans="1:8">
      <c r="A338" s="4" t="s">
        <v>373</v>
      </c>
      <c r="B338" s="4" t="s">
        <v>425</v>
      </c>
      <c r="C338" s="4">
        <v>48</v>
      </c>
      <c r="D338" s="4" t="s">
        <v>14</v>
      </c>
      <c r="E338" s="19">
        <v>0.80970774053018502</v>
      </c>
      <c r="F338" s="1">
        <v>0.66262704761904767</v>
      </c>
      <c r="G338" s="5">
        <v>0.84331619940605984</v>
      </c>
      <c r="H338" s="5">
        <v>0.87092565972352021</v>
      </c>
    </row>
    <row r="339" spans="1:8">
      <c r="A339" s="4" t="s">
        <v>44</v>
      </c>
      <c r="B339" s="4" t="s">
        <v>421</v>
      </c>
      <c r="C339" s="4">
        <v>60</v>
      </c>
      <c r="D339" s="4" t="s">
        <v>10</v>
      </c>
      <c r="E339" s="19">
        <v>0.82619213581683315</v>
      </c>
      <c r="F339" s="1">
        <v>2.2697923545381169</v>
      </c>
      <c r="G339" s="5">
        <v>0.87092565972352021</v>
      </c>
      <c r="H339" s="5">
        <v>0.96550034116260841</v>
      </c>
    </row>
    <row r="340" spans="1:8">
      <c r="A340" s="4" t="s">
        <v>18</v>
      </c>
      <c r="B340" s="4" t="s">
        <v>426</v>
      </c>
      <c r="C340" s="4">
        <v>288</v>
      </c>
      <c r="D340" s="4" t="s">
        <v>14</v>
      </c>
      <c r="E340" s="19">
        <v>0.91089821672066118</v>
      </c>
      <c r="F340" s="1">
        <v>3.26979235453812</v>
      </c>
      <c r="G340" s="5">
        <v>0.96550034116260841</v>
      </c>
      <c r="H340" s="5">
        <v>1.1017416892683634</v>
      </c>
    </row>
    <row r="341" spans="1:8">
      <c r="A341" s="4" t="s">
        <v>72</v>
      </c>
      <c r="B341" s="4" t="s">
        <v>433</v>
      </c>
      <c r="C341" s="4">
        <v>60</v>
      </c>
      <c r="D341" s="4" t="s">
        <v>10</v>
      </c>
      <c r="E341" s="19">
        <v>0.91822524387104565</v>
      </c>
      <c r="F341" s="1">
        <v>4.2697923545381196</v>
      </c>
      <c r="G341" s="5">
        <v>1.1017416892683634</v>
      </c>
      <c r="H341" s="5">
        <v>1.279649704040785</v>
      </c>
    </row>
    <row r="342" spans="1:8">
      <c r="A342" s="4" t="s">
        <v>41</v>
      </c>
      <c r="B342" s="4" t="s">
        <v>431</v>
      </c>
      <c r="C342" s="4">
        <v>240</v>
      </c>
      <c r="D342" s="4" t="s">
        <v>20</v>
      </c>
      <c r="E342" s="19">
        <v>45601.986491402116</v>
      </c>
      <c r="F342" s="1">
        <v>5.2697923545381196</v>
      </c>
      <c r="G342" s="5">
        <v>1.279649704040785</v>
      </c>
      <c r="H342" s="5">
        <v>1.4992243854798732</v>
      </c>
    </row>
    <row r="343" spans="1:8" s="14" customFormat="1" ht="9.75" customHeight="1">
      <c r="A343" s="9"/>
      <c r="B343" s="9"/>
      <c r="C343" s="9"/>
      <c r="D343" s="9"/>
      <c r="E343" s="12"/>
      <c r="F343" s="10"/>
      <c r="G343" s="11"/>
      <c r="H343" s="11"/>
    </row>
    <row r="344" spans="1:8">
      <c r="A344" s="4" t="s">
        <v>373</v>
      </c>
      <c r="B344" s="4" t="s">
        <v>425</v>
      </c>
      <c r="C344" s="4">
        <v>48</v>
      </c>
      <c r="D344" s="4" t="s">
        <v>14</v>
      </c>
      <c r="E344" s="18" t="s">
        <v>65</v>
      </c>
      <c r="F344" s="1">
        <v>0.66262704761904767</v>
      </c>
      <c r="G344" s="5">
        <v>0.75</v>
      </c>
      <c r="H344" s="5">
        <v>0.77760946031746037</v>
      </c>
    </row>
    <row r="345" spans="1:8">
      <c r="A345" s="4" t="s">
        <v>72</v>
      </c>
      <c r="B345" s="4" t="s">
        <v>433</v>
      </c>
      <c r="C345" s="4">
        <v>60</v>
      </c>
      <c r="D345" s="4" t="s">
        <v>10</v>
      </c>
      <c r="E345" s="18" t="s">
        <v>65</v>
      </c>
      <c r="F345" s="1">
        <v>1.1620117710005353</v>
      </c>
      <c r="G345" s="5">
        <v>0.77760946031746037</v>
      </c>
      <c r="H345" s="5">
        <v>0.82602661744248262</v>
      </c>
    </row>
    <row r="346" spans="1:8">
      <c r="A346" s="4" t="s">
        <v>18</v>
      </c>
      <c r="B346" s="4" t="s">
        <v>426</v>
      </c>
      <c r="C346" s="4">
        <v>288</v>
      </c>
      <c r="D346" s="4" t="s">
        <v>14</v>
      </c>
      <c r="E346" s="18" t="s">
        <v>65</v>
      </c>
      <c r="F346" s="1">
        <v>1.9523809523809526</v>
      </c>
      <c r="G346" s="5">
        <v>0.82602661744248262</v>
      </c>
      <c r="H346" s="5">
        <v>0.90737582379168902</v>
      </c>
    </row>
    <row r="347" spans="1:8">
      <c r="A347" s="4" t="s">
        <v>46</v>
      </c>
      <c r="B347" s="4" t="s">
        <v>450</v>
      </c>
      <c r="C347" s="4">
        <v>448</v>
      </c>
      <c r="D347" s="4" t="s">
        <v>14</v>
      </c>
      <c r="E347" s="18" t="s">
        <v>65</v>
      </c>
      <c r="F347" s="1">
        <v>0.27538584713378622</v>
      </c>
      <c r="G347" s="5">
        <v>0.90737582379168902</v>
      </c>
      <c r="H347" s="5">
        <v>0.91885023408893007</v>
      </c>
    </row>
    <row r="348" spans="1:8">
      <c r="A348" s="4" t="s">
        <v>45</v>
      </c>
      <c r="B348" s="4" t="s">
        <v>451</v>
      </c>
      <c r="C348" s="4">
        <v>48</v>
      </c>
      <c r="D348" s="4" t="s">
        <v>20</v>
      </c>
      <c r="E348" s="18" t="s">
        <v>65</v>
      </c>
      <c r="F348" s="1">
        <v>0.54578754578754574</v>
      </c>
      <c r="G348" s="5">
        <v>0.91885023408893007</v>
      </c>
      <c r="H348" s="5">
        <v>0.94159138183007784</v>
      </c>
    </row>
    <row r="349" spans="1:8">
      <c r="A349" s="4" t="s">
        <v>60</v>
      </c>
      <c r="B349" s="4" t="s">
        <v>452</v>
      </c>
      <c r="C349" s="4">
        <v>48</v>
      </c>
      <c r="D349" s="4" t="s">
        <v>20</v>
      </c>
      <c r="E349" s="18" t="s">
        <v>65</v>
      </c>
      <c r="F349" s="1">
        <v>0.97619047619047628</v>
      </c>
      <c r="G349" s="5">
        <v>0.94159138183007784</v>
      </c>
      <c r="H349" s="5">
        <v>0.98226598500468099</v>
      </c>
    </row>
    <row r="350" spans="1:8">
      <c r="A350" s="4" t="s">
        <v>453</v>
      </c>
      <c r="B350" s="4" t="s">
        <v>454</v>
      </c>
      <c r="C350" s="4">
        <v>48</v>
      </c>
      <c r="D350" s="4" t="s">
        <v>14</v>
      </c>
      <c r="E350" s="18" t="s">
        <v>65</v>
      </c>
      <c r="F350" s="1">
        <v>0.80952380952380953</v>
      </c>
      <c r="G350" s="5">
        <v>0.98226598500468099</v>
      </c>
      <c r="H350" s="5">
        <v>1.0159961437348397</v>
      </c>
    </row>
    <row r="351" spans="1:8">
      <c r="A351" s="4" t="s">
        <v>102</v>
      </c>
      <c r="B351" s="4" t="s">
        <v>439</v>
      </c>
      <c r="C351" s="4">
        <v>12</v>
      </c>
      <c r="D351" s="4" t="s">
        <v>20</v>
      </c>
      <c r="E351" s="18">
        <v>0.76091269841269837</v>
      </c>
      <c r="F351" s="1">
        <v>0.23812380952380954</v>
      </c>
      <c r="G351" s="5">
        <v>1.0159961437348397</v>
      </c>
      <c r="H351" s="5">
        <v>1.0259179691316651</v>
      </c>
    </row>
    <row r="352" spans="1:8">
      <c r="A352" s="4" t="s">
        <v>21</v>
      </c>
      <c r="B352" s="4" t="s">
        <v>434</v>
      </c>
      <c r="C352" s="4">
        <v>48</v>
      </c>
      <c r="D352" s="4" t="s">
        <v>14</v>
      </c>
      <c r="E352" s="18">
        <v>0.78142500640320089</v>
      </c>
      <c r="F352" s="1">
        <v>0.84665545241210305</v>
      </c>
      <c r="G352" s="5">
        <v>1.0259179691316651</v>
      </c>
      <c r="H352" s="5">
        <v>1.061195279648836</v>
      </c>
    </row>
    <row r="353" spans="1:8">
      <c r="A353" s="4" t="s">
        <v>373</v>
      </c>
      <c r="B353" s="4" t="s">
        <v>435</v>
      </c>
      <c r="C353" s="4">
        <v>48</v>
      </c>
      <c r="D353" s="4" t="s">
        <v>14</v>
      </c>
      <c r="E353" s="18">
        <v>0.80970774053018502</v>
      </c>
      <c r="F353" s="1">
        <v>0.66262704761904767</v>
      </c>
      <c r="G353" s="5">
        <v>1.061195279648836</v>
      </c>
      <c r="H353" s="5">
        <v>1.0888047399662963</v>
      </c>
    </row>
    <row r="354" spans="1:8">
      <c r="A354" s="4" t="s">
        <v>44</v>
      </c>
      <c r="B354" s="4" t="s">
        <v>444</v>
      </c>
      <c r="C354" s="4">
        <v>60</v>
      </c>
      <c r="D354" s="4" t="s">
        <v>10</v>
      </c>
      <c r="E354" s="18">
        <v>0.82619213581683315</v>
      </c>
      <c r="F354" s="1">
        <v>2.2697923545381169</v>
      </c>
      <c r="G354" s="5">
        <v>1.0888047399662963</v>
      </c>
      <c r="H354" s="5">
        <v>1.1833794214053845</v>
      </c>
    </row>
    <row r="355" spans="1:8">
      <c r="A355" s="4" t="s">
        <v>18</v>
      </c>
      <c r="B355" s="4" t="s">
        <v>438</v>
      </c>
      <c r="C355" s="4">
        <v>288</v>
      </c>
      <c r="D355" s="4" t="s">
        <v>14</v>
      </c>
      <c r="E355" s="18">
        <v>0.91089821672066118</v>
      </c>
      <c r="F355" s="1">
        <v>1.9523809523809526</v>
      </c>
      <c r="G355" s="5">
        <v>1.1833794214053845</v>
      </c>
      <c r="H355" s="5">
        <v>1.2647286277545908</v>
      </c>
    </row>
    <row r="356" spans="1:8">
      <c r="A356" s="4" t="s">
        <v>64</v>
      </c>
      <c r="B356" s="4" t="s">
        <v>448</v>
      </c>
      <c r="C356" s="4">
        <v>48</v>
      </c>
      <c r="D356" s="4" t="s">
        <v>10</v>
      </c>
      <c r="E356" s="18">
        <v>45603.009804400892</v>
      </c>
      <c r="F356" s="1">
        <v>0.90150790855264284</v>
      </c>
      <c r="G356" s="5">
        <v>1.2647286277545908</v>
      </c>
      <c r="H356" s="5">
        <v>1.3022914572776176</v>
      </c>
    </row>
    <row r="357" spans="1:8">
      <c r="A357" s="4" t="s">
        <v>31</v>
      </c>
      <c r="B357" s="4" t="s">
        <v>441</v>
      </c>
      <c r="C357" s="4">
        <v>400</v>
      </c>
      <c r="D357" s="4" t="s">
        <v>20</v>
      </c>
      <c r="E357" s="18">
        <v>45603.048981791078</v>
      </c>
      <c r="F357" s="1">
        <v>1.4340873989279523</v>
      </c>
      <c r="G357" s="5">
        <v>1.3022914572776176</v>
      </c>
      <c r="H357" s="5">
        <v>1.3620450988996156</v>
      </c>
    </row>
    <row r="358" spans="1:8" s="14" customFormat="1" ht="9.75" customHeight="1">
      <c r="A358" s="9"/>
      <c r="B358" s="9"/>
      <c r="C358" s="9"/>
      <c r="D358" s="9"/>
      <c r="E358" s="12"/>
      <c r="F358" s="10"/>
      <c r="G358" s="11"/>
      <c r="H358" s="11"/>
    </row>
    <row r="359" spans="1:8">
      <c r="A359" s="4" t="s">
        <v>21</v>
      </c>
      <c r="B359" s="4" t="s">
        <v>434</v>
      </c>
      <c r="C359" s="4">
        <v>48</v>
      </c>
      <c r="D359" s="4" t="s">
        <v>14</v>
      </c>
      <c r="E359" s="17" t="s">
        <v>65</v>
      </c>
      <c r="F359" s="1">
        <v>0.84665545241210305</v>
      </c>
      <c r="G359" s="5">
        <v>0.75</v>
      </c>
      <c r="H359" s="5">
        <f>G359+F359/24</f>
        <v>0.78527731051717098</v>
      </c>
    </row>
    <row r="360" spans="1:8">
      <c r="A360" s="4" t="s">
        <v>373</v>
      </c>
      <c r="B360" s="4" t="s">
        <v>435</v>
      </c>
      <c r="C360" s="4">
        <v>48</v>
      </c>
      <c r="D360" s="4" t="s">
        <v>14</v>
      </c>
      <c r="E360" s="17" t="s">
        <v>65</v>
      </c>
      <c r="F360" s="1">
        <v>0.66262704761904767</v>
      </c>
      <c r="G360" s="5">
        <f>H359</f>
        <v>0.78527731051717098</v>
      </c>
      <c r="H360" s="5">
        <f>G360+F360/24</f>
        <v>0.81288677083463134</v>
      </c>
    </row>
    <row r="361" spans="1:8">
      <c r="A361" s="4" t="s">
        <v>31</v>
      </c>
      <c r="B361" s="4" t="s">
        <v>441</v>
      </c>
      <c r="C361" s="4">
        <v>400</v>
      </c>
      <c r="D361" s="4" t="s">
        <v>20</v>
      </c>
      <c r="E361" s="17" t="s">
        <v>65</v>
      </c>
      <c r="F361" s="1">
        <v>1.4340873989279523</v>
      </c>
      <c r="G361" s="5">
        <f>H360</f>
        <v>0.81288677083463134</v>
      </c>
      <c r="H361" s="5">
        <f t="shared" ref="H361:H375" si="0">G361+F361/24</f>
        <v>0.87264041245662938</v>
      </c>
    </row>
    <row r="362" spans="1:8">
      <c r="A362" s="4" t="s">
        <v>373</v>
      </c>
      <c r="B362" s="4" t="s">
        <v>475</v>
      </c>
      <c r="C362" s="4">
        <v>48</v>
      </c>
      <c r="D362" s="4" t="s">
        <v>14</v>
      </c>
      <c r="E362" s="17" t="s">
        <v>65</v>
      </c>
      <c r="F362" s="1">
        <v>0.66262704761904767</v>
      </c>
      <c r="G362" s="5">
        <f t="shared" ref="G362:G375" si="1">H361</f>
        <v>0.87264041245662938</v>
      </c>
      <c r="H362" s="5">
        <f t="shared" si="0"/>
        <v>0.90024987277408974</v>
      </c>
    </row>
    <row r="363" spans="1:8">
      <c r="A363" s="4" t="s">
        <v>105</v>
      </c>
      <c r="B363" s="4" t="s">
        <v>476</v>
      </c>
      <c r="C363" s="4">
        <v>48</v>
      </c>
      <c r="D363" s="4" t="s">
        <v>20</v>
      </c>
      <c r="E363" s="17" t="s">
        <v>65</v>
      </c>
      <c r="F363" s="1">
        <v>0.34998334998335007</v>
      </c>
      <c r="G363" s="5">
        <f t="shared" si="1"/>
        <v>0.90024987277408974</v>
      </c>
      <c r="H363" s="5">
        <f t="shared" si="0"/>
        <v>0.91483251235672935</v>
      </c>
    </row>
    <row r="364" spans="1:8">
      <c r="A364" s="4" t="s">
        <v>98</v>
      </c>
      <c r="B364" s="4" t="s">
        <v>455</v>
      </c>
      <c r="C364" s="4">
        <v>96</v>
      </c>
      <c r="D364" s="5" t="s">
        <v>20</v>
      </c>
      <c r="E364" s="19">
        <f t="shared" ref="E364:E375" si="2">_xlfn.XLOOKUP(B364,B:B,I:I)</f>
        <v>0</v>
      </c>
      <c r="F364" s="1">
        <v>0.49867724867724872</v>
      </c>
      <c r="G364" s="5">
        <f t="shared" si="1"/>
        <v>0.91483251235672935</v>
      </c>
      <c r="H364" s="5">
        <f t="shared" si="0"/>
        <v>0.93561073105161474</v>
      </c>
    </row>
    <row r="365" spans="1:8">
      <c r="A365" s="4" t="s">
        <v>84</v>
      </c>
      <c r="B365" s="4" t="s">
        <v>456</v>
      </c>
      <c r="C365" s="4">
        <v>48</v>
      </c>
      <c r="D365" s="5" t="s">
        <v>10</v>
      </c>
      <c r="E365" s="19">
        <f t="shared" si="2"/>
        <v>0</v>
      </c>
      <c r="F365" s="1">
        <v>0.23817142857142859</v>
      </c>
      <c r="G365" s="5">
        <f t="shared" si="1"/>
        <v>0.93561073105161474</v>
      </c>
      <c r="H365" s="5">
        <f t="shared" si="0"/>
        <v>0.9455345405754243</v>
      </c>
    </row>
    <row r="366" spans="1:8">
      <c r="A366" s="4" t="s">
        <v>214</v>
      </c>
      <c r="B366" s="4" t="s">
        <v>457</v>
      </c>
      <c r="C366" s="4">
        <v>48</v>
      </c>
      <c r="D366" s="5" t="s">
        <v>14</v>
      </c>
      <c r="E366" s="19">
        <f t="shared" si="2"/>
        <v>0</v>
      </c>
      <c r="F366" s="1">
        <v>0.80952380952380953</v>
      </c>
      <c r="G366" s="5">
        <f t="shared" si="1"/>
        <v>0.9455345405754243</v>
      </c>
      <c r="H366" s="5">
        <f t="shared" si="0"/>
        <v>0.97926469930558302</v>
      </c>
    </row>
    <row r="367" spans="1:8">
      <c r="A367" s="4" t="s">
        <v>21</v>
      </c>
      <c r="B367" s="4" t="s">
        <v>458</v>
      </c>
      <c r="C367" s="4">
        <v>48</v>
      </c>
      <c r="D367" s="5" t="s">
        <v>14</v>
      </c>
      <c r="E367" s="19">
        <f t="shared" si="2"/>
        <v>0</v>
      </c>
      <c r="F367" s="1">
        <v>0.84665545241210305</v>
      </c>
      <c r="G367" s="5">
        <f t="shared" si="1"/>
        <v>0.97926469930558302</v>
      </c>
      <c r="H367" s="5">
        <f t="shared" si="0"/>
        <v>1.014542009822754</v>
      </c>
    </row>
    <row r="368" spans="1:8">
      <c r="A368" s="4" t="s">
        <v>44</v>
      </c>
      <c r="B368" s="4" t="s">
        <v>470</v>
      </c>
      <c r="C368" s="4">
        <v>60</v>
      </c>
      <c r="D368" s="5" t="s">
        <v>10</v>
      </c>
      <c r="E368" s="19">
        <f t="shared" si="2"/>
        <v>0</v>
      </c>
      <c r="F368" s="1">
        <v>2.2697923545381169</v>
      </c>
      <c r="G368" s="5">
        <f t="shared" si="1"/>
        <v>1.014542009822754</v>
      </c>
      <c r="H368" s="5">
        <f t="shared" si="0"/>
        <v>1.1091166912618422</v>
      </c>
    </row>
    <row r="369" spans="1:8">
      <c r="A369" s="4" t="s">
        <v>34</v>
      </c>
      <c r="B369" s="4" t="s">
        <v>471</v>
      </c>
      <c r="C369" s="4">
        <v>60</v>
      </c>
      <c r="D369" s="5" t="s">
        <v>10</v>
      </c>
      <c r="E369" s="19">
        <f t="shared" si="2"/>
        <v>0</v>
      </c>
      <c r="F369" s="1">
        <v>0.50964187327823696</v>
      </c>
      <c r="G369" s="5">
        <f t="shared" si="1"/>
        <v>1.1091166912618422</v>
      </c>
      <c r="H369" s="5">
        <f t="shared" si="0"/>
        <v>1.1303517693151022</v>
      </c>
    </row>
    <row r="370" spans="1:8">
      <c r="A370" s="4" t="s">
        <v>18</v>
      </c>
      <c r="B370" s="4" t="s">
        <v>459</v>
      </c>
      <c r="C370" s="4">
        <v>288</v>
      </c>
      <c r="D370" s="5" t="s">
        <v>14</v>
      </c>
      <c r="E370" s="19">
        <f t="shared" si="2"/>
        <v>0</v>
      </c>
      <c r="F370" s="1">
        <v>1.9523809523809526</v>
      </c>
      <c r="G370" s="5">
        <f t="shared" si="1"/>
        <v>1.1303517693151022</v>
      </c>
      <c r="H370" s="5">
        <f t="shared" si="0"/>
        <v>1.2117009756643085</v>
      </c>
    </row>
    <row r="371" spans="1:8">
      <c r="A371" s="4" t="s">
        <v>74</v>
      </c>
      <c r="B371" s="4" t="s">
        <v>473</v>
      </c>
      <c r="C371" s="4">
        <v>60</v>
      </c>
      <c r="D371" s="5" t="s">
        <v>10</v>
      </c>
      <c r="E371" s="19">
        <f t="shared" si="2"/>
        <v>0</v>
      </c>
      <c r="F371" s="1">
        <v>0.43721877465719833</v>
      </c>
      <c r="G371" s="5">
        <f t="shared" si="1"/>
        <v>1.2117009756643085</v>
      </c>
      <c r="H371" s="5">
        <f t="shared" si="0"/>
        <v>1.2299184246083583</v>
      </c>
    </row>
    <row r="372" spans="1:8">
      <c r="A372" s="4" t="s">
        <v>86</v>
      </c>
      <c r="B372" s="4" t="s">
        <v>465</v>
      </c>
      <c r="C372" s="4">
        <v>24</v>
      </c>
      <c r="D372" s="5" t="s">
        <v>20</v>
      </c>
      <c r="E372" s="19">
        <f t="shared" si="2"/>
        <v>0</v>
      </c>
      <c r="F372" s="1">
        <v>1.5936199722607525</v>
      </c>
      <c r="G372" s="5">
        <f t="shared" si="1"/>
        <v>1.2299184246083583</v>
      </c>
      <c r="H372" s="5">
        <f t="shared" si="0"/>
        <v>1.2963192567858897</v>
      </c>
    </row>
    <row r="373" spans="1:8">
      <c r="A373" s="4" t="s">
        <v>43</v>
      </c>
      <c r="B373" s="4" t="s">
        <v>467</v>
      </c>
      <c r="C373" s="4">
        <v>208</v>
      </c>
      <c r="D373" s="5" t="s">
        <v>20</v>
      </c>
      <c r="E373" s="19">
        <f t="shared" si="2"/>
        <v>0</v>
      </c>
      <c r="F373" s="1">
        <v>0.69786706349206351</v>
      </c>
      <c r="G373" s="5">
        <f t="shared" si="1"/>
        <v>1.2963192567858897</v>
      </c>
      <c r="H373" s="5">
        <f t="shared" si="0"/>
        <v>1.3253970510980591</v>
      </c>
    </row>
    <row r="374" spans="1:8">
      <c r="A374" s="4" t="s">
        <v>72</v>
      </c>
      <c r="B374" s="4" t="s">
        <v>474</v>
      </c>
      <c r="C374" s="4">
        <v>60</v>
      </c>
      <c r="D374" s="5" t="s">
        <v>10</v>
      </c>
      <c r="E374" s="19">
        <f t="shared" si="2"/>
        <v>0</v>
      </c>
      <c r="F374" s="1">
        <v>1.1620117710005353</v>
      </c>
      <c r="G374" s="5">
        <f t="shared" si="1"/>
        <v>1.3253970510980591</v>
      </c>
      <c r="H374" s="5">
        <f t="shared" si="0"/>
        <v>1.3738142082230813</v>
      </c>
    </row>
    <row r="375" spans="1:8">
      <c r="A375" s="4" t="s">
        <v>43</v>
      </c>
      <c r="B375" s="4" t="s">
        <v>468</v>
      </c>
      <c r="C375" s="4">
        <v>208</v>
      </c>
      <c r="D375" s="5" t="s">
        <v>20</v>
      </c>
      <c r="E375" s="19">
        <f t="shared" si="2"/>
        <v>0</v>
      </c>
      <c r="F375" s="1">
        <v>0.69786706349206351</v>
      </c>
      <c r="G375" s="5">
        <f t="shared" si="1"/>
        <v>1.3738142082230813</v>
      </c>
      <c r="H375" s="5">
        <f t="shared" si="0"/>
        <v>1.4028920025352507</v>
      </c>
    </row>
  </sheetData>
  <phoneticPr fontId="2"/>
  <conditionalFormatting sqref="B276:B288">
    <cfRule type="duplicateValues" dxfId="1" priority="2"/>
  </conditionalFormatting>
  <conditionalFormatting sqref="B290:B29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9C04-B3A0-4E7E-9DD2-31C1348F1870}">
  <sheetPr>
    <pageSetUpPr fitToPage="1"/>
  </sheetPr>
  <dimension ref="B2:L98"/>
  <sheetViews>
    <sheetView topLeftCell="A58" zoomScale="85" zoomScaleNormal="85" workbookViewId="0">
      <selection activeCell="A58" sqref="A1:XFD1048576"/>
    </sheetView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0" customWidth="1"/>
    <col min="7" max="7" width="9" style="2"/>
    <col min="8" max="8" width="13" style="2" bestFit="1" customWidth="1"/>
    <col min="9" max="9" width="20.625" bestFit="1" customWidth="1"/>
    <col min="10" max="10" width="20.625" customWidth="1"/>
    <col min="11" max="12" width="14.5" customWidth="1"/>
  </cols>
  <sheetData>
    <row r="2" spans="2:12">
      <c r="H2" s="16"/>
      <c r="I2" t="s">
        <v>129</v>
      </c>
    </row>
    <row r="4" spans="2:12">
      <c r="I4" s="3"/>
      <c r="J4" s="3"/>
      <c r="K4" s="3"/>
      <c r="L4" s="3"/>
    </row>
    <row r="5" spans="2:12">
      <c r="B5" s="4" t="s">
        <v>0</v>
      </c>
      <c r="C5" s="4" t="s">
        <v>1</v>
      </c>
      <c r="D5" s="4" t="s">
        <v>2</v>
      </c>
      <c r="E5" s="4" t="s">
        <v>3</v>
      </c>
      <c r="F5" s="7" t="s">
        <v>17</v>
      </c>
      <c r="G5" s="1" t="s">
        <v>5</v>
      </c>
      <c r="H5" s="1" t="s">
        <v>6</v>
      </c>
      <c r="I5" s="4" t="s">
        <v>7</v>
      </c>
      <c r="J5" s="4" t="s">
        <v>8</v>
      </c>
    </row>
    <row r="6" spans="2:12">
      <c r="B6" s="4"/>
      <c r="C6" s="4"/>
      <c r="D6" s="4"/>
      <c r="E6" s="4"/>
      <c r="F6" s="7"/>
      <c r="G6" s="1"/>
      <c r="H6" s="1"/>
      <c r="I6" s="5">
        <v>0.75</v>
      </c>
      <c r="J6" s="5">
        <f t="shared" ref="J6:J18" si="0">I6+G6/24</f>
        <v>0.75</v>
      </c>
      <c r="K6" s="3"/>
      <c r="L6" s="3"/>
    </row>
    <row r="7" spans="2:12">
      <c r="B7" s="4"/>
      <c r="C7" s="4"/>
      <c r="D7" s="4"/>
      <c r="E7" s="4"/>
      <c r="F7" s="7"/>
      <c r="G7" s="1"/>
      <c r="H7" s="1"/>
      <c r="I7" s="5">
        <f t="shared" ref="I7:I18" si="1">J6</f>
        <v>0.75</v>
      </c>
      <c r="J7" s="5">
        <f t="shared" si="0"/>
        <v>0.75</v>
      </c>
      <c r="K7" s="3"/>
      <c r="L7" s="3"/>
    </row>
    <row r="8" spans="2:12">
      <c r="B8" s="4"/>
      <c r="C8" s="4"/>
      <c r="D8" s="4"/>
      <c r="E8" s="4"/>
      <c r="F8" s="7"/>
      <c r="G8" s="1"/>
      <c r="H8" s="1"/>
      <c r="I8" s="5">
        <f t="shared" si="1"/>
        <v>0.75</v>
      </c>
      <c r="J8" s="5">
        <f t="shared" si="0"/>
        <v>0.75</v>
      </c>
      <c r="K8" s="3"/>
      <c r="L8" s="3"/>
    </row>
    <row r="9" spans="2:12">
      <c r="B9" s="4"/>
      <c r="C9" s="4"/>
      <c r="D9" s="4"/>
      <c r="E9" s="4"/>
      <c r="F9" s="7"/>
      <c r="G9" s="1"/>
      <c r="H9" s="1"/>
      <c r="I9" s="5">
        <f t="shared" si="1"/>
        <v>0.75</v>
      </c>
      <c r="J9" s="5">
        <f t="shared" si="0"/>
        <v>0.75</v>
      </c>
      <c r="K9" s="3"/>
      <c r="L9" s="3"/>
    </row>
    <row r="10" spans="2:12">
      <c r="B10" s="4"/>
      <c r="C10" s="4"/>
      <c r="D10" s="4"/>
      <c r="E10" s="4"/>
      <c r="F10" s="7"/>
      <c r="G10" s="1"/>
      <c r="H10" s="1"/>
      <c r="I10" s="5">
        <f>J9</f>
        <v>0.75</v>
      </c>
      <c r="J10" s="5">
        <f t="shared" si="0"/>
        <v>0.75</v>
      </c>
      <c r="K10" s="3"/>
      <c r="L10" s="3"/>
    </row>
    <row r="11" spans="2:12">
      <c r="B11" s="4"/>
      <c r="C11" s="4"/>
      <c r="D11" s="4"/>
      <c r="E11" s="4"/>
      <c r="F11" s="7"/>
      <c r="G11" s="1"/>
      <c r="H11" s="1"/>
      <c r="I11" s="5">
        <f t="shared" si="1"/>
        <v>0.75</v>
      </c>
      <c r="J11" s="5">
        <f t="shared" si="0"/>
        <v>0.75</v>
      </c>
      <c r="K11" s="3"/>
      <c r="L11" s="3"/>
    </row>
    <row r="12" spans="2:12">
      <c r="B12" s="4"/>
      <c r="C12" s="4"/>
      <c r="D12" s="4"/>
      <c r="E12" s="4"/>
      <c r="F12" s="7"/>
      <c r="G12" s="1"/>
      <c r="H12" s="1"/>
      <c r="I12" s="5">
        <f t="shared" si="1"/>
        <v>0.75</v>
      </c>
      <c r="J12" s="5">
        <f t="shared" si="0"/>
        <v>0.75</v>
      </c>
      <c r="K12" s="3"/>
      <c r="L12" s="3"/>
    </row>
    <row r="13" spans="2:12">
      <c r="B13" s="4"/>
      <c r="C13" s="4"/>
      <c r="D13" s="4"/>
      <c r="E13" s="4"/>
      <c r="F13" s="7"/>
      <c r="G13" s="1"/>
      <c r="H13" s="1"/>
      <c r="I13" s="5">
        <f t="shared" si="1"/>
        <v>0.75</v>
      </c>
      <c r="J13" s="5">
        <f t="shared" si="0"/>
        <v>0.75</v>
      </c>
      <c r="K13" s="3"/>
      <c r="L13" s="3"/>
    </row>
    <row r="14" spans="2:12">
      <c r="B14" s="4"/>
      <c r="C14" s="4"/>
      <c r="D14" s="4"/>
      <c r="E14" s="4"/>
      <c r="F14" s="7"/>
      <c r="G14" s="1"/>
      <c r="H14" s="1"/>
      <c r="I14" s="5">
        <f t="shared" si="1"/>
        <v>0.75</v>
      </c>
      <c r="J14" s="5">
        <f t="shared" si="0"/>
        <v>0.75</v>
      </c>
      <c r="K14" s="3"/>
      <c r="L14" s="3"/>
    </row>
    <row r="15" spans="2:12">
      <c r="B15" s="4"/>
      <c r="C15" s="4"/>
      <c r="D15" s="4"/>
      <c r="E15" s="4"/>
      <c r="F15" s="7"/>
      <c r="G15" s="1"/>
      <c r="H15" s="1"/>
      <c r="I15" s="5">
        <f t="shared" si="1"/>
        <v>0.75</v>
      </c>
      <c r="J15" s="5">
        <f t="shared" si="0"/>
        <v>0.75</v>
      </c>
      <c r="K15" s="3"/>
      <c r="L15" s="3"/>
    </row>
    <row r="16" spans="2:12">
      <c r="B16" s="4"/>
      <c r="C16" s="4"/>
      <c r="D16" s="4"/>
      <c r="E16" s="4"/>
      <c r="F16" s="7"/>
      <c r="G16" s="1"/>
      <c r="H16" s="1"/>
      <c r="I16" s="5">
        <f t="shared" si="1"/>
        <v>0.75</v>
      </c>
      <c r="J16" s="5">
        <f t="shared" si="0"/>
        <v>0.75</v>
      </c>
      <c r="K16" s="3"/>
      <c r="L16" s="3"/>
    </row>
    <row r="17" spans="2:12">
      <c r="B17" s="4"/>
      <c r="C17" s="4"/>
      <c r="D17" s="4"/>
      <c r="E17" s="4"/>
      <c r="F17" s="7"/>
      <c r="G17" s="1"/>
      <c r="H17" s="1"/>
      <c r="I17" s="5">
        <f t="shared" si="1"/>
        <v>0.75</v>
      </c>
      <c r="J17" s="5">
        <f t="shared" si="0"/>
        <v>0.75</v>
      </c>
      <c r="K17" s="3"/>
      <c r="L17" s="3"/>
    </row>
    <row r="18" spans="2:12">
      <c r="B18" s="4"/>
      <c r="C18" s="4"/>
      <c r="D18" s="4"/>
      <c r="E18" s="4"/>
      <c r="F18" s="7"/>
      <c r="G18" s="1"/>
      <c r="H18" s="1"/>
      <c r="I18" s="5">
        <f t="shared" si="1"/>
        <v>0.75</v>
      </c>
      <c r="J18" s="5">
        <f t="shared" si="0"/>
        <v>0.75</v>
      </c>
      <c r="K18" s="3"/>
      <c r="L18" s="3"/>
    </row>
    <row r="19" spans="2:12">
      <c r="B19" s="4"/>
      <c r="C19" s="4"/>
      <c r="D19" s="4"/>
      <c r="E19" s="4"/>
      <c r="F19" s="7"/>
      <c r="G19" s="1"/>
      <c r="H19" s="1"/>
      <c r="I19" s="5">
        <f t="shared" ref="I19:I26" si="2">J18</f>
        <v>0.75</v>
      </c>
      <c r="J19" s="5">
        <f t="shared" ref="J19:J26" si="3">I19+G19/24</f>
        <v>0.75</v>
      </c>
      <c r="K19" s="3"/>
      <c r="L19" s="3"/>
    </row>
    <row r="20" spans="2:12">
      <c r="B20" s="4"/>
      <c r="C20" s="4"/>
      <c r="D20" s="4"/>
      <c r="E20" s="4"/>
      <c r="F20" s="7"/>
      <c r="G20" s="1"/>
      <c r="H20" s="1"/>
      <c r="I20" s="5">
        <f t="shared" si="2"/>
        <v>0.75</v>
      </c>
      <c r="J20" s="5">
        <f t="shared" si="3"/>
        <v>0.75</v>
      </c>
      <c r="K20" s="3"/>
      <c r="L20" s="3"/>
    </row>
    <row r="21" spans="2:12">
      <c r="B21" s="4"/>
      <c r="C21" s="4"/>
      <c r="D21" s="4"/>
      <c r="E21" s="4"/>
      <c r="F21" s="7"/>
      <c r="G21" s="1"/>
      <c r="H21" s="1"/>
      <c r="I21" s="5">
        <f t="shared" si="2"/>
        <v>0.75</v>
      </c>
      <c r="J21" s="5">
        <f t="shared" si="3"/>
        <v>0.75</v>
      </c>
      <c r="K21" s="3"/>
      <c r="L21" s="3"/>
    </row>
    <row r="22" spans="2:12">
      <c r="B22" s="4"/>
      <c r="C22" s="4"/>
      <c r="D22" s="4"/>
      <c r="E22" s="4"/>
      <c r="F22" s="7"/>
      <c r="G22" s="1"/>
      <c r="H22" s="1"/>
      <c r="I22" s="5">
        <f t="shared" si="2"/>
        <v>0.75</v>
      </c>
      <c r="J22" s="5">
        <f t="shared" si="3"/>
        <v>0.75</v>
      </c>
      <c r="K22" s="3"/>
      <c r="L22" s="3"/>
    </row>
    <row r="23" spans="2:12">
      <c r="B23" s="4"/>
      <c r="C23" s="4"/>
      <c r="D23" s="4"/>
      <c r="E23" s="4"/>
      <c r="F23" s="7"/>
      <c r="G23" s="1"/>
      <c r="H23" s="1"/>
      <c r="I23" s="5">
        <f t="shared" si="2"/>
        <v>0.75</v>
      </c>
      <c r="J23" s="5">
        <f t="shared" si="3"/>
        <v>0.75</v>
      </c>
      <c r="K23" s="3"/>
      <c r="L23" s="3"/>
    </row>
    <row r="24" spans="2:12">
      <c r="B24" s="4"/>
      <c r="C24" s="4"/>
      <c r="D24" s="4"/>
      <c r="E24" s="4"/>
      <c r="F24" s="7"/>
      <c r="G24" s="1"/>
      <c r="H24" s="1"/>
      <c r="I24" s="5">
        <f t="shared" si="2"/>
        <v>0.75</v>
      </c>
      <c r="J24" s="5">
        <f t="shared" si="3"/>
        <v>0.75</v>
      </c>
      <c r="K24" s="3"/>
      <c r="L24" s="3"/>
    </row>
    <row r="25" spans="2:12">
      <c r="B25" s="4"/>
      <c r="C25" s="4"/>
      <c r="D25" s="4"/>
      <c r="E25" s="4"/>
      <c r="F25" s="7"/>
      <c r="G25" s="1"/>
      <c r="H25" s="1"/>
      <c r="I25" s="5">
        <f t="shared" si="2"/>
        <v>0.75</v>
      </c>
      <c r="J25" s="5">
        <f t="shared" si="3"/>
        <v>0.75</v>
      </c>
      <c r="K25" s="3"/>
      <c r="L25" s="3"/>
    </row>
    <row r="26" spans="2:12">
      <c r="B26" s="4"/>
      <c r="C26" s="4"/>
      <c r="D26" s="4"/>
      <c r="E26" s="4"/>
      <c r="F26" s="7"/>
      <c r="G26" s="1"/>
      <c r="H26" s="1"/>
      <c r="I26" s="5">
        <f t="shared" si="2"/>
        <v>0.75</v>
      </c>
      <c r="J26" s="5">
        <f t="shared" si="3"/>
        <v>0.75</v>
      </c>
      <c r="K26" s="3"/>
      <c r="L26" s="3"/>
    </row>
    <row r="31" spans="2:12">
      <c r="I31" s="3"/>
    </row>
    <row r="32" spans="2:12">
      <c r="B32" s="4" t="s">
        <v>0</v>
      </c>
      <c r="C32" s="4" t="s">
        <v>1</v>
      </c>
      <c r="D32" s="4" t="s">
        <v>2</v>
      </c>
      <c r="E32" s="4" t="s">
        <v>3</v>
      </c>
      <c r="F32" s="7" t="s">
        <v>17</v>
      </c>
      <c r="G32" s="1" t="s">
        <v>5</v>
      </c>
      <c r="H32" s="1" t="s">
        <v>6</v>
      </c>
      <c r="I32" s="4" t="s">
        <v>7</v>
      </c>
      <c r="J32" s="4" t="s">
        <v>8</v>
      </c>
    </row>
    <row r="33" spans="2:12">
      <c r="B33" s="4"/>
      <c r="C33" s="4"/>
      <c r="D33" s="4"/>
      <c r="E33" s="4"/>
      <c r="F33" s="7"/>
      <c r="G33" s="1"/>
      <c r="H33" s="1"/>
      <c r="I33" s="5">
        <v>0.75</v>
      </c>
      <c r="J33" s="5">
        <f>I33+G33/24</f>
        <v>0.75</v>
      </c>
      <c r="K33" s="3"/>
      <c r="L33" s="3"/>
    </row>
    <row r="34" spans="2:12">
      <c r="B34" s="4"/>
      <c r="C34" s="4"/>
      <c r="D34" s="4"/>
      <c r="E34" s="4"/>
      <c r="F34" s="7"/>
      <c r="G34" s="1"/>
      <c r="H34" s="1"/>
      <c r="I34" s="5">
        <f t="shared" ref="I34:I51" si="4">J33</f>
        <v>0.75</v>
      </c>
      <c r="J34" s="5">
        <f t="shared" ref="J34:J51" si="5">I34+G34/24</f>
        <v>0.75</v>
      </c>
      <c r="K34" s="3"/>
      <c r="L34" s="3"/>
    </row>
    <row r="35" spans="2:12">
      <c r="B35" s="4"/>
      <c r="C35" s="4"/>
      <c r="D35" s="4"/>
      <c r="E35" s="4"/>
      <c r="F35" s="7"/>
      <c r="G35" s="1"/>
      <c r="H35" s="1"/>
      <c r="I35" s="5">
        <f t="shared" si="4"/>
        <v>0.75</v>
      </c>
      <c r="J35" s="5">
        <f t="shared" si="5"/>
        <v>0.75</v>
      </c>
      <c r="K35" s="3"/>
      <c r="L35" s="3"/>
    </row>
    <row r="36" spans="2:12">
      <c r="B36" s="4"/>
      <c r="C36" s="4"/>
      <c r="D36" s="4"/>
      <c r="E36" s="4"/>
      <c r="F36" s="7"/>
      <c r="G36" s="1"/>
      <c r="H36" s="1"/>
      <c r="I36" s="5">
        <f t="shared" si="4"/>
        <v>0.75</v>
      </c>
      <c r="J36" s="5">
        <f t="shared" si="5"/>
        <v>0.75</v>
      </c>
      <c r="K36" s="3"/>
      <c r="L36" s="3"/>
    </row>
    <row r="37" spans="2:12">
      <c r="B37" s="4"/>
      <c r="C37" s="4"/>
      <c r="D37" s="4"/>
      <c r="E37" s="4"/>
      <c r="F37" s="7"/>
      <c r="G37" s="1"/>
      <c r="H37" s="1"/>
      <c r="I37" s="5">
        <f t="shared" si="4"/>
        <v>0.75</v>
      </c>
      <c r="J37" s="5">
        <f t="shared" si="5"/>
        <v>0.75</v>
      </c>
      <c r="K37" s="3"/>
      <c r="L37" s="3"/>
    </row>
    <row r="38" spans="2:12">
      <c r="B38" s="4"/>
      <c r="C38" s="4"/>
      <c r="D38" s="4"/>
      <c r="E38" s="4"/>
      <c r="F38" s="7"/>
      <c r="G38" s="1"/>
      <c r="H38" s="1"/>
      <c r="I38" s="5">
        <f t="shared" si="4"/>
        <v>0.75</v>
      </c>
      <c r="J38" s="5">
        <f t="shared" si="5"/>
        <v>0.75</v>
      </c>
      <c r="K38" s="3"/>
      <c r="L38" s="3"/>
    </row>
    <row r="39" spans="2:12">
      <c r="B39" s="4"/>
      <c r="C39" s="4"/>
      <c r="D39" s="4"/>
      <c r="E39" s="4"/>
      <c r="F39" s="7"/>
      <c r="G39" s="1"/>
      <c r="H39" s="1"/>
      <c r="I39" s="5">
        <f t="shared" si="4"/>
        <v>0.75</v>
      </c>
      <c r="J39" s="5">
        <f t="shared" si="5"/>
        <v>0.75</v>
      </c>
      <c r="K39" s="3"/>
      <c r="L39" s="3"/>
    </row>
    <row r="40" spans="2:12">
      <c r="B40" s="4"/>
      <c r="C40" s="4"/>
      <c r="D40" s="4"/>
      <c r="E40" s="4"/>
      <c r="F40" s="7"/>
      <c r="G40" s="1"/>
      <c r="H40" s="1"/>
      <c r="I40" s="5">
        <f t="shared" si="4"/>
        <v>0.75</v>
      </c>
      <c r="J40" s="5">
        <f t="shared" si="5"/>
        <v>0.75</v>
      </c>
      <c r="K40" s="3"/>
      <c r="L40" s="3"/>
    </row>
    <row r="41" spans="2:12">
      <c r="B41" s="4"/>
      <c r="C41" s="4"/>
      <c r="D41" s="4"/>
      <c r="E41" s="4"/>
      <c r="F41" s="7"/>
      <c r="G41" s="1"/>
      <c r="H41" s="1"/>
      <c r="I41" s="5">
        <f t="shared" si="4"/>
        <v>0.75</v>
      </c>
      <c r="J41" s="5">
        <f t="shared" si="5"/>
        <v>0.75</v>
      </c>
      <c r="K41" s="3"/>
      <c r="L41" s="3"/>
    </row>
    <row r="42" spans="2:12">
      <c r="B42" s="4"/>
      <c r="C42" s="4"/>
      <c r="D42" s="4"/>
      <c r="E42" s="4"/>
      <c r="F42" s="7"/>
      <c r="G42" s="1"/>
      <c r="H42" s="1"/>
      <c r="I42" s="5">
        <f t="shared" si="4"/>
        <v>0.75</v>
      </c>
      <c r="J42" s="5">
        <f t="shared" si="5"/>
        <v>0.75</v>
      </c>
      <c r="K42" s="3"/>
      <c r="L42" s="3"/>
    </row>
    <row r="43" spans="2:12">
      <c r="B43" s="4"/>
      <c r="C43" s="4"/>
      <c r="D43" s="4"/>
      <c r="E43" s="4"/>
      <c r="F43" s="7"/>
      <c r="G43" s="1"/>
      <c r="H43" s="1"/>
      <c r="I43" s="5">
        <f t="shared" si="4"/>
        <v>0.75</v>
      </c>
      <c r="J43" s="5">
        <f t="shared" si="5"/>
        <v>0.75</v>
      </c>
      <c r="K43" s="3"/>
      <c r="L43" s="3"/>
    </row>
    <row r="44" spans="2:12">
      <c r="B44" s="4"/>
      <c r="C44" s="4"/>
      <c r="D44" s="4"/>
      <c r="E44" s="4"/>
      <c r="F44" s="7"/>
      <c r="G44" s="1"/>
      <c r="H44" s="1"/>
      <c r="I44" s="5">
        <f t="shared" si="4"/>
        <v>0.75</v>
      </c>
      <c r="J44" s="5">
        <f t="shared" si="5"/>
        <v>0.75</v>
      </c>
      <c r="K44" s="3"/>
      <c r="L44" s="3"/>
    </row>
    <row r="45" spans="2:12">
      <c r="B45" s="4"/>
      <c r="C45" s="4"/>
      <c r="D45" s="4"/>
      <c r="E45" s="4"/>
      <c r="F45" s="7"/>
      <c r="G45" s="1"/>
      <c r="H45" s="1"/>
      <c r="I45" s="5">
        <f t="shared" si="4"/>
        <v>0.75</v>
      </c>
      <c r="J45" s="5">
        <f t="shared" si="5"/>
        <v>0.75</v>
      </c>
      <c r="K45" s="3"/>
      <c r="L45" s="3"/>
    </row>
    <row r="46" spans="2:12">
      <c r="B46" s="4"/>
      <c r="C46" s="4"/>
      <c r="D46" s="4"/>
      <c r="E46" s="4"/>
      <c r="F46" s="7"/>
      <c r="G46" s="1"/>
      <c r="H46" s="1"/>
      <c r="I46" s="5">
        <f t="shared" si="4"/>
        <v>0.75</v>
      </c>
      <c r="J46" s="5">
        <f t="shared" si="5"/>
        <v>0.75</v>
      </c>
      <c r="K46" s="3"/>
      <c r="L46" s="3"/>
    </row>
    <row r="47" spans="2:12">
      <c r="B47" s="4"/>
      <c r="C47" s="4"/>
      <c r="D47" s="4"/>
      <c r="E47" s="4"/>
      <c r="F47" s="7"/>
      <c r="G47" s="1"/>
      <c r="H47" s="1"/>
      <c r="I47" s="5">
        <f t="shared" si="4"/>
        <v>0.75</v>
      </c>
      <c r="J47" s="5">
        <f t="shared" si="5"/>
        <v>0.75</v>
      </c>
      <c r="K47" s="3"/>
      <c r="L47" s="3"/>
    </row>
    <row r="48" spans="2:12">
      <c r="B48" s="4"/>
      <c r="C48" s="4"/>
      <c r="D48" s="4"/>
      <c r="E48" s="4"/>
      <c r="F48" s="7"/>
      <c r="G48" s="1"/>
      <c r="H48" s="1"/>
      <c r="I48" s="5">
        <f t="shared" si="4"/>
        <v>0.75</v>
      </c>
      <c r="J48" s="5">
        <f t="shared" si="5"/>
        <v>0.75</v>
      </c>
      <c r="K48" s="3"/>
      <c r="L48" s="3"/>
    </row>
    <row r="49" spans="2:12">
      <c r="B49" s="4"/>
      <c r="C49" s="4"/>
      <c r="D49" s="4"/>
      <c r="E49" s="4"/>
      <c r="F49" s="7"/>
      <c r="G49" s="1"/>
      <c r="H49" s="1"/>
      <c r="I49" s="5">
        <f t="shared" si="4"/>
        <v>0.75</v>
      </c>
      <c r="J49" s="5">
        <f t="shared" si="5"/>
        <v>0.75</v>
      </c>
      <c r="K49" s="3"/>
      <c r="L49" s="3"/>
    </row>
    <row r="50" spans="2:12">
      <c r="B50" s="4"/>
      <c r="C50" s="4"/>
      <c r="D50" s="4"/>
      <c r="E50" s="4"/>
      <c r="F50" s="7"/>
      <c r="G50" s="1"/>
      <c r="H50" s="1"/>
      <c r="I50" s="5">
        <f t="shared" si="4"/>
        <v>0.75</v>
      </c>
      <c r="J50" s="5">
        <f t="shared" si="5"/>
        <v>0.75</v>
      </c>
      <c r="K50" s="3"/>
      <c r="L50" s="3"/>
    </row>
    <row r="51" spans="2:12">
      <c r="B51" s="4"/>
      <c r="C51" s="4"/>
      <c r="D51" s="4"/>
      <c r="E51" s="4"/>
      <c r="F51" s="7"/>
      <c r="G51" s="1"/>
      <c r="H51" s="1"/>
      <c r="I51" s="5">
        <f t="shared" si="4"/>
        <v>0.75</v>
      </c>
      <c r="J51" s="5">
        <f t="shared" si="5"/>
        <v>0.75</v>
      </c>
      <c r="K51" s="3"/>
      <c r="L51" s="3"/>
    </row>
    <row r="56" spans="2:12">
      <c r="I56" s="3"/>
    </row>
    <row r="57" spans="2:12">
      <c r="B57" s="4" t="s">
        <v>0</v>
      </c>
      <c r="C57" s="4" t="s">
        <v>1</v>
      </c>
      <c r="D57" s="4" t="s">
        <v>2</v>
      </c>
      <c r="E57" s="4" t="s">
        <v>3</v>
      </c>
      <c r="F57" s="7" t="s">
        <v>17</v>
      </c>
      <c r="G57" s="1" t="s">
        <v>5</v>
      </c>
      <c r="H57" s="1" t="s">
        <v>6</v>
      </c>
      <c r="I57" s="4" t="s">
        <v>7</v>
      </c>
      <c r="J57" s="4" t="s">
        <v>8</v>
      </c>
    </row>
    <row r="58" spans="2:12">
      <c r="B58" s="4"/>
      <c r="C58" s="4"/>
      <c r="D58" s="4"/>
      <c r="E58" s="4"/>
      <c r="F58" s="7"/>
      <c r="G58" s="1"/>
      <c r="H58" s="1"/>
      <c r="I58" s="5">
        <v>0.75</v>
      </c>
      <c r="J58" s="5">
        <f>I58+G58/24</f>
        <v>0.75</v>
      </c>
      <c r="K58" s="3"/>
      <c r="L58" s="3"/>
    </row>
    <row r="59" spans="2:12">
      <c r="B59" s="4"/>
      <c r="C59" s="4"/>
      <c r="D59" s="4"/>
      <c r="E59" s="4"/>
      <c r="F59" s="7"/>
      <c r="G59" s="1"/>
      <c r="H59" s="1"/>
      <c r="I59" s="5">
        <f t="shared" ref="I59:I76" si="6">J58</f>
        <v>0.75</v>
      </c>
      <c r="J59" s="5">
        <f t="shared" ref="J59:J76" si="7">I59+G59/24</f>
        <v>0.75</v>
      </c>
      <c r="K59" s="3"/>
      <c r="L59" s="3"/>
    </row>
    <row r="60" spans="2:12">
      <c r="B60" s="4"/>
      <c r="C60" s="4"/>
      <c r="D60" s="4"/>
      <c r="E60" s="4"/>
      <c r="F60" s="7"/>
      <c r="G60" s="1"/>
      <c r="H60" s="1"/>
      <c r="I60" s="5">
        <f t="shared" si="6"/>
        <v>0.75</v>
      </c>
      <c r="J60" s="5">
        <f t="shared" si="7"/>
        <v>0.75</v>
      </c>
      <c r="K60" s="3"/>
      <c r="L60" s="3"/>
    </row>
    <row r="61" spans="2:12">
      <c r="B61" s="4"/>
      <c r="C61" s="4"/>
      <c r="D61" s="4"/>
      <c r="E61" s="4"/>
      <c r="F61" s="7"/>
      <c r="G61" s="1"/>
      <c r="H61" s="1"/>
      <c r="I61" s="5">
        <f t="shared" si="6"/>
        <v>0.75</v>
      </c>
      <c r="J61" s="5">
        <f t="shared" si="7"/>
        <v>0.75</v>
      </c>
      <c r="K61" s="3"/>
      <c r="L61" s="3"/>
    </row>
    <row r="62" spans="2:12">
      <c r="B62" s="4"/>
      <c r="C62" s="4"/>
      <c r="D62" s="4"/>
      <c r="E62" s="4"/>
      <c r="F62" s="7"/>
      <c r="G62" s="1"/>
      <c r="H62" s="1"/>
      <c r="I62" s="5">
        <f t="shared" si="6"/>
        <v>0.75</v>
      </c>
      <c r="J62" s="5">
        <f t="shared" si="7"/>
        <v>0.75</v>
      </c>
      <c r="K62" s="3"/>
      <c r="L62" s="3"/>
    </row>
    <row r="63" spans="2:12">
      <c r="B63" s="4"/>
      <c r="C63" s="4"/>
      <c r="D63" s="4"/>
      <c r="E63" s="4"/>
      <c r="F63" s="7"/>
      <c r="G63" s="1"/>
      <c r="H63" s="1"/>
      <c r="I63" s="5">
        <f t="shared" si="6"/>
        <v>0.75</v>
      </c>
      <c r="J63" s="5">
        <f t="shared" si="7"/>
        <v>0.75</v>
      </c>
      <c r="K63" s="3"/>
      <c r="L63" s="3"/>
    </row>
    <row r="64" spans="2:12">
      <c r="B64" s="4"/>
      <c r="C64" s="4"/>
      <c r="D64" s="4"/>
      <c r="E64" s="4"/>
      <c r="F64" s="7"/>
      <c r="G64" s="1"/>
      <c r="H64" s="1"/>
      <c r="I64" s="5">
        <f t="shared" si="6"/>
        <v>0.75</v>
      </c>
      <c r="J64" s="5">
        <f t="shared" si="7"/>
        <v>0.75</v>
      </c>
      <c r="K64" s="3"/>
      <c r="L64" s="3"/>
    </row>
    <row r="65" spans="2:12">
      <c r="B65" s="4"/>
      <c r="C65" s="4"/>
      <c r="D65" s="4"/>
      <c r="E65" s="4"/>
      <c r="F65" s="7"/>
      <c r="G65" s="1"/>
      <c r="H65" s="1"/>
      <c r="I65" s="5">
        <f t="shared" si="6"/>
        <v>0.75</v>
      </c>
      <c r="J65" s="5">
        <f t="shared" si="7"/>
        <v>0.75</v>
      </c>
      <c r="K65" s="3"/>
      <c r="L65" s="3"/>
    </row>
    <row r="66" spans="2:12">
      <c r="B66" s="4"/>
      <c r="C66" s="4"/>
      <c r="D66" s="4"/>
      <c r="E66" s="4"/>
      <c r="F66" s="7"/>
      <c r="G66" s="1"/>
      <c r="H66" s="1"/>
      <c r="I66" s="5">
        <f t="shared" si="6"/>
        <v>0.75</v>
      </c>
      <c r="J66" s="5">
        <f t="shared" si="7"/>
        <v>0.75</v>
      </c>
      <c r="K66" s="3"/>
      <c r="L66" s="3"/>
    </row>
    <row r="67" spans="2:12">
      <c r="B67" s="4"/>
      <c r="C67" s="4"/>
      <c r="D67" s="4"/>
      <c r="E67" s="4"/>
      <c r="F67" s="7"/>
      <c r="G67" s="1"/>
      <c r="H67" s="1"/>
      <c r="I67" s="5">
        <f t="shared" si="6"/>
        <v>0.75</v>
      </c>
      <c r="J67" s="5">
        <f t="shared" si="7"/>
        <v>0.75</v>
      </c>
      <c r="K67" s="3"/>
      <c r="L67" s="3"/>
    </row>
    <row r="68" spans="2:12">
      <c r="B68" s="4"/>
      <c r="C68" s="4"/>
      <c r="D68" s="4"/>
      <c r="E68" s="4"/>
      <c r="F68" s="7"/>
      <c r="G68" s="1"/>
      <c r="H68" s="1"/>
      <c r="I68" s="5">
        <f t="shared" si="6"/>
        <v>0.75</v>
      </c>
      <c r="J68" s="5">
        <f t="shared" si="7"/>
        <v>0.75</v>
      </c>
      <c r="K68" s="3"/>
      <c r="L68" s="3"/>
    </row>
    <row r="69" spans="2:12">
      <c r="B69" s="4"/>
      <c r="C69" s="4"/>
      <c r="D69" s="4"/>
      <c r="E69" s="4"/>
      <c r="F69" s="7"/>
      <c r="G69" s="1"/>
      <c r="H69" s="1"/>
      <c r="I69" s="5">
        <f t="shared" si="6"/>
        <v>0.75</v>
      </c>
      <c r="J69" s="5">
        <f t="shared" si="7"/>
        <v>0.75</v>
      </c>
      <c r="K69" s="3"/>
      <c r="L69" s="3"/>
    </row>
    <row r="70" spans="2:12">
      <c r="B70" s="4"/>
      <c r="C70" s="4"/>
      <c r="D70" s="4"/>
      <c r="E70" s="4"/>
      <c r="F70" s="7"/>
      <c r="G70" s="1"/>
      <c r="H70" s="1"/>
      <c r="I70" s="5">
        <f t="shared" si="6"/>
        <v>0.75</v>
      </c>
      <c r="J70" s="5">
        <f t="shared" si="7"/>
        <v>0.75</v>
      </c>
      <c r="K70" s="3"/>
      <c r="L70" s="3"/>
    </row>
    <row r="71" spans="2:12">
      <c r="B71" s="4"/>
      <c r="C71" s="4"/>
      <c r="D71" s="4"/>
      <c r="E71" s="4"/>
      <c r="F71" s="7"/>
      <c r="G71" s="1"/>
      <c r="H71" s="1"/>
      <c r="I71" s="5">
        <f t="shared" si="6"/>
        <v>0.75</v>
      </c>
      <c r="J71" s="5">
        <f t="shared" si="7"/>
        <v>0.75</v>
      </c>
      <c r="K71" s="3"/>
      <c r="L71" s="3"/>
    </row>
    <row r="72" spans="2:12">
      <c r="B72" s="4"/>
      <c r="C72" s="4"/>
      <c r="D72" s="4"/>
      <c r="E72" s="4"/>
      <c r="F72" s="7"/>
      <c r="G72" s="1"/>
      <c r="H72" s="1"/>
      <c r="I72" s="5">
        <f t="shared" si="6"/>
        <v>0.75</v>
      </c>
      <c r="J72" s="5">
        <f t="shared" si="7"/>
        <v>0.75</v>
      </c>
      <c r="K72" s="3"/>
      <c r="L72" s="3"/>
    </row>
    <row r="73" spans="2:12">
      <c r="B73" s="4"/>
      <c r="C73" s="4"/>
      <c r="D73" s="4"/>
      <c r="E73" s="4"/>
      <c r="F73" s="7"/>
      <c r="G73" s="1"/>
      <c r="H73" s="1"/>
      <c r="I73" s="5">
        <f t="shared" si="6"/>
        <v>0.75</v>
      </c>
      <c r="J73" s="5">
        <f t="shared" si="7"/>
        <v>0.75</v>
      </c>
      <c r="K73" s="3"/>
      <c r="L73" s="3"/>
    </row>
    <row r="74" spans="2:12">
      <c r="B74" s="4"/>
      <c r="C74" s="4"/>
      <c r="D74" s="4"/>
      <c r="E74" s="4"/>
      <c r="F74" s="7"/>
      <c r="G74" s="1"/>
      <c r="H74" s="1"/>
      <c r="I74" s="5">
        <f t="shared" si="6"/>
        <v>0.75</v>
      </c>
      <c r="J74" s="5">
        <f t="shared" si="7"/>
        <v>0.75</v>
      </c>
      <c r="K74" s="3"/>
      <c r="L74" s="3"/>
    </row>
    <row r="75" spans="2:12">
      <c r="B75" s="4"/>
      <c r="C75" s="4"/>
      <c r="D75" s="4"/>
      <c r="E75" s="4"/>
      <c r="F75" s="7"/>
      <c r="G75" s="1"/>
      <c r="H75" s="1"/>
      <c r="I75" s="5">
        <f t="shared" si="6"/>
        <v>0.75</v>
      </c>
      <c r="J75" s="5">
        <f t="shared" si="7"/>
        <v>0.75</v>
      </c>
      <c r="K75" s="3"/>
      <c r="L75" s="3"/>
    </row>
    <row r="76" spans="2:12">
      <c r="B76" s="4"/>
      <c r="C76" s="4"/>
      <c r="D76" s="4"/>
      <c r="E76" s="4"/>
      <c r="F76" s="7"/>
      <c r="G76" s="1"/>
      <c r="H76" s="1"/>
      <c r="I76" s="5">
        <f t="shared" si="6"/>
        <v>0.75</v>
      </c>
      <c r="J76" s="5">
        <f t="shared" si="7"/>
        <v>0.75</v>
      </c>
      <c r="K76" s="3"/>
      <c r="L76" s="3"/>
    </row>
    <row r="78" spans="2:12">
      <c r="G78"/>
      <c r="H78"/>
    </row>
    <row r="79" spans="2:12">
      <c r="G79" s="16"/>
      <c r="H79" t="s">
        <v>129</v>
      </c>
    </row>
    <row r="80" spans="2:12">
      <c r="G80"/>
      <c r="H80"/>
    </row>
    <row r="81" spans="2:9">
      <c r="G81"/>
      <c r="H81"/>
    </row>
    <row r="82" spans="2:9">
      <c r="B82" s="4" t="s">
        <v>26</v>
      </c>
      <c r="C82" s="4" t="s">
        <v>27</v>
      </c>
      <c r="D82" s="4" t="s">
        <v>2</v>
      </c>
      <c r="E82" s="4" t="s">
        <v>3</v>
      </c>
      <c r="F82" s="19" t="s">
        <v>28</v>
      </c>
      <c r="G82" s="1" t="s">
        <v>6</v>
      </c>
      <c r="H82" s="4" t="s">
        <v>29</v>
      </c>
      <c r="I82" s="4" t="s">
        <v>30</v>
      </c>
    </row>
    <row r="83" spans="2:9">
      <c r="B83" s="4"/>
      <c r="C83" s="4"/>
      <c r="D83" s="4"/>
      <c r="E83" s="4"/>
      <c r="F83" s="19"/>
      <c r="G83" s="1"/>
      <c r="H83" s="5">
        <v>0.75</v>
      </c>
      <c r="I83" s="5">
        <f>H83+G83/24</f>
        <v>0.75</v>
      </c>
    </row>
    <row r="84" spans="2:9">
      <c r="B84" s="4"/>
      <c r="C84" s="4"/>
      <c r="D84" s="4"/>
      <c r="E84" s="4"/>
      <c r="F84" s="19"/>
      <c r="G84" s="1"/>
      <c r="H84" s="5">
        <f>I83</f>
        <v>0.75</v>
      </c>
      <c r="I84" s="5">
        <f>H84+G84/24</f>
        <v>0.75</v>
      </c>
    </row>
    <row r="85" spans="2:9">
      <c r="B85" s="4"/>
      <c r="C85" s="4"/>
      <c r="D85" s="4"/>
      <c r="E85" s="4"/>
      <c r="F85" s="19"/>
      <c r="G85" s="1"/>
      <c r="H85" s="5">
        <f>I84</f>
        <v>0.75</v>
      </c>
      <c r="I85" s="5">
        <f t="shared" ref="I85:I87" si="8">H85+G85/24</f>
        <v>0.75</v>
      </c>
    </row>
    <row r="86" spans="2:9">
      <c r="B86" s="4"/>
      <c r="C86" s="4"/>
      <c r="D86" s="4"/>
      <c r="E86" s="4"/>
      <c r="F86" s="19"/>
      <c r="G86" s="1"/>
      <c r="H86" s="5">
        <f>I85</f>
        <v>0.75</v>
      </c>
      <c r="I86" s="5">
        <f t="shared" si="8"/>
        <v>0.75</v>
      </c>
    </row>
    <row r="87" spans="2:9">
      <c r="B87" s="4"/>
      <c r="C87" s="4"/>
      <c r="D87" s="4"/>
      <c r="E87" s="4"/>
      <c r="F87" s="19"/>
      <c r="G87" s="1"/>
      <c r="H87" s="5">
        <f>I86</f>
        <v>0.75</v>
      </c>
      <c r="I87" s="5">
        <f t="shared" si="8"/>
        <v>0.75</v>
      </c>
    </row>
    <row r="88" spans="2:9">
      <c r="B88" s="4"/>
      <c r="C88" s="4"/>
      <c r="D88" s="4"/>
      <c r="E88" s="4"/>
      <c r="F88" s="19"/>
      <c r="G88" s="1"/>
      <c r="H88" s="5">
        <f t="shared" ref="H88:H97" si="9">I87</f>
        <v>0.75</v>
      </c>
      <c r="I88" s="5">
        <f t="shared" ref="I88:I97" si="10">H88+G88/24</f>
        <v>0.75</v>
      </c>
    </row>
    <row r="89" spans="2:9">
      <c r="B89" s="4"/>
      <c r="C89" s="4"/>
      <c r="D89" s="4"/>
      <c r="E89" s="4"/>
      <c r="F89" s="19"/>
      <c r="G89" s="1"/>
      <c r="H89" s="5">
        <f t="shared" si="9"/>
        <v>0.75</v>
      </c>
      <c r="I89" s="5">
        <f t="shared" si="10"/>
        <v>0.75</v>
      </c>
    </row>
    <row r="90" spans="2:9">
      <c r="B90" s="4"/>
      <c r="C90" s="4"/>
      <c r="D90" s="4"/>
      <c r="E90" s="4"/>
      <c r="F90" s="19"/>
      <c r="G90" s="1"/>
      <c r="H90" s="5">
        <f t="shared" si="9"/>
        <v>0.75</v>
      </c>
      <c r="I90" s="5">
        <f t="shared" si="10"/>
        <v>0.75</v>
      </c>
    </row>
    <row r="91" spans="2:9">
      <c r="B91" s="4"/>
      <c r="C91" s="4"/>
      <c r="D91" s="4"/>
      <c r="E91" s="4"/>
      <c r="F91" s="19"/>
      <c r="G91" s="1"/>
      <c r="H91" s="5">
        <f t="shared" si="9"/>
        <v>0.75</v>
      </c>
      <c r="I91" s="5">
        <f t="shared" si="10"/>
        <v>0.75</v>
      </c>
    </row>
    <row r="92" spans="2:9">
      <c r="B92" s="4"/>
      <c r="C92" s="4"/>
      <c r="D92" s="4"/>
      <c r="E92" s="4"/>
      <c r="F92" s="19"/>
      <c r="G92" s="1"/>
      <c r="H92" s="5">
        <f t="shared" si="9"/>
        <v>0.75</v>
      </c>
      <c r="I92" s="5">
        <f t="shared" si="10"/>
        <v>0.75</v>
      </c>
    </row>
    <row r="93" spans="2:9">
      <c r="B93" s="4"/>
      <c r="C93" s="4"/>
      <c r="D93" s="4"/>
      <c r="E93" s="5"/>
      <c r="F93" s="19"/>
      <c r="G93" s="1"/>
      <c r="H93" s="5">
        <f t="shared" si="9"/>
        <v>0.75</v>
      </c>
      <c r="I93" s="5">
        <f t="shared" si="10"/>
        <v>0.75</v>
      </c>
    </row>
    <row r="94" spans="2:9">
      <c r="B94" s="4"/>
      <c r="C94" s="4"/>
      <c r="D94" s="4"/>
      <c r="E94" s="4"/>
      <c r="F94" s="19"/>
      <c r="G94" s="1"/>
      <c r="H94" s="5">
        <f t="shared" si="9"/>
        <v>0.75</v>
      </c>
      <c r="I94" s="5">
        <f t="shared" si="10"/>
        <v>0.75</v>
      </c>
    </row>
    <row r="95" spans="2:9">
      <c r="B95" s="4"/>
      <c r="C95" s="4"/>
      <c r="D95" s="4"/>
      <c r="E95" s="4"/>
      <c r="F95" s="19"/>
      <c r="G95" s="1"/>
      <c r="H95" s="5">
        <f t="shared" si="9"/>
        <v>0.75</v>
      </c>
      <c r="I95" s="5">
        <f t="shared" si="10"/>
        <v>0.75</v>
      </c>
    </row>
    <row r="96" spans="2:9">
      <c r="B96" s="4"/>
      <c r="C96" s="4"/>
      <c r="D96" s="4"/>
      <c r="E96" s="4"/>
      <c r="F96" s="19"/>
      <c r="G96" s="1"/>
      <c r="H96" s="5">
        <f t="shared" si="9"/>
        <v>0.75</v>
      </c>
      <c r="I96" s="5">
        <f t="shared" si="10"/>
        <v>0.75</v>
      </c>
    </row>
    <row r="97" spans="2:9">
      <c r="B97" s="4"/>
      <c r="C97" s="4"/>
      <c r="D97" s="4"/>
      <c r="E97" s="4"/>
      <c r="F97" s="19"/>
      <c r="G97" s="1"/>
      <c r="H97" s="5">
        <f t="shared" si="9"/>
        <v>0.75</v>
      </c>
      <c r="I97" s="5">
        <f t="shared" si="10"/>
        <v>0.75</v>
      </c>
    </row>
    <row r="98" spans="2:9">
      <c r="B98" s="4"/>
      <c r="C98" s="4"/>
      <c r="D98" s="4"/>
      <c r="E98" s="4"/>
      <c r="F98" s="19"/>
      <c r="G98" s="1"/>
      <c r="H98" s="5">
        <f t="shared" ref="H98" si="11">IF(I97-F98&lt;0,F98-I97+I97,I97)</f>
        <v>0.75</v>
      </c>
      <c r="I98" s="5">
        <f t="shared" ref="I98" si="12">H98+G98/24</f>
        <v>0.75</v>
      </c>
    </row>
  </sheetData>
  <phoneticPr fontId="2"/>
  <pageMargins left="0.7" right="0.7" top="0.75" bottom="0.75" header="0.3" footer="0.3"/>
  <pageSetup paperSize="8" scale="7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BB133E26-B6DA-4CBD-B290-F924F514D16D}"/>
</file>

<file path=customXml/itemProps2.xml><?xml version="1.0" encoding="utf-8"?>
<ds:datastoreItem xmlns:ds="http://schemas.openxmlformats.org/officeDocument/2006/customXml" ds:itemID="{CF62491F-2411-4F32-AEA6-BE96D00BD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D0AE9-90B2-4201-B97E-DAF5A9027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データ入力</vt:lpstr>
      <vt:lpstr>印刷_1勤</vt:lpstr>
      <vt:lpstr>印刷_2勤</vt:lpstr>
      <vt:lpstr>履歴_AOI</vt:lpstr>
      <vt:lpstr>履歴_目視</vt:lpstr>
      <vt:lpstr>原紙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SATO Yuki (佐藤 勇希)</dc:creator>
  <cp:keywords/>
  <dc:description/>
  <cp:lastModifiedBy>SATO Yuki (佐藤 勇希)</cp:lastModifiedBy>
  <cp:revision/>
  <cp:lastPrinted>2024-11-18T08:18:44Z</cp:lastPrinted>
  <dcterms:created xsi:type="dcterms:W3CDTF">2024-09-17T04:06:05Z</dcterms:created>
  <dcterms:modified xsi:type="dcterms:W3CDTF">2024-11-18T08:18:47Z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