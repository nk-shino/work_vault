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33" documentId="8_{F7C675A1-3863-4641-90BD-472C8294EC29}" xr6:coauthVersionLast="47" xr6:coauthVersionMax="47" xr10:uidLastSave="{AD56E3BA-7B0C-4A3D-A227-39D762284DB0}"/>
  <bookViews>
    <workbookView xWindow="20370" yWindow="-4650" windowWidth="29040" windowHeight="15840" firstSheet="3" activeTab="3" xr2:uid="{66D40786-C3EF-4208-8AC5-A8E28D46B20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H17" i="5" s="1"/>
  <c r="I17" i="5" s="1"/>
  <c r="H18" i="5" s="1"/>
  <c r="I18" i="5" s="1"/>
  <c r="H19" i="5" s="1"/>
  <c r="I19" i="5" s="1"/>
  <c r="H20" i="5" s="1"/>
  <c r="I20" i="5" s="1"/>
  <c r="H21" i="5" s="1"/>
  <c r="I21" i="5" s="1"/>
  <c r="H22" i="5" s="1"/>
  <c r="I22" i="5" s="1"/>
  <c r="J28" i="6"/>
  <c r="J19" i="6"/>
  <c r="I20" i="6" s="1"/>
  <c r="J20" i="6" s="1"/>
  <c r="I21" i="6" s="1"/>
  <c r="J21" i="6" s="1"/>
  <c r="I7" i="6"/>
  <c r="J7" i="6" s="1"/>
  <c r="I8" i="6" s="1"/>
  <c r="J8" i="6" s="1"/>
  <c r="I9" i="6" s="1"/>
  <c r="J9" i="6" s="1"/>
  <c r="I10" i="6" s="1"/>
  <c r="J10" i="6" s="1"/>
  <c r="I11" i="6" s="1"/>
  <c r="J11" i="6" s="1"/>
  <c r="I12" i="6" s="1"/>
  <c r="J12" i="6" s="1"/>
  <c r="J6" i="6"/>
</calcChain>
</file>

<file path=xl/sharedStrings.xml><?xml version="1.0" encoding="utf-8"?>
<sst xmlns="http://schemas.openxmlformats.org/spreadsheetml/2006/main" count="266" uniqueCount="72">
  <si>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</si>
  <si>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</si>
  <si>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</si>
  <si>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</si>
  <si>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</si>
  <si>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</si>
  <si>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</si>
  <si>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</si>
  <si>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URS-42511</t>
  </si>
  <si>
    <t>実績</t>
    <rPh sb="0" eb="2">
      <t>ジッセキ</t>
    </rPh>
    <phoneticPr fontId="2"/>
  </si>
  <si>
    <t>計画</t>
    <rPh sb="0" eb="2">
      <t>ケイカク</t>
    </rPh>
    <phoneticPr fontId="2"/>
  </si>
  <si>
    <t>UR-4207-02</t>
  </si>
  <si>
    <t>UR-05091-03</t>
  </si>
  <si>
    <t>UR-4543</t>
  </si>
  <si>
    <t>実績なし</t>
    <rPh sb="0" eb="2">
      <t>ジッセキ</t>
    </rPh>
    <phoneticPr fontId="2"/>
  </si>
  <si>
    <t>UTS-0967-01</t>
  </si>
  <si>
    <t>211981416</t>
  </si>
  <si>
    <t>UR-06101-01</t>
  </si>
  <si>
    <t>211977908</t>
  </si>
  <si>
    <t>UR-0489</t>
  </si>
  <si>
    <t>UR-0490</t>
  </si>
  <si>
    <t>UR-0483</t>
  </si>
  <si>
    <t>UR-4421-01</t>
  </si>
  <si>
    <t>１号機で計画委</t>
    <rPh sb="1" eb="3">
      <t>ゴウキ</t>
    </rPh>
    <rPh sb="4" eb="7">
      <t>ケイカクイ</t>
    </rPh>
    <phoneticPr fontId="2"/>
  </si>
  <si>
    <t>UR-4377</t>
  </si>
  <si>
    <t>計画外</t>
    <rPh sb="0" eb="3">
      <t>ケイカクガイ</t>
    </rPh>
    <phoneticPr fontId="2"/>
  </si>
  <si>
    <t>10/18 目視</t>
  </si>
  <si>
    <t>UR-0596</t>
  </si>
  <si>
    <t>UR-0509-02</t>
  </si>
  <si>
    <t>UR-0511</t>
  </si>
  <si>
    <t>UR-0605</t>
  </si>
  <si>
    <t>211980999</t>
  </si>
  <si>
    <t>UR-0553</t>
  </si>
  <si>
    <t>211981433</t>
  </si>
  <si>
    <t>UR-0488-01</t>
  </si>
  <si>
    <t>211978379</t>
  </si>
  <si>
    <t>UT-0816</t>
  </si>
  <si>
    <t>211981452</t>
  </si>
  <si>
    <t>211978921</t>
  </si>
  <si>
    <t>211981448</t>
  </si>
  <si>
    <t>211980556</t>
  </si>
  <si>
    <t>211981432</t>
  </si>
  <si>
    <t>211981431</t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</si>
  <si>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</si>
  <si>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</si>
  <si>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</si>
  <si>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</si>
  <si>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</si>
  <si>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</si>
  <si>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</si>
  <si>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</si>
  <si>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</si>
  <si>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</si>
  <si>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</si>
  <si>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</si>
  <si>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Line-3</t>
  </si>
  <si>
    <t>211981442</t>
  </si>
  <si>
    <t>―</t>
  </si>
  <si>
    <t>211981456</t>
  </si>
  <si>
    <t>211981438</t>
  </si>
  <si>
    <t>Line-2</t>
  </si>
  <si>
    <t>211975043</t>
  </si>
  <si>
    <t>TypeID</t>
  </si>
  <si>
    <t>orderNumber</t>
  </si>
  <si>
    <t>AOI終了予定時刻</t>
    <rPh sb="3" eb="5">
      <t>シュウリョウ</t>
    </rPh>
    <rPh sb="5" eb="9">
      <t>ヨテイジコク</t>
    </rPh>
    <phoneticPr fontId="9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</si>
  <si>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</si>
  <si>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</si>
  <si>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211976128</t>
  </si>
  <si>
    <t>211980995</t>
  </si>
  <si>
    <t>211980555</t>
  </si>
  <si>
    <t>211980994</t>
  </si>
  <si>
    <t>211981457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</si>
</sst>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7" fillId="0" borderId="1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7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358588</xdr:colOff>
      <xdr:row>4</xdr:row>
      <xdr:rowOff>89648</xdr:rowOff>
    </xdr:from>
    <xdr:to>
      <xdr:col>5</xdr:col>
      <xdr:colOff>22412</xdr:colOff>
      <xdr:row>6</xdr:row>
      <xdr:rowOff>134472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EDB26F4-04D6-D41C-3A55-ABAACC190485}"/>
            </a:ext>
          </a:extLst>
        </xdr:cNvPr>
        <xdr:cNvSpPr txBox="1"/>
      </xdr:nvSpPr>
      <xdr:spPr>
        <a:xfrm>
          <a:off x="661147" y="1154207"/>
          <a:ext cx="2846294" cy="582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rgbClr val="FF0000"/>
              </a:solidFill>
            </a:rPr>
            <a:t>アンローダー故障中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CBFF58E-A976-40E0-8984-4CDB9A6AF432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14</xdr:row>
      <xdr:rowOff>0</xdr:rowOff>
    </xdr:from>
    <xdr:to>
      <xdr:col>6</xdr:col>
      <xdr:colOff>0</xdr:colOff>
      <xdr:row>16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441F85B-668A-4366-B65B-E96009731142}"/>
            </a:ext>
          </a:extLst>
        </xdr:cNvPr>
        <xdr:cNvSpPr txBox="1"/>
      </xdr:nvSpPr>
      <xdr:spPr>
        <a:xfrm>
          <a:off x="780222" y="33337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23</xdr:row>
      <xdr:rowOff>0</xdr:rowOff>
    </xdr:from>
    <xdr:to>
      <xdr:col>6</xdr:col>
      <xdr:colOff>0</xdr:colOff>
      <xdr:row>25</xdr:row>
      <xdr:rowOff>28161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F04E75D-9AC6-45A9-9057-AEC811C24A73}"/>
            </a:ext>
          </a:extLst>
        </xdr:cNvPr>
        <xdr:cNvSpPr txBox="1"/>
      </xdr:nvSpPr>
      <xdr:spPr>
        <a:xfrm>
          <a:off x="780222" y="54768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 </a:t>
          </a:r>
          <a:r>
            <a:rPr kumimoji="1" lang="en-US" altLang="ja-JP" sz="2000" b="1"/>
            <a:t>※</a:t>
          </a:r>
          <a:r>
            <a:rPr kumimoji="1" lang="ja-JP" altLang="en-US" sz="2000" b="1"/>
            <a:t>故障中</a:t>
          </a:r>
          <a:endParaRPr kumimoji="1" lang="en-US" altLang="ja-JP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348AC2B-294C-49C6-8F99-D4DDC8AE26DB}"/>
            </a:ext>
          </a:extLst>
        </xdr:cNvPr>
        <xdr:cNvSpPr txBox="1"/>
      </xdr:nvSpPr>
      <xdr:spPr>
        <a:xfrm>
          <a:off x="702365" y="726799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211981448</v>
      </c>
      <c r="D4" s="6" t="s">
        <v>9</v>
      </c>
      <c r="E4" s="8">
        <v>0.74314814814814811</v>
      </c>
      <c r="F4" s="9">
        <v>0.75162037037037033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9</v>
      </c>
      <c r="E5" s="7">
        <v>0.80035879629629625</v>
      </c>
      <c r="F5" s="7">
        <v>0.80170138888888887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10</v>
      </c>
      <c r="E6" s="7">
        <v>0.75</v>
      </c>
      <c r="F6" s="7">
        <v>0.77053571428571432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11</v>
      </c>
      <c r="C7" s="6">
        <v>211981456</v>
      </c>
      <c r="D7" s="6" t="s">
        <v>9</v>
      </c>
      <c r="E7" s="7">
        <v>0.8036226851851852</v>
      </c>
      <c r="F7" s="7">
        <v>0.81849537037037035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0.95903744026563476</v>
      </c>
      <c r="F8" s="7">
        <v>0.97110064181161826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12</v>
      </c>
      <c r="C9" s="6">
        <v>211980556</v>
      </c>
      <c r="D9" s="6" t="s">
        <v>9</v>
      </c>
      <c r="E9" s="7">
        <v>0.84987268518518522</v>
      </c>
      <c r="F9" s="7">
        <v>0.91748842592592594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9</v>
      </c>
      <c r="E10" s="7">
        <v>0.93320601851851848</v>
      </c>
      <c r="F10" s="7">
        <v>0.93449074074074079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0.80178571428571432</v>
      </c>
      <c r="F11" s="7">
        <v>0.90297619047619049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13</v>
      </c>
      <c r="C12" s="6">
        <v>211981442</v>
      </c>
      <c r="D12" s="6" t="s">
        <v>9</v>
      </c>
      <c r="E12" s="7">
        <v>0.94638888888888884</v>
      </c>
      <c r="F12" s="7">
        <v>0.94936342592592593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9</v>
      </c>
      <c r="E13" s="7">
        <v>0.98675925925925922</v>
      </c>
      <c r="F13" s="7">
        <v>0.99619212962962966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10</v>
      </c>
      <c r="E14" s="7">
        <v>0.93440119687939138</v>
      </c>
      <c r="F14" s="7">
        <v>0.95903744026563476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14</v>
      </c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15</v>
      </c>
      <c r="C17" s="6" t="s">
        <v>16</v>
      </c>
      <c r="D17" s="6" t="s">
        <v>10</v>
      </c>
      <c r="E17" s="7">
        <v>0.77053571428571432</v>
      </c>
      <c r="F17" s="7">
        <v>0.80178571428571432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17</v>
      </c>
      <c r="C18" s="6" t="s">
        <v>18</v>
      </c>
      <c r="D18" s="6" t="s">
        <v>10</v>
      </c>
      <c r="E18" s="7">
        <v>0.90297619047619049</v>
      </c>
      <c r="F18" s="7">
        <v>0.93440119687939138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19</v>
      </c>
      <c r="C4" s="6">
        <v>211981432</v>
      </c>
      <c r="D4" s="6" t="s">
        <v>9</v>
      </c>
      <c r="E4" s="7">
        <v>0.76406249999999998</v>
      </c>
      <c r="F4" s="7">
        <v>0.7642592592592593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9</v>
      </c>
      <c r="E5" s="7">
        <v>0.76454861111111116</v>
      </c>
      <c r="F5" s="7">
        <v>0.78469907407407402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10</v>
      </c>
      <c r="E6" s="7">
        <v>0.75</v>
      </c>
      <c r="F6" s="7">
        <v>0.79972338236691876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20</v>
      </c>
      <c r="C7" s="6">
        <v>211975043</v>
      </c>
      <c r="D7" s="6" t="s">
        <v>9</v>
      </c>
      <c r="E7" s="7">
        <v>0.9198263888888889</v>
      </c>
      <c r="F7" s="7">
        <v>0.95218749999999996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9</v>
      </c>
      <c r="E8" s="7">
        <v>0.97263888888888894</v>
      </c>
      <c r="F8" s="7">
        <v>0.97856481481481483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10</v>
      </c>
      <c r="E9" s="7">
        <v>0.84876921792960824</v>
      </c>
      <c r="F9" s="7">
        <v>0.88764006930045958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21</v>
      </c>
      <c r="C10" s="6">
        <v>211981431</v>
      </c>
      <c r="D10" s="6" t="s">
        <v>9</v>
      </c>
      <c r="E10" s="7">
        <v>0.95251157407407405</v>
      </c>
      <c r="F10" s="7">
        <v>0.97248842592592588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9</v>
      </c>
      <c r="E11" s="7">
        <v>0.97868055555555555</v>
      </c>
      <c r="F11" s="7">
        <v>0.98128472222222218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10</v>
      </c>
      <c r="E12" s="7">
        <v>0.79972338236691876</v>
      </c>
      <c r="F12" s="7">
        <v>0.84876921792960824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22</v>
      </c>
      <c r="C13" s="6">
        <v>211981438</v>
      </c>
      <c r="D13" s="6" t="s">
        <v>9</v>
      </c>
      <c r="E13" s="7">
        <v>0.99629629629629635</v>
      </c>
      <c r="F13" s="7">
        <v>1.4849537037037038E-2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30" t="s">
        <v>23</v>
      </c>
      <c r="D14" s="6" t="s">
        <v>10</v>
      </c>
      <c r="E14" s="7">
        <v>0.97110064181161826</v>
      </c>
      <c r="F14" s="7">
        <v>0.990533414920862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24</v>
      </c>
      <c r="C15" s="6">
        <v>211979989</v>
      </c>
      <c r="D15" s="6" t="s">
        <v>9</v>
      </c>
      <c r="E15" s="7">
        <v>2.5034722222222222E-2</v>
      </c>
      <c r="F15" s="7">
        <v>4.2731481481481481E-2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30" t="s">
        <v>25</v>
      </c>
      <c r="D16" s="6" t="s">
        <v>10</v>
      </c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8"/>
      <c r="F7" s="9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workbookViewId="0">
      <pane xSplit="6" ySplit="3" topLeftCell="G13" activePane="bottomRight" state="frozen"/>
      <selection pane="bottomRight" activeCell="B3" sqref="B3:F26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26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27</v>
      </c>
      <c r="C4" s="6">
        <v>211976128</v>
      </c>
      <c r="D4" s="6" t="s">
        <v>9</v>
      </c>
      <c r="E4" s="7">
        <v>0.74660879629629628</v>
      </c>
      <c r="F4" s="7">
        <v>0.77813657407407411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0.72916666666666663</v>
      </c>
      <c r="F5" s="7">
        <v>0.75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28</v>
      </c>
      <c r="C6" s="6">
        <v>211980995</v>
      </c>
      <c r="D6" s="6" t="s">
        <v>9</v>
      </c>
      <c r="E6" s="7">
        <v>0.79781250000000004</v>
      </c>
      <c r="F6" s="7">
        <v>0.81145833333333328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10</v>
      </c>
      <c r="E7" s="7">
        <v>0.75</v>
      </c>
      <c r="F7" s="7">
        <v>0.7599246031746032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12</v>
      </c>
      <c r="C8" s="6">
        <v>211980555</v>
      </c>
      <c r="D8" s="6" t="s">
        <v>9</v>
      </c>
      <c r="E8" s="7">
        <v>0.81684027777777779</v>
      </c>
      <c r="F8" s="7">
        <v>0.96781249999999996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10</v>
      </c>
      <c r="E9" s="7">
        <v>0.76985000000000003</v>
      </c>
      <c r="F9" s="7">
        <v>0.85119920634920643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21</v>
      </c>
      <c r="C10" s="6">
        <v>211980994</v>
      </c>
      <c r="D10" s="6" t="s">
        <v>9</v>
      </c>
      <c r="E10" s="7">
        <v>0.97859953703703706</v>
      </c>
      <c r="F10" s="7">
        <v>1.4930555555555556E-3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0.85119920634920643</v>
      </c>
      <c r="F11" s="7">
        <v>0.89961636347422869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29</v>
      </c>
      <c r="C12" s="6">
        <v>211981457</v>
      </c>
      <c r="D12" s="6" t="s">
        <v>9</v>
      </c>
      <c r="E12" s="7">
        <v>4.7685185185185183E-3</v>
      </c>
      <c r="F12" s="7">
        <v>3.0659722222222224E-2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10</v>
      </c>
      <c r="E13" s="7">
        <v>0.89961636347422869</v>
      </c>
      <c r="F13" s="7">
        <v>0.91109077377146974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14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30</v>
      </c>
      <c r="C16" s="6" t="s">
        <v>31</v>
      </c>
      <c r="D16" s="6" t="s">
        <v>10</v>
      </c>
      <c r="E16" s="7">
        <v>0.7599246031746032</v>
      </c>
      <c r="F16" s="7">
        <v>0.76985000000000003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32</v>
      </c>
      <c r="C17" s="6" t="s">
        <v>33</v>
      </c>
      <c r="D17" s="6" t="s">
        <v>10</v>
      </c>
      <c r="E17" s="7">
        <v>0.91109077377146974</v>
      </c>
      <c r="F17" s="7">
        <v>0.93601636900956497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34</v>
      </c>
      <c r="C18" s="6" t="s">
        <v>35</v>
      </c>
      <c r="D18" s="6" t="s">
        <v>10</v>
      </c>
      <c r="E18" s="7">
        <v>0.93601636900956497</v>
      </c>
      <c r="F18" s="7">
        <v>0.95725144706282483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36</v>
      </c>
      <c r="C19" s="6" t="s">
        <v>37</v>
      </c>
      <c r="D19" s="6" t="s">
        <v>10</v>
      </c>
      <c r="E19" s="7">
        <v>0.95725144706282483</v>
      </c>
      <c r="F19" s="7">
        <v>0.98782504013641792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17</v>
      </c>
      <c r="C20" s="6" t="s">
        <v>38</v>
      </c>
      <c r="D20" s="6" t="s">
        <v>10</v>
      </c>
      <c r="E20" s="7">
        <v>0.98782504013641792</v>
      </c>
      <c r="F20" s="7">
        <v>1.0231023506535888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15</v>
      </c>
      <c r="C21" s="6" t="s">
        <v>16</v>
      </c>
      <c r="D21" s="6" t="s">
        <v>10</v>
      </c>
      <c r="E21" s="7">
        <v>1.0231023506535888</v>
      </c>
      <c r="F21" s="7">
        <v>1.0411579062091443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8</v>
      </c>
      <c r="C22" s="6" t="s">
        <v>39</v>
      </c>
      <c r="D22" s="6" t="s">
        <v>10</v>
      </c>
      <c r="E22" s="7">
        <v>1.0411579062091443</v>
      </c>
      <c r="F22" s="7">
        <v>1.0565844935107316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12</v>
      </c>
      <c r="C23" s="6" t="s">
        <v>40</v>
      </c>
      <c r="D23" s="6" t="s">
        <v>10</v>
      </c>
      <c r="E23" s="7">
        <v>1.0746400490662871</v>
      </c>
      <c r="F23" s="7">
        <v>1.1559892554154934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17</v>
      </c>
      <c r="C24" s="6" t="s">
        <v>18</v>
      </c>
      <c r="D24" s="6" t="s">
        <v>10</v>
      </c>
      <c r="E24" s="7">
        <v>1.1559892554154934</v>
      </c>
      <c r="F24" s="7">
        <v>1.1912665659326642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19</v>
      </c>
      <c r="C25" s="6" t="s">
        <v>41</v>
      </c>
      <c r="D25" s="6" t="s">
        <v>10</v>
      </c>
      <c r="E25" s="8">
        <v>1.1912665659326642</v>
      </c>
      <c r="F25" s="9">
        <v>1.228829395455691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21</v>
      </c>
      <c r="C26" s="6" t="s">
        <v>42</v>
      </c>
      <c r="D26" s="6" t="s">
        <v>10</v>
      </c>
      <c r="E26" s="8">
        <v>1.228829395455691</v>
      </c>
      <c r="F26" s="9">
        <v>1.2772465525807133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1 C7 C9 C11 C13 C23:C1048576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J30"/>
  <sheetViews>
    <sheetView workbookViewId="0">
      <selection activeCell="I12" sqref="I12"/>
    </sheetView>
  </sheetViews>
  <sheetFormatPr defaultColWidth="9.125" defaultRowHeight="18.75"/>
  <cols>
    <col min="2" max="2" width="13.12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5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>
      <c r="H2" s="21"/>
      <c r="I2" t="s">
        <v>43</v>
      </c>
    </row>
    <row r="4" spans="2:10">
      <c r="I4" s="2"/>
      <c r="J4" s="2"/>
    </row>
    <row r="5" spans="2:10">
      <c r="B5" s="6" t="s">
        <v>44</v>
      </c>
      <c r="C5" s="6" t="s">
        <v>45</v>
      </c>
      <c r="D5" s="6" t="s">
        <v>46</v>
      </c>
      <c r="E5" s="6" t="s">
        <v>47</v>
      </c>
      <c r="F5" s="24" t="s">
        <v>48</v>
      </c>
      <c r="G5" s="22" t="s">
        <v>49</v>
      </c>
      <c r="H5" s="22" t="s">
        <v>50</v>
      </c>
      <c r="I5" s="6" t="s">
        <v>51</v>
      </c>
      <c r="J5" s="6" t="s">
        <v>52</v>
      </c>
    </row>
    <row r="6" spans="2:10">
      <c r="B6" s="6" t="s">
        <v>8</v>
      </c>
      <c r="C6" s="6" t="s">
        <v>39</v>
      </c>
      <c r="D6" s="6">
        <v>30</v>
      </c>
      <c r="E6" s="6" t="s">
        <v>53</v>
      </c>
      <c r="F6" s="28" t="s">
        <v>54</v>
      </c>
      <c r="G6" s="22">
        <v>0.49285714285714283</v>
      </c>
      <c r="H6" s="22">
        <v>0.37023809523809526</v>
      </c>
      <c r="I6" s="16">
        <v>0.75</v>
      </c>
      <c r="J6" s="16">
        <f t="shared" ref="J6:J12" si="0">I6+G6/24</f>
        <v>0.77053571428571432</v>
      </c>
    </row>
    <row r="7" spans="2:10">
      <c r="B7" s="6" t="s">
        <v>15</v>
      </c>
      <c r="C7" s="6" t="s">
        <v>16</v>
      </c>
      <c r="D7" s="6">
        <v>270</v>
      </c>
      <c r="E7" s="6" t="s">
        <v>53</v>
      </c>
      <c r="F7" s="28" t="s">
        <v>54</v>
      </c>
      <c r="G7" s="27">
        <v>0.75</v>
      </c>
      <c r="H7" s="22">
        <v>0.43333333333333307</v>
      </c>
      <c r="I7" s="16">
        <f t="shared" ref="I7:I12" si="1">J6</f>
        <v>0.77053571428571432</v>
      </c>
      <c r="J7" s="16">
        <f t="shared" si="0"/>
        <v>0.80178571428571432</v>
      </c>
    </row>
    <row r="8" spans="2:10">
      <c r="B8" s="6" t="s">
        <v>12</v>
      </c>
      <c r="C8" s="6" t="s">
        <v>40</v>
      </c>
      <c r="D8" s="6">
        <v>288</v>
      </c>
      <c r="E8" s="6" t="s">
        <v>55</v>
      </c>
      <c r="F8" s="28" t="s">
        <v>54</v>
      </c>
      <c r="G8" s="22">
        <v>2.428571428571427</v>
      </c>
      <c r="H8" s="22">
        <v>1.9523809523809526</v>
      </c>
      <c r="I8" s="16">
        <f t="shared" si="1"/>
        <v>0.80178571428571432</v>
      </c>
      <c r="J8" s="16">
        <f t="shared" si="0"/>
        <v>0.90297619047619049</v>
      </c>
    </row>
    <row r="9" spans="2:10">
      <c r="B9" s="6" t="s">
        <v>17</v>
      </c>
      <c r="C9" s="6" t="s">
        <v>18</v>
      </c>
      <c r="D9" s="6">
        <v>48</v>
      </c>
      <c r="E9" s="6" t="s">
        <v>55</v>
      </c>
      <c r="F9" s="28" t="s">
        <v>54</v>
      </c>
      <c r="G9" s="22">
        <v>0.75420015367682192</v>
      </c>
      <c r="H9" s="22">
        <v>0.84665545241210305</v>
      </c>
      <c r="I9" s="16">
        <f t="shared" si="1"/>
        <v>0.90297619047619049</v>
      </c>
      <c r="J9" s="16">
        <f t="shared" si="0"/>
        <v>0.93440119687939138</v>
      </c>
    </row>
    <row r="10" spans="2:10">
      <c r="B10" s="6" t="s">
        <v>13</v>
      </c>
      <c r="C10" s="6" t="s">
        <v>56</v>
      </c>
      <c r="D10" s="6">
        <v>24</v>
      </c>
      <c r="E10" s="6" t="s">
        <v>53</v>
      </c>
      <c r="F10" s="28" t="s">
        <v>54</v>
      </c>
      <c r="G10" s="22">
        <v>0.59126984126984128</v>
      </c>
      <c r="H10" s="22" t="s">
        <v>57</v>
      </c>
      <c r="I10" s="16">
        <f>J9</f>
        <v>0.93440119687939138</v>
      </c>
      <c r="J10" s="16">
        <f t="shared" si="0"/>
        <v>0.95903744026563476</v>
      </c>
    </row>
    <row r="11" spans="2:10">
      <c r="B11" s="6" t="s">
        <v>11</v>
      </c>
      <c r="C11" s="6" t="s">
        <v>58</v>
      </c>
      <c r="D11" s="6">
        <v>120</v>
      </c>
      <c r="E11" s="6" t="s">
        <v>53</v>
      </c>
      <c r="F11" s="28" t="s">
        <v>54</v>
      </c>
      <c r="G11" s="22">
        <v>0.28951683710360498</v>
      </c>
      <c r="H11" s="22" t="s">
        <v>57</v>
      </c>
      <c r="I11" s="16">
        <f t="shared" si="1"/>
        <v>0.95903744026563476</v>
      </c>
      <c r="J11" s="16">
        <f t="shared" si="0"/>
        <v>0.97110064181161826</v>
      </c>
    </row>
    <row r="12" spans="2:10">
      <c r="B12" s="6" t="s">
        <v>22</v>
      </c>
      <c r="C12" s="6" t="s">
        <v>59</v>
      </c>
      <c r="D12" s="6">
        <v>48</v>
      </c>
      <c r="E12" s="6" t="s">
        <v>53</v>
      </c>
      <c r="F12" s="28" t="s">
        <v>54</v>
      </c>
      <c r="G12" s="22">
        <v>0.46638655462184869</v>
      </c>
      <c r="H12" s="22" t="s">
        <v>57</v>
      </c>
      <c r="I12" s="16">
        <f t="shared" si="1"/>
        <v>0.97110064181161826</v>
      </c>
      <c r="J12" s="16">
        <f t="shared" si="0"/>
        <v>0.990533414920862</v>
      </c>
    </row>
    <row r="17" spans="2:10">
      <c r="I17" s="2"/>
    </row>
    <row r="18" spans="2:10">
      <c r="B18" s="6" t="s">
        <v>44</v>
      </c>
      <c r="C18" s="6" t="s">
        <v>45</v>
      </c>
      <c r="D18" s="6" t="s">
        <v>46</v>
      </c>
      <c r="E18" s="6" t="s">
        <v>47</v>
      </c>
      <c r="F18" s="24" t="s">
        <v>48</v>
      </c>
      <c r="G18" s="22" t="s">
        <v>49</v>
      </c>
      <c r="H18" s="22" t="s">
        <v>50</v>
      </c>
      <c r="I18" s="6" t="s">
        <v>51</v>
      </c>
      <c r="J18" s="6" t="s">
        <v>52</v>
      </c>
    </row>
    <row r="19" spans="2:10">
      <c r="B19" s="6" t="s">
        <v>19</v>
      </c>
      <c r="C19" s="6" t="s">
        <v>41</v>
      </c>
      <c r="D19" s="6">
        <v>48</v>
      </c>
      <c r="E19" s="6" t="s">
        <v>60</v>
      </c>
      <c r="F19" s="29" t="s">
        <v>54</v>
      </c>
      <c r="G19" s="22">
        <v>1.1933611768060515</v>
      </c>
      <c r="H19" s="22">
        <v>0.90150790855264284</v>
      </c>
      <c r="I19" s="16">
        <v>0.75</v>
      </c>
      <c r="J19" s="16">
        <f>I19+G19/24</f>
        <v>0.79972338236691876</v>
      </c>
    </row>
    <row r="20" spans="2:10">
      <c r="B20" s="6" t="s">
        <v>21</v>
      </c>
      <c r="C20" s="6" t="s">
        <v>42</v>
      </c>
      <c r="D20" s="6">
        <v>60</v>
      </c>
      <c r="E20" s="6" t="s">
        <v>60</v>
      </c>
      <c r="F20" s="29" t="s">
        <v>54</v>
      </c>
      <c r="G20" s="22">
        <v>1.1771000535045477</v>
      </c>
      <c r="H20" s="22">
        <v>1.1620117710005353</v>
      </c>
      <c r="I20" s="16">
        <f t="shared" ref="I20:I21" si="2">J19</f>
        <v>0.79972338236691876</v>
      </c>
      <c r="J20" s="16">
        <f t="shared" ref="J20:J21" si="3">I20+G20/24</f>
        <v>0.84876921792960824</v>
      </c>
    </row>
    <row r="21" spans="2:10">
      <c r="B21" s="6" t="s">
        <v>20</v>
      </c>
      <c r="C21" s="6" t="s">
        <v>61</v>
      </c>
      <c r="D21" s="6">
        <v>48</v>
      </c>
      <c r="E21" s="6" t="s">
        <v>60</v>
      </c>
      <c r="F21" s="29" t="s">
        <v>54</v>
      </c>
      <c r="G21" s="22">
        <v>0.93290043290043234</v>
      </c>
      <c r="H21" s="22" t="s">
        <v>57</v>
      </c>
      <c r="I21" s="16">
        <f t="shared" si="2"/>
        <v>0.84876921792960824</v>
      </c>
      <c r="J21" s="16">
        <f t="shared" si="3"/>
        <v>0.88764006930045958</v>
      </c>
    </row>
    <row r="26" spans="2:10">
      <c r="I26" s="2"/>
    </row>
    <row r="27" spans="2:10">
      <c r="B27" s="6" t="s">
        <v>44</v>
      </c>
      <c r="C27" s="6" t="s">
        <v>45</v>
      </c>
      <c r="D27" s="6" t="s">
        <v>46</v>
      </c>
      <c r="E27" s="6" t="s">
        <v>47</v>
      </c>
      <c r="F27" s="24" t="s">
        <v>48</v>
      </c>
      <c r="G27" s="22" t="s">
        <v>49</v>
      </c>
      <c r="H27" s="22" t="s">
        <v>50</v>
      </c>
      <c r="I27" s="6" t="s">
        <v>51</v>
      </c>
      <c r="J27" s="6" t="s">
        <v>52</v>
      </c>
    </row>
    <row r="28" spans="2:10">
      <c r="B28" s="6"/>
      <c r="C28" s="6"/>
      <c r="D28" s="6"/>
      <c r="E28" s="6"/>
      <c r="F28" s="24"/>
      <c r="G28" s="22"/>
      <c r="H28" s="22"/>
      <c r="I28" s="16">
        <v>0.75</v>
      </c>
      <c r="J28" s="16">
        <f>I28+G28/24</f>
        <v>0.75</v>
      </c>
    </row>
    <row r="30" spans="2:10">
      <c r="G30"/>
      <c r="H3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3"/>
  <sheetViews>
    <sheetView workbookViewId="0"/>
  </sheetViews>
  <sheetFormatPr defaultColWidth="9.125" defaultRowHeight="18.75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5"/>
    </row>
    <row r="2" spans="2:9">
      <c r="F2" s="25"/>
      <c r="G2" s="21"/>
      <c r="H2" t="s">
        <v>43</v>
      </c>
    </row>
    <row r="3" spans="2:9">
      <c r="F3" s="25"/>
    </row>
    <row r="4" spans="2:9">
      <c r="F4" s="25"/>
    </row>
    <row r="5" spans="2:9">
      <c r="B5" s="6" t="s">
        <v>62</v>
      </c>
      <c r="C5" s="6" t="s">
        <v>63</v>
      </c>
      <c r="D5" s="6" t="s">
        <v>46</v>
      </c>
      <c r="E5" s="6" t="s">
        <v>47</v>
      </c>
      <c r="F5" s="26" t="s">
        <v>64</v>
      </c>
      <c r="G5" s="22" t="s">
        <v>50</v>
      </c>
      <c r="H5" s="6" t="s">
        <v>65</v>
      </c>
      <c r="I5" s="6" t="s">
        <v>66</v>
      </c>
    </row>
    <row r="6" spans="2:9">
      <c r="B6" s="6" t="s">
        <v>27</v>
      </c>
      <c r="C6" s="6" t="s">
        <v>67</v>
      </c>
      <c r="D6" s="6">
        <v>48</v>
      </c>
      <c r="E6" s="6" t="s">
        <v>60</v>
      </c>
      <c r="F6" s="29" t="s">
        <v>54</v>
      </c>
      <c r="G6" s="22">
        <v>0.23887619047619049</v>
      </c>
      <c r="H6" s="16">
        <v>0.72916666666666663</v>
      </c>
      <c r="I6" s="16">
        <v>0.75</v>
      </c>
    </row>
    <row r="7" spans="2:9">
      <c r="B7" s="6" t="s">
        <v>28</v>
      </c>
      <c r="C7" s="6" t="s">
        <v>68</v>
      </c>
      <c r="D7" s="6">
        <v>48</v>
      </c>
      <c r="E7" s="6" t="s">
        <v>55</v>
      </c>
      <c r="F7" s="29" t="s">
        <v>54</v>
      </c>
      <c r="G7" s="22">
        <v>0.23819047619047623</v>
      </c>
      <c r="H7" s="16">
        <f>I6</f>
        <v>0.75</v>
      </c>
      <c r="I7" s="16">
        <f>H7+G7/24</f>
        <v>0.7599246031746032</v>
      </c>
    </row>
    <row r="8" spans="2:9">
      <c r="B8" s="6" t="s">
        <v>30</v>
      </c>
      <c r="C8" s="6" t="s">
        <v>31</v>
      </c>
      <c r="D8" s="6">
        <v>36</v>
      </c>
      <c r="E8" s="6" t="s">
        <v>60</v>
      </c>
      <c r="F8" s="29" t="s">
        <v>54</v>
      </c>
      <c r="G8" s="22">
        <v>0.23820952380952384</v>
      </c>
      <c r="H8" s="16">
        <f>I7</f>
        <v>0.7599246031746032</v>
      </c>
      <c r="I8" s="16">
        <f t="shared" ref="I8:I22" si="0">H8+G8/24</f>
        <v>0.76985000000000003</v>
      </c>
    </row>
    <row r="9" spans="2:9">
      <c r="B9" s="6" t="s">
        <v>12</v>
      </c>
      <c r="C9" s="6" t="s">
        <v>69</v>
      </c>
      <c r="D9" s="6">
        <v>288</v>
      </c>
      <c r="E9" s="6" t="s">
        <v>55</v>
      </c>
      <c r="F9" s="29" t="s">
        <v>54</v>
      </c>
      <c r="G9" s="22">
        <v>1.9523809523809526</v>
      </c>
      <c r="H9" s="16">
        <f>I8</f>
        <v>0.76985000000000003</v>
      </c>
      <c r="I9" s="16">
        <f t="shared" si="0"/>
        <v>0.85119920634920643</v>
      </c>
    </row>
    <row r="10" spans="2:9">
      <c r="B10" s="6" t="s">
        <v>21</v>
      </c>
      <c r="C10" s="6" t="s">
        <v>70</v>
      </c>
      <c r="D10" s="6">
        <v>60</v>
      </c>
      <c r="E10" s="6" t="s">
        <v>60</v>
      </c>
      <c r="F10" s="29" t="s">
        <v>54</v>
      </c>
      <c r="G10" s="22">
        <v>1.1620117710005353</v>
      </c>
      <c r="H10" s="16">
        <f>I9</f>
        <v>0.85119920634920643</v>
      </c>
      <c r="I10" s="16">
        <f t="shared" si="0"/>
        <v>0.89961636347422869</v>
      </c>
    </row>
    <row r="11" spans="2:9">
      <c r="B11" s="6" t="s">
        <v>29</v>
      </c>
      <c r="C11" s="6" t="s">
        <v>71</v>
      </c>
      <c r="D11" s="6">
        <v>448</v>
      </c>
      <c r="E11" s="6" t="s">
        <v>55</v>
      </c>
      <c r="F11" s="29" t="s">
        <v>54</v>
      </c>
      <c r="G11" s="22">
        <v>0.27538584713378622</v>
      </c>
      <c r="H11" s="16">
        <f t="shared" ref="H11:H22" si="1">I10</f>
        <v>0.89961636347422869</v>
      </c>
      <c r="I11" s="16">
        <f t="shared" si="0"/>
        <v>0.91109077377146974</v>
      </c>
    </row>
    <row r="12" spans="2:9">
      <c r="B12" s="6" t="s">
        <v>32</v>
      </c>
      <c r="C12" s="6" t="s">
        <v>33</v>
      </c>
      <c r="D12" s="6">
        <v>48</v>
      </c>
      <c r="E12" s="6" t="s">
        <v>53</v>
      </c>
      <c r="F12" s="29" t="s">
        <v>54</v>
      </c>
      <c r="G12" s="22">
        <v>0.59821428571428581</v>
      </c>
      <c r="H12" s="16">
        <f t="shared" si="1"/>
        <v>0.91109077377146974</v>
      </c>
      <c r="I12" s="16">
        <f t="shared" si="0"/>
        <v>0.93601636900956497</v>
      </c>
    </row>
    <row r="13" spans="2:9">
      <c r="B13" s="6" t="s">
        <v>34</v>
      </c>
      <c r="C13" s="6" t="s">
        <v>35</v>
      </c>
      <c r="D13" s="6">
        <v>60</v>
      </c>
      <c r="E13" s="6" t="s">
        <v>60</v>
      </c>
      <c r="F13" s="29" t="s">
        <v>54</v>
      </c>
      <c r="G13" s="22">
        <v>0.50964187327823696</v>
      </c>
      <c r="H13" s="16">
        <f t="shared" si="1"/>
        <v>0.93601636900956497</v>
      </c>
      <c r="I13" s="16">
        <f t="shared" si="0"/>
        <v>0.95725144706282483</v>
      </c>
    </row>
    <row r="14" spans="2:9">
      <c r="B14" s="6" t="s">
        <v>36</v>
      </c>
      <c r="C14" s="6" t="s">
        <v>37</v>
      </c>
      <c r="D14" s="6">
        <v>48</v>
      </c>
      <c r="E14" s="6" t="s">
        <v>53</v>
      </c>
      <c r="F14" s="29" t="s">
        <v>54</v>
      </c>
      <c r="G14" s="22">
        <v>0.73376623376623429</v>
      </c>
      <c r="H14" s="16">
        <f t="shared" si="1"/>
        <v>0.95725144706282483</v>
      </c>
      <c r="I14" s="16">
        <f t="shared" si="0"/>
        <v>0.98782504013641792</v>
      </c>
    </row>
    <row r="15" spans="2:9">
      <c r="B15" s="6" t="s">
        <v>17</v>
      </c>
      <c r="C15" s="6" t="s">
        <v>38</v>
      </c>
      <c r="D15" s="6">
        <v>48</v>
      </c>
      <c r="E15" s="6" t="s">
        <v>55</v>
      </c>
      <c r="F15" s="29" t="s">
        <v>54</v>
      </c>
      <c r="G15" s="22">
        <v>0.84665545241210305</v>
      </c>
      <c r="H15" s="16">
        <f t="shared" si="1"/>
        <v>0.98782504013641792</v>
      </c>
      <c r="I15" s="16">
        <f t="shared" si="0"/>
        <v>1.0231023506535888</v>
      </c>
    </row>
    <row r="16" spans="2:9">
      <c r="B16" s="6" t="s">
        <v>15</v>
      </c>
      <c r="C16" s="6" t="s">
        <v>16</v>
      </c>
      <c r="D16" s="6">
        <v>270</v>
      </c>
      <c r="E16" s="16" t="s">
        <v>53</v>
      </c>
      <c r="F16" s="29" t="s">
        <v>54</v>
      </c>
      <c r="G16" s="22">
        <v>0.43333333333333307</v>
      </c>
      <c r="H16" s="16">
        <f t="shared" si="1"/>
        <v>1.0231023506535888</v>
      </c>
      <c r="I16" s="16">
        <f t="shared" si="0"/>
        <v>1.0411579062091443</v>
      </c>
    </row>
    <row r="17" spans="2:9">
      <c r="B17" s="6" t="s">
        <v>8</v>
      </c>
      <c r="C17" s="6" t="s">
        <v>39</v>
      </c>
      <c r="D17" s="6">
        <v>30</v>
      </c>
      <c r="E17" s="6" t="s">
        <v>53</v>
      </c>
      <c r="F17" s="26">
        <v>0.75</v>
      </c>
      <c r="G17" s="22">
        <v>0.37023809523809526</v>
      </c>
      <c r="H17" s="16">
        <f t="shared" si="1"/>
        <v>1.0411579062091443</v>
      </c>
      <c r="I17" s="16">
        <f t="shared" si="0"/>
        <v>1.0565844935107316</v>
      </c>
    </row>
    <row r="18" spans="2:9">
      <c r="B18" s="6" t="s">
        <v>15</v>
      </c>
      <c r="C18" s="6" t="s">
        <v>16</v>
      </c>
      <c r="D18" s="6">
        <v>270</v>
      </c>
      <c r="E18" s="6" t="s">
        <v>53</v>
      </c>
      <c r="F18" s="26">
        <v>0.77053571428571432</v>
      </c>
      <c r="G18" s="22">
        <v>0.43333333333333307</v>
      </c>
      <c r="H18" s="16">
        <f t="shared" si="1"/>
        <v>1.0565844935107316</v>
      </c>
      <c r="I18" s="16">
        <f t="shared" si="0"/>
        <v>1.0746400490662871</v>
      </c>
    </row>
    <row r="19" spans="2:9">
      <c r="B19" s="6" t="s">
        <v>12</v>
      </c>
      <c r="C19" s="6" t="s">
        <v>40</v>
      </c>
      <c r="D19" s="6">
        <v>288</v>
      </c>
      <c r="E19" s="6" t="s">
        <v>55</v>
      </c>
      <c r="F19" s="26">
        <v>0.80178571428571432</v>
      </c>
      <c r="G19" s="22">
        <v>1.9523809523809526</v>
      </c>
      <c r="H19" s="16">
        <f t="shared" si="1"/>
        <v>1.0746400490662871</v>
      </c>
      <c r="I19" s="16">
        <f t="shared" si="0"/>
        <v>1.1559892554154934</v>
      </c>
    </row>
    <row r="20" spans="2:9">
      <c r="B20" s="6" t="s">
        <v>17</v>
      </c>
      <c r="C20" s="6" t="s">
        <v>18</v>
      </c>
      <c r="D20" s="6">
        <v>48</v>
      </c>
      <c r="E20" s="6" t="s">
        <v>55</v>
      </c>
      <c r="F20" s="26">
        <v>0.90297619047619049</v>
      </c>
      <c r="G20" s="22">
        <v>0.84665545241210305</v>
      </c>
      <c r="H20" s="16">
        <f t="shared" si="1"/>
        <v>1.1559892554154934</v>
      </c>
      <c r="I20" s="16">
        <f t="shared" si="0"/>
        <v>1.1912665659326642</v>
      </c>
    </row>
    <row r="21" spans="2:9">
      <c r="B21" s="6" t="s">
        <v>19</v>
      </c>
      <c r="C21" s="6" t="s">
        <v>41</v>
      </c>
      <c r="D21" s="6">
        <v>48</v>
      </c>
      <c r="E21" s="6" t="s">
        <v>60</v>
      </c>
      <c r="F21" s="26">
        <v>0.75</v>
      </c>
      <c r="G21" s="22">
        <v>0.90150790855264284</v>
      </c>
      <c r="H21" s="16">
        <f t="shared" si="1"/>
        <v>1.1912665659326642</v>
      </c>
      <c r="I21" s="16">
        <f t="shared" si="0"/>
        <v>1.228829395455691</v>
      </c>
    </row>
    <row r="22" spans="2:9">
      <c r="B22" s="6" t="s">
        <v>21</v>
      </c>
      <c r="C22" s="6" t="s">
        <v>42</v>
      </c>
      <c r="D22" s="6">
        <v>60</v>
      </c>
      <c r="E22" s="6" t="s">
        <v>60</v>
      </c>
      <c r="F22" s="26">
        <v>0.79972338236691876</v>
      </c>
      <c r="G22" s="22">
        <v>1.1620117710005353</v>
      </c>
      <c r="H22" s="16">
        <f t="shared" si="1"/>
        <v>1.228829395455691</v>
      </c>
      <c r="I22" s="16">
        <f t="shared" si="0"/>
        <v>1.2772465525807133</v>
      </c>
    </row>
    <row r="23" spans="2:9">
      <c r="F23" s="25"/>
      <c r="G23" s="23"/>
      <c r="H23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DA3553C5-1DEA-47D6-A58E-593A4E03BB1C}"/>
</file>

<file path=customXml/itemProps2.xml><?xml version="1.0" encoding="utf-8"?>
<ds:datastoreItem xmlns:ds="http://schemas.openxmlformats.org/officeDocument/2006/customXml" ds:itemID="{319C3116-BB26-4046-9CEE-30119B9D2759}"/>
</file>

<file path=customXml/itemProps3.xml><?xml version="1.0" encoding="utf-8"?>
<ds:datastoreItem xmlns:ds="http://schemas.openxmlformats.org/officeDocument/2006/customXml" ds:itemID="{D9B6089C-DC21-4487-A7DE-E222667B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2024-10-21T04:49:47Z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