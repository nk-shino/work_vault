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40" documentId="8_{868F422A-1F07-46F9-B7D8-6B2F4973056A}" xr6:coauthVersionLast="47" xr6:coauthVersionMax="47" xr10:uidLastSave="{900363D5-A7FD-470B-B1C6-9C71EFC985B8}"/>
  <bookViews>
    <workbookView xWindow="-120" yWindow="-120" windowWidth="20730" windowHeight="11160" activeTab="4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H7" i="5" s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  <c r="H19" i="5" s="1"/>
  <c r="I19" i="5" s="1"/>
  <c r="J30" i="6"/>
  <c r="I31" i="6" s="1"/>
  <c r="J31" i="6" s="1"/>
  <c r="I32" i="6" s="1"/>
  <c r="J32" i="6" s="1"/>
  <c r="J22" i="6"/>
  <c r="I23" i="6" s="1"/>
  <c r="J23" i="6" s="1"/>
  <c r="J21" i="6"/>
  <c r="J20" i="6"/>
  <c r="J18" i="6"/>
  <c r="I19" i="6" s="1"/>
  <c r="J19" i="6" s="1"/>
  <c r="J11" i="6"/>
  <c r="J10" i="6"/>
  <c r="J6" i="6"/>
  <c r="I7" i="6" s="1"/>
  <c r="J7" i="6" s="1"/>
  <c r="I8" i="6" s="1"/>
  <c r="J8" i="6" s="1"/>
  <c r="I9" i="6" s="1"/>
  <c r="J9" i="6" s="1"/>
</calcChain>
</file>

<file path=xl/sharedStrings.xml><?xml version="1.0" encoding="utf-8"?>
<sst xmlns="http://schemas.openxmlformats.org/spreadsheetml/2006/main" count="275" uniqueCount="78">
  <si>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</si>
  <si>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</si>
  <si>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</si>
  <si>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</si>
  <si>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</si>
  <si>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</si>
  <si>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</si>
  <si>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</si>
  <si>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</si>
  <si>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</si>
  <si>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</si>
  <si>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</si>
  <si>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</si>
  <si>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</si>
  <si>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</si>
  <si>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</si>
  <si>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</si>
  <si>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</si>
  <si>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</si>
  <si>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</si>
  <si>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―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</si>
  <si>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</si>
  <si>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</si>
  <si>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</si>
  <si>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</si>
  <si>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AOI終了予定時刻</t>
    <rPh sb="3" eb="5">
      <t>シュウリョウ</t>
    </rPh>
    <rPh sb="5" eb="9">
      <t>ヨテイジコク</t>
    </rPh>
    <phoneticPr fontId="9"/>
  </si>
  <si>
    <t>UR-0481-01</t>
  </si>
  <si>
    <t>Line-2</t>
  </si>
  <si>
    <t>UR-0505</t>
  </si>
  <si>
    <t>UR-0480</t>
  </si>
  <si>
    <t>UR-0483</t>
  </si>
  <si>
    <t>211985883</t>
  </si>
  <si>
    <t>UR-06101-01</t>
  </si>
  <si>
    <t>Line-3</t>
  </si>
  <si>
    <t>UR-0559-06</t>
  </si>
  <si>
    <t>211985886</t>
  </si>
  <si>
    <t>UR-05091-03</t>
  </si>
  <si>
    <t>211983860</t>
  </si>
  <si>
    <t>UT-0948</t>
  </si>
  <si>
    <t>211986393</t>
  </si>
  <si>
    <t>UTS-0855</t>
  </si>
  <si>
    <t>211986396</t>
  </si>
  <si>
    <t>UR-0617-01</t>
  </si>
  <si>
    <t>211986374</t>
  </si>
  <si>
    <t>UR-0618</t>
  </si>
  <si>
    <t>211986375</t>
  </si>
  <si>
    <t>URS-42144-02</t>
  </si>
  <si>
    <t>211984954</t>
  </si>
  <si>
    <t>UR-4348</t>
  </si>
  <si>
    <t>211986379</t>
  </si>
  <si>
    <t>211986365</t>
  </si>
  <si>
    <t>211986368</t>
  </si>
  <si>
    <t>UR-0475</t>
  </si>
  <si>
    <t>211986358</t>
  </si>
  <si>
    <t>UR-0493</t>
  </si>
  <si>
    <t>211986367</t>
  </si>
  <si>
    <t>UR-0489</t>
  </si>
  <si>
    <t>211986366</t>
  </si>
  <si>
    <t>211986364</t>
  </si>
  <si>
    <t>211986407</t>
  </si>
  <si>
    <t>211986372</t>
  </si>
  <si>
    <t>211983861</t>
  </si>
  <si>
    <t>UR-0511</t>
  </si>
  <si>
    <t>211986369</t>
  </si>
  <si>
    <t>UR-0521</t>
  </si>
  <si>
    <t>211986370</t>
  </si>
  <si>
    <t>UR-0551</t>
  </si>
  <si>
    <t>211986371</t>
  </si>
  <si>
    <t>UR-0610-01</t>
    <phoneticPr fontId="2"/>
  </si>
  <si>
    <t>211986373</t>
  </si>
  <si>
    <t>UR-0610-01</t>
  </si>
  <si>
    <t>計画</t>
    <rPh sb="0" eb="2">
      <t>ケイカク</t>
    </rPh>
    <phoneticPr fontId="2"/>
  </si>
  <si>
    <t>計画</t>
    <rPh sb="0" eb="2">
      <t>ケイカク</t>
    </rPh>
    <phoneticPr fontId="2"/>
  </si>
  <si>
    <t>実績</t>
    <rPh sb="0" eb="2">
      <t>ジッセキ</t>
    </rPh>
    <phoneticPr fontId="2"/>
  </si>
  <si>
    <t>実績データなし</t>
    <rPh sb="0" eb="2">
      <t>ジッセキ</t>
    </rPh>
    <phoneticPr fontId="2"/>
  </si>
  <si>
    <t>実績</t>
    <rPh sb="0" eb="2">
      <t>ジッセキ</t>
    </rPh>
    <phoneticPr fontId="2"/>
  </si>
  <si>
    <t>実績データなし</t>
    <rPh sb="0" eb="2">
      <t>ジッセキ</t>
    </rPh>
    <phoneticPr fontId="2"/>
  </si>
  <si>
    <t>　＊極性不良多数のためデバック待ち</t>
    <rPh sb="2" eb="8">
      <t>キョクセイフリョウタスウ</t>
    </rPh>
    <rPh sb="15" eb="16">
      <t>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</si>
</sst>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38E098F-FC7A-430F-8135-29877FC6C55F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13</xdr:row>
      <xdr:rowOff>0</xdr:rowOff>
    </xdr:from>
    <xdr:to>
      <xdr:col>6</xdr:col>
      <xdr:colOff>0</xdr:colOff>
      <xdr:row>15</xdr:row>
      <xdr:rowOff>28161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2FDB7B-95D5-469F-B07A-AA5C6CB62623}"/>
            </a:ext>
          </a:extLst>
        </xdr:cNvPr>
        <xdr:cNvSpPr txBox="1"/>
      </xdr:nvSpPr>
      <xdr:spPr>
        <a:xfrm>
          <a:off x="780222" y="30956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25</xdr:row>
      <xdr:rowOff>0</xdr:rowOff>
    </xdr:from>
    <xdr:to>
      <xdr:col>6</xdr:col>
      <xdr:colOff>0</xdr:colOff>
      <xdr:row>27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B1A36DE-C049-4F42-8D38-912CF1452607}"/>
            </a:ext>
          </a:extLst>
        </xdr:cNvPr>
        <xdr:cNvSpPr txBox="1"/>
      </xdr:nvSpPr>
      <xdr:spPr>
        <a:xfrm>
          <a:off x="780222" y="59531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2E21409-702B-4D6F-9F45-1DA486CF1FD0}"/>
            </a:ext>
          </a:extLst>
        </xdr:cNvPr>
        <xdr:cNvSpPr txBox="1"/>
      </xdr:nvSpPr>
      <xdr:spPr>
        <a:xfrm>
          <a:off x="702365" y="798236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40</v>
      </c>
      <c r="C4" s="6">
        <v>211986396</v>
      </c>
      <c r="D4" s="6" t="s">
        <v>75</v>
      </c>
      <c r="E4" s="7">
        <v>0.72250000000000003</v>
      </c>
      <c r="F4" s="7">
        <v>0.73048611111111106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75</v>
      </c>
      <c r="E5" s="7">
        <v>0.73063657407407412</v>
      </c>
      <c r="F5" s="7">
        <v>0.73168981481481477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7"/>
      <c r="C6" s="27"/>
      <c r="D6" s="6" t="s">
        <v>71</v>
      </c>
      <c r="E6" s="29">
        <v>0.76091269841269837</v>
      </c>
      <c r="F6" s="29">
        <v>0.77344541540020262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42</v>
      </c>
      <c r="C7" s="6">
        <v>211986374</v>
      </c>
      <c r="D7" s="6" t="s">
        <v>75</v>
      </c>
      <c r="E7" s="7">
        <v>0.74046296296296299</v>
      </c>
      <c r="F7" s="7">
        <v>0.75997685185185182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75</v>
      </c>
      <c r="E8" s="7">
        <v>0.76009259259259254</v>
      </c>
      <c r="F8" s="7">
        <v>0.7662268518518518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7"/>
      <c r="C9" s="27"/>
      <c r="D9" s="6" t="s">
        <v>71</v>
      </c>
      <c r="E9" s="28">
        <v>0.77344541540020262</v>
      </c>
      <c r="F9" s="28">
        <v>0.80064209002431785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38</v>
      </c>
      <c r="C10" s="6">
        <v>211986393</v>
      </c>
      <c r="D10" s="6" t="s">
        <v>75</v>
      </c>
      <c r="E10" s="7">
        <v>0.76635416666666667</v>
      </c>
      <c r="F10" s="7">
        <v>0.76642361111111112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75</v>
      </c>
      <c r="E11" s="7">
        <v>0.76652777777777781</v>
      </c>
      <c r="F11" s="7">
        <v>0.76908564814814817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7"/>
      <c r="C12" s="27"/>
      <c r="D12" s="6" t="s">
        <v>71</v>
      </c>
      <c r="E12" s="28">
        <v>0.75</v>
      </c>
      <c r="F12" s="28">
        <v>0.76091269841269837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44</v>
      </c>
      <c r="C13" s="6">
        <v>211986375</v>
      </c>
      <c r="D13" s="6" t="s">
        <v>75</v>
      </c>
      <c r="E13" s="7">
        <v>0.76920138888888889</v>
      </c>
      <c r="F13" s="7">
        <v>0.77246527777777774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7"/>
      <c r="C14" s="27"/>
      <c r="D14" s="6" t="s">
        <v>71</v>
      </c>
      <c r="E14" s="28">
        <v>0.80064209002431785</v>
      </c>
      <c r="F14" s="28">
        <v>0.81110234107034296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48</v>
      </c>
      <c r="C15" s="6">
        <v>211986379</v>
      </c>
      <c r="D15" s="6" t="s">
        <v>75</v>
      </c>
      <c r="E15" s="7">
        <v>0.9673032407407407</v>
      </c>
      <c r="F15" s="7">
        <v>0.97365740740740736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27"/>
      <c r="C16" s="27"/>
      <c r="D16" s="6" t="s">
        <v>71</v>
      </c>
      <c r="E16" s="28">
        <v>45603.045231481483</v>
      </c>
      <c r="F16" s="28">
        <v>45603.063217523544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7"/>
      <c r="C17" s="27"/>
      <c r="D17" s="27"/>
      <c r="E17" s="28"/>
      <c r="F17" s="2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27" t="s">
        <v>76</v>
      </c>
      <c r="C18" s="27"/>
      <c r="D18" s="27"/>
      <c r="E18" s="28"/>
      <c r="F18" s="28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46</v>
      </c>
      <c r="C19" s="6" t="s">
        <v>47</v>
      </c>
      <c r="D19" s="27" t="s">
        <v>71</v>
      </c>
      <c r="E19" s="28">
        <v>45602.9608912037</v>
      </c>
      <c r="F19" s="28">
        <v>45603.048981791078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27"/>
      <c r="C21" s="27"/>
      <c r="D21" s="27"/>
      <c r="E21" s="28"/>
      <c r="F21" s="28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27"/>
      <c r="C22" s="27"/>
      <c r="D22" s="27"/>
      <c r="E22" s="28"/>
      <c r="F22" s="28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27"/>
      <c r="C23" s="27"/>
      <c r="D23" s="27"/>
      <c r="E23" s="28"/>
      <c r="F23" s="28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27"/>
      <c r="C24" s="27"/>
      <c r="D24" s="27"/>
      <c r="E24" s="29"/>
      <c r="F24" s="28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26</v>
      </c>
      <c r="C4" s="6">
        <v>211986365</v>
      </c>
      <c r="D4" s="6" t="s">
        <v>75</v>
      </c>
      <c r="E4" s="7">
        <v>0.94922453703703702</v>
      </c>
      <c r="F4" s="7">
        <v>0.97828703703703701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75</v>
      </c>
      <c r="E5" s="7">
        <v>0.97840277777777773</v>
      </c>
      <c r="F5" s="7">
        <v>0.99599537037037034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71</v>
      </c>
      <c r="E6" s="7">
        <v>0.75</v>
      </c>
      <c r="F6" s="7">
        <v>0.82619213581683315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52</v>
      </c>
      <c r="C7" s="6">
        <v>211986358</v>
      </c>
      <c r="D7" s="6" t="s">
        <v>75</v>
      </c>
      <c r="E7" s="7">
        <v>2.199074074074074E-4</v>
      </c>
      <c r="F7" s="7">
        <v>3.0092592592592595E-4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75</v>
      </c>
      <c r="E8" s="7">
        <v>4.2824074074074075E-4</v>
      </c>
      <c r="F8" s="7">
        <v>2.7893518518518519E-3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71</v>
      </c>
      <c r="E9" s="7">
        <v>0.86982638888888886</v>
      </c>
      <c r="F9" s="7">
        <v>0.88103009259259257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28</v>
      </c>
      <c r="C10" s="6">
        <v>211986368</v>
      </c>
      <c r="D10" s="6" t="s">
        <v>75</v>
      </c>
      <c r="E10" s="7">
        <v>2.9282407407407408E-3</v>
      </c>
      <c r="F10" s="7">
        <v>5.7175925925925927E-3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71</v>
      </c>
      <c r="E11" s="7">
        <v>0.82619213581683315</v>
      </c>
      <c r="F11" s="7">
        <v>0.8368944387417484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54</v>
      </c>
      <c r="C12" s="6">
        <v>211986367</v>
      </c>
      <c r="D12" s="6" t="s">
        <v>75</v>
      </c>
      <c r="E12" s="7">
        <v>5.8333333333333336E-3</v>
      </c>
      <c r="F12" s="7">
        <v>5.9027777777777776E-3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75</v>
      </c>
      <c r="E13" s="7">
        <v>6.0416666666666665E-3</v>
      </c>
      <c r="F13" s="7">
        <v>8.3449074074074068E-3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71</v>
      </c>
      <c r="E14" s="7">
        <v>0.89957175925925925</v>
      </c>
      <c r="F14" s="7">
        <v>0.91115740740740736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29</v>
      </c>
      <c r="C15" s="6">
        <v>211986364</v>
      </c>
      <c r="D15" s="6" t="s">
        <v>75</v>
      </c>
      <c r="E15" s="7">
        <v>8.5300925925925926E-3</v>
      </c>
      <c r="F15" s="7">
        <v>1.3217592592592593E-2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71</v>
      </c>
      <c r="E16" s="7">
        <v>9.8032407407407408E-3</v>
      </c>
      <c r="F16" s="7">
        <v>3.1736111111111111E-2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27" t="s">
        <v>76</v>
      </c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56</v>
      </c>
      <c r="C19" s="6" t="s">
        <v>57</v>
      </c>
      <c r="D19" s="6" t="s">
        <v>72</v>
      </c>
      <c r="E19" s="7">
        <v>45602.960081018522</v>
      </c>
      <c r="F19" s="7">
        <v>45603.009804400892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36</v>
      </c>
      <c r="C4" s="6">
        <v>211983861</v>
      </c>
      <c r="D4" s="6" t="s">
        <v>75</v>
      </c>
      <c r="E4" s="7">
        <v>0.79355324074074074</v>
      </c>
      <c r="F4" s="7">
        <v>0.91988425925925921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75</v>
      </c>
      <c r="E5" s="7">
        <v>0.92020833333333329</v>
      </c>
      <c r="F5" s="7">
        <v>0.94581018518518523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71</v>
      </c>
      <c r="E6" s="7">
        <v>0.80970774053018502</v>
      </c>
      <c r="F6" s="7">
        <v>0.91089821672066118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74</v>
      </c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32</v>
      </c>
      <c r="C9" s="6" t="s">
        <v>59</v>
      </c>
      <c r="D9" s="6" t="s">
        <v>72</v>
      </c>
      <c r="E9" s="7">
        <v>0.75</v>
      </c>
      <c r="F9" s="7">
        <v>0.78142500640320089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34</v>
      </c>
      <c r="C10" s="6" t="s">
        <v>60</v>
      </c>
      <c r="D10" s="6" t="s">
        <v>72</v>
      </c>
      <c r="E10" s="7">
        <v>0.78142500640320089</v>
      </c>
      <c r="F10" s="7">
        <v>0.80970774053018502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77</v>
      </c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70</v>
      </c>
      <c r="C4" s="6">
        <v>211986373</v>
      </c>
      <c r="D4" s="6" t="s">
        <v>73</v>
      </c>
      <c r="E4" s="7">
        <v>0.80351851851851852</v>
      </c>
      <c r="F4" s="7">
        <v>0.81234953703703705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72</v>
      </c>
      <c r="E5" s="7">
        <v>0.98226598500468099</v>
      </c>
      <c r="F5" s="7">
        <v>1.5995370370370372E-2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38</v>
      </c>
      <c r="C6" s="6">
        <v>211986393</v>
      </c>
      <c r="D6" s="6" t="s">
        <v>73</v>
      </c>
      <c r="E6" s="7">
        <v>0.81295138888888885</v>
      </c>
      <c r="F6" s="7">
        <v>0.81925925925925924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72</v>
      </c>
      <c r="E7" s="7">
        <v>1.5995370370370372E-2</v>
      </c>
      <c r="F7" s="7">
        <v>2.5914351851851852E-2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30</v>
      </c>
      <c r="C8" s="6">
        <v>211985883</v>
      </c>
      <c r="D8" s="6" t="s">
        <v>73</v>
      </c>
      <c r="E8" s="7">
        <v>0.84942129629629626</v>
      </c>
      <c r="F8" s="7">
        <v>0.85966435185185186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72</v>
      </c>
      <c r="E9" s="7">
        <v>0.77760946031746037</v>
      </c>
      <c r="F9" s="7">
        <v>0.82602661744248262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64</v>
      </c>
      <c r="C10" s="6">
        <v>211986370</v>
      </c>
      <c r="D10" s="6" t="s">
        <v>73</v>
      </c>
      <c r="E10" s="7">
        <v>0.86059027777777775</v>
      </c>
      <c r="F10" s="7">
        <v>0.86797453703703709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72</v>
      </c>
      <c r="E11" s="7">
        <v>0.91885023408893007</v>
      </c>
      <c r="F11" s="7">
        <v>0.94159138183007784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66</v>
      </c>
      <c r="C12" s="6">
        <v>211986371</v>
      </c>
      <c r="D12" s="6" t="s">
        <v>73</v>
      </c>
      <c r="E12" s="7">
        <v>0.86828703703703702</v>
      </c>
      <c r="F12" s="7">
        <v>0.87685185185185188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72</v>
      </c>
      <c r="E13" s="7">
        <v>0.94159138183007784</v>
      </c>
      <c r="F13" s="7">
        <v>0.98226598500468099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74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34</v>
      </c>
      <c r="C16" s="6" t="s">
        <v>35</v>
      </c>
      <c r="D16" s="6" t="s">
        <v>72</v>
      </c>
      <c r="E16" s="7">
        <v>0.75</v>
      </c>
      <c r="F16" s="7">
        <v>0.77760946031746037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36</v>
      </c>
      <c r="C17" s="6" t="s">
        <v>37</v>
      </c>
      <c r="D17" s="6" t="s">
        <v>72</v>
      </c>
      <c r="E17" s="7">
        <v>0.82602661744248262</v>
      </c>
      <c r="F17" s="7">
        <v>0.90737582379168902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62</v>
      </c>
      <c r="C18" s="6" t="s">
        <v>63</v>
      </c>
      <c r="D18" s="6" t="s">
        <v>72</v>
      </c>
      <c r="E18" s="7">
        <v>0.90737582379168902</v>
      </c>
      <c r="F18" s="7">
        <v>0.91885023408893007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32</v>
      </c>
      <c r="C19" s="6" t="s">
        <v>59</v>
      </c>
      <c r="D19" s="6" t="s">
        <v>72</v>
      </c>
      <c r="E19" s="7">
        <v>1.0259179691316651</v>
      </c>
      <c r="F19" s="7">
        <v>1.061195279648836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34</v>
      </c>
      <c r="C20" s="6" t="s">
        <v>60</v>
      </c>
      <c r="D20" s="6" t="s">
        <v>72</v>
      </c>
      <c r="E20" s="7">
        <v>1.061195279648836</v>
      </c>
      <c r="F20" s="7">
        <v>1.0888047399662963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26</v>
      </c>
      <c r="C21" s="6" t="s">
        <v>50</v>
      </c>
      <c r="D21" s="6" t="s">
        <v>72</v>
      </c>
      <c r="E21" s="16">
        <v>1.0888047399662963</v>
      </c>
      <c r="F21" s="16">
        <v>1.1833794214053845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36</v>
      </c>
      <c r="C22" s="6" t="s">
        <v>61</v>
      </c>
      <c r="D22" s="6" t="s">
        <v>72</v>
      </c>
      <c r="E22" s="7">
        <v>1.1833794214053845</v>
      </c>
      <c r="F22" s="7">
        <v>1.2647286277545908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56</v>
      </c>
      <c r="C23" s="6" t="s">
        <v>57</v>
      </c>
      <c r="D23" s="6" t="s">
        <v>72</v>
      </c>
      <c r="E23" s="7">
        <v>1.2647286277545908</v>
      </c>
      <c r="F23" s="7">
        <v>1.3022914572776176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46</v>
      </c>
      <c r="C24" s="6" t="s">
        <v>47</v>
      </c>
      <c r="D24" s="6" t="s">
        <v>72</v>
      </c>
      <c r="E24" s="7">
        <v>1.3022914572776176</v>
      </c>
      <c r="F24" s="7">
        <v>1.3620450988996156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8"/>
      <c r="F25" s="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3 C23 C26:C1048576 C1:C3 C5 C11 C7 C9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2:J32"/>
  <sheetViews>
    <sheetView tabSelected="1" workbookViewId="0">
      <selection activeCell="F21" sqref="F21"/>
    </sheetView>
  </sheetViews>
  <sheetFormatPr defaultColWidth="9.25" defaultRowHeight="18.75"/>
  <cols>
    <col min="1" max="1" width="9.25" style="31"/>
    <col min="2" max="2" width="14.37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8</v>
      </c>
    </row>
    <row r="4" spans="2:10">
      <c r="I4" s="2"/>
      <c r="J4" s="2"/>
    </row>
    <row r="5" spans="2:10">
      <c r="B5" s="6" t="s">
        <v>9</v>
      </c>
      <c r="C5" s="6" t="s">
        <v>10</v>
      </c>
      <c r="D5" s="6" t="s">
        <v>11</v>
      </c>
      <c r="E5" s="6" t="s">
        <v>12</v>
      </c>
      <c r="F5" s="26" t="s">
        <v>13</v>
      </c>
      <c r="G5" s="22" t="s">
        <v>14</v>
      </c>
      <c r="H5" s="22" t="s">
        <v>15</v>
      </c>
      <c r="I5" s="6" t="s">
        <v>16</v>
      </c>
      <c r="J5" s="6" t="s">
        <v>17</v>
      </c>
    </row>
    <row r="6" spans="2:10">
      <c r="B6" s="6" t="s">
        <v>38</v>
      </c>
      <c r="C6" s="6" t="s">
        <v>39</v>
      </c>
      <c r="D6" s="6">
        <v>12</v>
      </c>
      <c r="E6" s="6" t="s">
        <v>18</v>
      </c>
      <c r="F6" s="30" t="s">
        <v>19</v>
      </c>
      <c r="G6" s="22">
        <v>0.26190476190476192</v>
      </c>
      <c r="H6" s="22">
        <v>0.23812380952380954</v>
      </c>
      <c r="I6" s="16">
        <v>0.75</v>
      </c>
      <c r="J6" s="16">
        <f t="shared" ref="J6:J11" si="0">I6+G6/24</f>
        <v>0.76091269841269837</v>
      </c>
    </row>
    <row r="7" spans="2:10">
      <c r="B7" s="6" t="s">
        <v>40</v>
      </c>
      <c r="C7" s="6" t="s">
        <v>41</v>
      </c>
      <c r="D7" s="6">
        <v>12</v>
      </c>
      <c r="E7" s="6" t="s">
        <v>18</v>
      </c>
      <c r="F7" s="30" t="s">
        <v>19</v>
      </c>
      <c r="G7" s="22">
        <v>0.30078520770010131</v>
      </c>
      <c r="H7" s="22" t="s">
        <v>20</v>
      </c>
      <c r="I7" s="16">
        <f t="shared" ref="I7:I9" si="1">J6</f>
        <v>0.76091269841269837</v>
      </c>
      <c r="J7" s="16">
        <f t="shared" si="0"/>
        <v>0.77344541540020262</v>
      </c>
    </row>
    <row r="8" spans="2:10">
      <c r="B8" s="6" t="s">
        <v>42</v>
      </c>
      <c r="C8" s="6" t="s">
        <v>43</v>
      </c>
      <c r="D8" s="6">
        <v>96</v>
      </c>
      <c r="E8" s="6" t="s">
        <v>18</v>
      </c>
      <c r="F8" s="30" t="s">
        <v>19</v>
      </c>
      <c r="G8" s="22">
        <v>0.65272019097876666</v>
      </c>
      <c r="H8" s="22" t="s">
        <v>20</v>
      </c>
      <c r="I8" s="16">
        <f t="shared" si="1"/>
        <v>0.77344541540020262</v>
      </c>
      <c r="J8" s="16">
        <f t="shared" si="0"/>
        <v>0.80064209002431785</v>
      </c>
    </row>
    <row r="9" spans="2:10">
      <c r="B9" s="6" t="s">
        <v>44</v>
      </c>
      <c r="C9" s="6" t="s">
        <v>45</v>
      </c>
      <c r="D9" s="6">
        <v>80</v>
      </c>
      <c r="E9" s="6" t="s">
        <v>18</v>
      </c>
      <c r="F9" s="30" t="s">
        <v>19</v>
      </c>
      <c r="G9" s="22">
        <v>0.2510460251046025</v>
      </c>
      <c r="H9" s="22" t="s">
        <v>20</v>
      </c>
      <c r="I9" s="16">
        <f t="shared" si="1"/>
        <v>0.80064209002431785</v>
      </c>
      <c r="J9" s="16">
        <f t="shared" si="0"/>
        <v>0.81110234107034296</v>
      </c>
    </row>
    <row r="10" spans="2:10">
      <c r="B10" s="6" t="s">
        <v>46</v>
      </c>
      <c r="C10" s="6" t="s">
        <v>47</v>
      </c>
      <c r="D10" s="6">
        <v>400</v>
      </c>
      <c r="E10" s="6" t="s">
        <v>18</v>
      </c>
      <c r="F10" s="26">
        <v>45602.9608912037</v>
      </c>
      <c r="G10" s="22">
        <v>2.1141740970032066</v>
      </c>
      <c r="H10" s="22">
        <v>1.4340873989279523</v>
      </c>
      <c r="I10" s="26">
        <v>45602.9608912037</v>
      </c>
      <c r="J10" s="16">
        <f t="shared" si="0"/>
        <v>45603.048981791078</v>
      </c>
    </row>
    <row r="11" spans="2:10">
      <c r="B11" s="6" t="s">
        <v>48</v>
      </c>
      <c r="C11" s="6" t="s">
        <v>49</v>
      </c>
      <c r="D11" s="6">
        <v>144</v>
      </c>
      <c r="E11" s="6" t="s">
        <v>18</v>
      </c>
      <c r="F11" s="26">
        <v>45603.045231481483</v>
      </c>
      <c r="G11" s="22">
        <v>0.43166500939122765</v>
      </c>
      <c r="H11" s="22" t="s">
        <v>20</v>
      </c>
      <c r="I11" s="26">
        <v>45603.045231481483</v>
      </c>
      <c r="J11" s="16">
        <f t="shared" si="0"/>
        <v>45603.063217523544</v>
      </c>
    </row>
    <row r="16" spans="2:10">
      <c r="I16" s="2"/>
    </row>
    <row r="17" spans="2:10">
      <c r="B17" s="6" t="s">
        <v>9</v>
      </c>
      <c r="C17" s="6" t="s">
        <v>10</v>
      </c>
      <c r="D17" s="6" t="s">
        <v>11</v>
      </c>
      <c r="E17" s="6" t="s">
        <v>12</v>
      </c>
      <c r="F17" s="26" t="s">
        <v>13</v>
      </c>
      <c r="G17" s="22" t="s">
        <v>14</v>
      </c>
      <c r="H17" s="22" t="s">
        <v>15</v>
      </c>
      <c r="I17" s="6" t="s">
        <v>16</v>
      </c>
      <c r="J17" s="6" t="s">
        <v>17</v>
      </c>
    </row>
    <row r="18" spans="2:10">
      <c r="B18" s="6" t="s">
        <v>26</v>
      </c>
      <c r="C18" s="6" t="s">
        <v>50</v>
      </c>
      <c r="D18" s="6">
        <v>60</v>
      </c>
      <c r="E18" s="6" t="s">
        <v>27</v>
      </c>
      <c r="F18" s="26">
        <v>45602.812800925924</v>
      </c>
      <c r="G18" s="22">
        <v>1.8286112596039952</v>
      </c>
      <c r="H18" s="22">
        <v>2.2697923545381169</v>
      </c>
      <c r="I18" s="16">
        <v>0.75</v>
      </c>
      <c r="J18" s="16">
        <f>I18+G18/24</f>
        <v>0.82619213581683315</v>
      </c>
    </row>
    <row r="19" spans="2:10">
      <c r="B19" s="6" t="s">
        <v>28</v>
      </c>
      <c r="C19" s="6" t="s">
        <v>51</v>
      </c>
      <c r="D19" s="6">
        <v>48</v>
      </c>
      <c r="E19" s="6" t="s">
        <v>27</v>
      </c>
      <c r="F19" s="26">
        <v>45602.82172453704</v>
      </c>
      <c r="G19" s="22">
        <v>0.25685527019796683</v>
      </c>
      <c r="H19" s="22" t="s">
        <v>20</v>
      </c>
      <c r="I19" s="16">
        <f t="shared" ref="I19:I23" si="2">J18</f>
        <v>0.82619213581683315</v>
      </c>
      <c r="J19" s="16">
        <f t="shared" ref="J19:J23" si="3">I19+G19/24</f>
        <v>0.8368944387417484</v>
      </c>
    </row>
    <row r="20" spans="2:10">
      <c r="B20" s="6" t="s">
        <v>52</v>
      </c>
      <c r="C20" s="6" t="s">
        <v>53</v>
      </c>
      <c r="D20" s="6">
        <v>48</v>
      </c>
      <c r="E20" s="6" t="s">
        <v>27</v>
      </c>
      <c r="F20" s="26">
        <v>45602.869826388887</v>
      </c>
      <c r="G20" s="22">
        <v>0.26879181424635967</v>
      </c>
      <c r="H20" s="22" t="s">
        <v>20</v>
      </c>
      <c r="I20" s="26">
        <v>45602.869826388887</v>
      </c>
      <c r="J20" s="16">
        <f t="shared" si="3"/>
        <v>45602.881026047813</v>
      </c>
    </row>
    <row r="21" spans="2:10">
      <c r="B21" s="6" t="s">
        <v>54</v>
      </c>
      <c r="C21" s="6" t="s">
        <v>55</v>
      </c>
      <c r="D21" s="6">
        <v>60</v>
      </c>
      <c r="E21" s="6" t="s">
        <v>27</v>
      </c>
      <c r="F21" s="26">
        <v>45602.899571759262</v>
      </c>
      <c r="G21" s="22">
        <v>0.27796085959579803</v>
      </c>
      <c r="H21" s="22" t="s">
        <v>20</v>
      </c>
      <c r="I21" s="26">
        <v>45602.899571759262</v>
      </c>
      <c r="J21" s="16">
        <f t="shared" si="3"/>
        <v>45602.911153461748</v>
      </c>
    </row>
    <row r="22" spans="2:10">
      <c r="B22" s="6" t="s">
        <v>56</v>
      </c>
      <c r="C22" s="6" t="s">
        <v>57</v>
      </c>
      <c r="D22" s="6">
        <v>48</v>
      </c>
      <c r="E22" s="6" t="s">
        <v>27</v>
      </c>
      <c r="F22" s="26">
        <v>45602.960081018522</v>
      </c>
      <c r="G22" s="22">
        <v>1.1933611768060515</v>
      </c>
      <c r="H22" s="22">
        <v>0.90150790855264284</v>
      </c>
      <c r="I22" s="26">
        <v>45602.960081018522</v>
      </c>
      <c r="J22" s="16">
        <f t="shared" si="3"/>
        <v>45603.009804400892</v>
      </c>
    </row>
    <row r="23" spans="2:10">
      <c r="B23" s="6" t="s">
        <v>29</v>
      </c>
      <c r="C23" s="6" t="s">
        <v>58</v>
      </c>
      <c r="D23" s="6">
        <v>60</v>
      </c>
      <c r="E23" s="6" t="s">
        <v>27</v>
      </c>
      <c r="F23" s="26">
        <v>45603.00371527778</v>
      </c>
      <c r="G23" s="22">
        <v>0.52633281573498936</v>
      </c>
      <c r="H23" s="22" t="s">
        <v>20</v>
      </c>
      <c r="I23" s="16">
        <f t="shared" si="2"/>
        <v>45603.009804400892</v>
      </c>
      <c r="J23" s="16">
        <f t="shared" si="3"/>
        <v>45603.031734934884</v>
      </c>
    </row>
    <row r="28" spans="2:10">
      <c r="I28" s="2"/>
    </row>
    <row r="29" spans="2:10">
      <c r="B29" s="6" t="s">
        <v>9</v>
      </c>
      <c r="C29" s="6" t="s">
        <v>10</v>
      </c>
      <c r="D29" s="6" t="s">
        <v>11</v>
      </c>
      <c r="E29" s="6" t="s">
        <v>12</v>
      </c>
      <c r="F29" s="26" t="s">
        <v>13</v>
      </c>
      <c r="G29" s="22" t="s">
        <v>14</v>
      </c>
      <c r="H29" s="22" t="s">
        <v>15</v>
      </c>
      <c r="I29" s="6" t="s">
        <v>16</v>
      </c>
      <c r="J29" s="6" t="s">
        <v>17</v>
      </c>
    </row>
    <row r="30" spans="2:10">
      <c r="B30" s="6" t="s">
        <v>32</v>
      </c>
      <c r="C30" s="6" t="s">
        <v>59</v>
      </c>
      <c r="D30" s="6">
        <v>48</v>
      </c>
      <c r="E30" s="6" t="s">
        <v>33</v>
      </c>
      <c r="F30" s="30" t="s">
        <v>19</v>
      </c>
      <c r="G30" s="22">
        <v>0.75420015367682192</v>
      </c>
      <c r="H30" s="22">
        <v>0.84665545241210305</v>
      </c>
      <c r="I30" s="16">
        <v>0.75</v>
      </c>
      <c r="J30" s="16">
        <f>I30+G30/24</f>
        <v>0.78142500640320089</v>
      </c>
    </row>
    <row r="31" spans="2:10">
      <c r="B31" s="6" t="s">
        <v>34</v>
      </c>
      <c r="C31" s="6" t="s">
        <v>60</v>
      </c>
      <c r="D31" s="6">
        <v>48</v>
      </c>
      <c r="E31" s="6" t="s">
        <v>33</v>
      </c>
      <c r="F31" s="30" t="s">
        <v>19</v>
      </c>
      <c r="G31" s="22">
        <v>0.67878561904761914</v>
      </c>
      <c r="H31" s="22">
        <v>0.66262704761904767</v>
      </c>
      <c r="I31" s="16">
        <f t="shared" ref="I31:I32" si="4">J30</f>
        <v>0.78142500640320089</v>
      </c>
      <c r="J31" s="16">
        <f t="shared" ref="J31:J32" si="5">I31+G31/24</f>
        <v>0.80970774053018502</v>
      </c>
    </row>
    <row r="32" spans="2:10">
      <c r="B32" s="6" t="s">
        <v>36</v>
      </c>
      <c r="C32" s="6" t="s">
        <v>61</v>
      </c>
      <c r="D32" s="6">
        <v>288</v>
      </c>
      <c r="E32" s="6" t="s">
        <v>33</v>
      </c>
      <c r="F32" s="26">
        <v>45602.777673611112</v>
      </c>
      <c r="G32" s="22">
        <v>2.428571428571427</v>
      </c>
      <c r="H32" s="22">
        <v>1.9523809523809526</v>
      </c>
      <c r="I32" s="16">
        <f t="shared" si="4"/>
        <v>0.80970774053018502</v>
      </c>
      <c r="J32" s="16">
        <f t="shared" si="5"/>
        <v>0.91089821672066118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0"/>
  <sheetViews>
    <sheetView topLeftCell="A4" workbookViewId="0">
      <selection activeCell="A6" sqref="A6:A13"/>
    </sheetView>
  </sheetViews>
  <sheetFormatPr defaultColWidth="9.375" defaultRowHeight="18.75"/>
  <cols>
    <col min="2" max="2" width="14.37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4"/>
    </row>
    <row r="2" spans="2:9">
      <c r="F2" s="24"/>
      <c r="G2" s="21"/>
      <c r="H2" t="s">
        <v>8</v>
      </c>
    </row>
    <row r="3" spans="2:9">
      <c r="F3" s="24"/>
    </row>
    <row r="4" spans="2:9">
      <c r="F4" s="24"/>
    </row>
    <row r="5" spans="2:9">
      <c r="B5" s="6" t="s">
        <v>21</v>
      </c>
      <c r="C5" s="6" t="s">
        <v>22</v>
      </c>
      <c r="D5" s="6" t="s">
        <v>11</v>
      </c>
      <c r="E5" s="6" t="s">
        <v>12</v>
      </c>
      <c r="F5" s="25" t="s">
        <v>25</v>
      </c>
      <c r="G5" s="22" t="s">
        <v>15</v>
      </c>
      <c r="H5" s="6" t="s">
        <v>23</v>
      </c>
      <c r="I5" s="6" t="s">
        <v>24</v>
      </c>
    </row>
    <row r="6" spans="2:9">
      <c r="B6" s="6" t="s">
        <v>34</v>
      </c>
      <c r="C6" s="6" t="s">
        <v>35</v>
      </c>
      <c r="D6" s="6">
        <v>48</v>
      </c>
      <c r="E6" s="6" t="s">
        <v>33</v>
      </c>
      <c r="F6" s="30" t="s">
        <v>19</v>
      </c>
      <c r="G6" s="22">
        <v>0.66262704761904767</v>
      </c>
      <c r="H6" s="16">
        <v>0.75</v>
      </c>
      <c r="I6" s="16">
        <f>H6+G6/24</f>
        <v>0.77760946031746037</v>
      </c>
    </row>
    <row r="7" spans="2:9">
      <c r="B7" s="6" t="s">
        <v>30</v>
      </c>
      <c r="C7" s="6" t="s">
        <v>31</v>
      </c>
      <c r="D7" s="6">
        <v>60</v>
      </c>
      <c r="E7" s="6" t="s">
        <v>27</v>
      </c>
      <c r="F7" s="30" t="s">
        <v>19</v>
      </c>
      <c r="G7" s="22">
        <v>1.1620117710005353</v>
      </c>
      <c r="H7" s="16">
        <f>I6</f>
        <v>0.77760946031746037</v>
      </c>
      <c r="I7" s="16">
        <f>H7+G7/24</f>
        <v>0.82602661744248262</v>
      </c>
    </row>
    <row r="8" spans="2:9">
      <c r="B8" s="6" t="s">
        <v>36</v>
      </c>
      <c r="C8" s="6" t="s">
        <v>37</v>
      </c>
      <c r="D8" s="6">
        <v>288</v>
      </c>
      <c r="E8" s="6" t="s">
        <v>33</v>
      </c>
      <c r="F8" s="30" t="s">
        <v>19</v>
      </c>
      <c r="G8" s="22">
        <v>1.9523809523809526</v>
      </c>
      <c r="H8" s="16">
        <f>I7</f>
        <v>0.82602661744248262</v>
      </c>
      <c r="I8" s="16">
        <f t="shared" ref="I8:I19" si="0">H8+G8/24</f>
        <v>0.90737582379168902</v>
      </c>
    </row>
    <row r="9" spans="2:9">
      <c r="B9" s="6" t="s">
        <v>62</v>
      </c>
      <c r="C9" s="6" t="s">
        <v>63</v>
      </c>
      <c r="D9" s="6">
        <v>448</v>
      </c>
      <c r="E9" s="6" t="s">
        <v>33</v>
      </c>
      <c r="F9" s="30" t="s">
        <v>19</v>
      </c>
      <c r="G9" s="22">
        <v>0.27538584713378622</v>
      </c>
      <c r="H9" s="16">
        <f>I8</f>
        <v>0.90737582379168902</v>
      </c>
      <c r="I9" s="16">
        <f t="shared" si="0"/>
        <v>0.91885023408893007</v>
      </c>
    </row>
    <row r="10" spans="2:9">
      <c r="B10" s="6" t="s">
        <v>64</v>
      </c>
      <c r="C10" s="6" t="s">
        <v>65</v>
      </c>
      <c r="D10" s="6">
        <v>48</v>
      </c>
      <c r="E10" s="6" t="s">
        <v>18</v>
      </c>
      <c r="F10" s="30" t="s">
        <v>19</v>
      </c>
      <c r="G10" s="22">
        <v>0.54578754578754574</v>
      </c>
      <c r="H10" s="16">
        <f>I9</f>
        <v>0.91885023408893007</v>
      </c>
      <c r="I10" s="16">
        <f t="shared" si="0"/>
        <v>0.94159138183007784</v>
      </c>
    </row>
    <row r="11" spans="2:9">
      <c r="B11" s="6" t="s">
        <v>66</v>
      </c>
      <c r="C11" s="6" t="s">
        <v>67</v>
      </c>
      <c r="D11" s="6">
        <v>48</v>
      </c>
      <c r="E11" s="6" t="s">
        <v>18</v>
      </c>
      <c r="F11" s="30" t="s">
        <v>19</v>
      </c>
      <c r="G11" s="22">
        <v>0.97619047619047628</v>
      </c>
      <c r="H11" s="16">
        <f t="shared" ref="H11:H19" si="1">I10</f>
        <v>0.94159138183007784</v>
      </c>
      <c r="I11" s="16">
        <f t="shared" si="0"/>
        <v>0.98226598500468099</v>
      </c>
    </row>
    <row r="12" spans="2:9">
      <c r="B12" s="6" t="s">
        <v>68</v>
      </c>
      <c r="C12" s="6" t="s">
        <v>69</v>
      </c>
      <c r="D12" s="6">
        <v>48</v>
      </c>
      <c r="E12" s="6" t="s">
        <v>33</v>
      </c>
      <c r="F12" s="30" t="s">
        <v>19</v>
      </c>
      <c r="G12" s="22">
        <v>0.80952380952380953</v>
      </c>
      <c r="H12" s="16">
        <f t="shared" si="1"/>
        <v>0.98226598500468099</v>
      </c>
      <c r="I12" s="16">
        <f t="shared" si="0"/>
        <v>1.0159961437348397</v>
      </c>
    </row>
    <row r="13" spans="2:9">
      <c r="B13" s="6" t="s">
        <v>38</v>
      </c>
      <c r="C13" s="6" t="s">
        <v>39</v>
      </c>
      <c r="D13" s="6">
        <v>12</v>
      </c>
      <c r="E13" s="6" t="s">
        <v>18</v>
      </c>
      <c r="F13" s="30">
        <v>0.76091269841269837</v>
      </c>
      <c r="G13" s="22">
        <v>0.23812380952380954</v>
      </c>
      <c r="H13" s="16">
        <f t="shared" si="1"/>
        <v>1.0159961437348397</v>
      </c>
      <c r="I13" s="16">
        <f t="shared" si="0"/>
        <v>1.0259179691316651</v>
      </c>
    </row>
    <row r="14" spans="2:9">
      <c r="B14" s="6" t="s">
        <v>32</v>
      </c>
      <c r="C14" s="6" t="s">
        <v>59</v>
      </c>
      <c r="D14" s="6">
        <v>48</v>
      </c>
      <c r="E14" s="6" t="s">
        <v>33</v>
      </c>
      <c r="F14" s="30">
        <v>0.78142500640320089</v>
      </c>
      <c r="G14" s="22">
        <v>0.84665545241210305</v>
      </c>
      <c r="H14" s="16">
        <f t="shared" si="1"/>
        <v>1.0259179691316651</v>
      </c>
      <c r="I14" s="16">
        <f t="shared" si="0"/>
        <v>1.061195279648836</v>
      </c>
    </row>
    <row r="15" spans="2:9">
      <c r="B15" s="6" t="s">
        <v>34</v>
      </c>
      <c r="C15" s="6" t="s">
        <v>60</v>
      </c>
      <c r="D15" s="6">
        <v>48</v>
      </c>
      <c r="E15" s="6" t="s">
        <v>33</v>
      </c>
      <c r="F15" s="30">
        <v>0.80970774053018502</v>
      </c>
      <c r="G15" s="22">
        <v>0.66262704761904767</v>
      </c>
      <c r="H15" s="16">
        <f t="shared" si="1"/>
        <v>1.061195279648836</v>
      </c>
      <c r="I15" s="16">
        <f t="shared" si="0"/>
        <v>1.0888047399662963</v>
      </c>
    </row>
    <row r="16" spans="2:9">
      <c r="B16" s="6" t="s">
        <v>26</v>
      </c>
      <c r="C16" s="6" t="s">
        <v>50</v>
      </c>
      <c r="D16" s="6">
        <v>60</v>
      </c>
      <c r="E16" s="6" t="s">
        <v>27</v>
      </c>
      <c r="F16" s="30">
        <v>0.82619213581683315</v>
      </c>
      <c r="G16" s="22">
        <v>2.2697923545381169</v>
      </c>
      <c r="H16" s="16">
        <f t="shared" si="1"/>
        <v>1.0888047399662963</v>
      </c>
      <c r="I16" s="16">
        <f t="shared" si="0"/>
        <v>1.1833794214053845</v>
      </c>
    </row>
    <row r="17" spans="2:9">
      <c r="B17" s="6" t="s">
        <v>36</v>
      </c>
      <c r="C17" s="6" t="s">
        <v>61</v>
      </c>
      <c r="D17" s="6">
        <v>288</v>
      </c>
      <c r="E17" s="6" t="s">
        <v>33</v>
      </c>
      <c r="F17" s="30">
        <v>0.91089821672066118</v>
      </c>
      <c r="G17" s="22">
        <v>1.9523809523809526</v>
      </c>
      <c r="H17" s="16">
        <f t="shared" si="1"/>
        <v>1.1833794214053845</v>
      </c>
      <c r="I17" s="16">
        <f t="shared" si="0"/>
        <v>1.2647286277545908</v>
      </c>
    </row>
    <row r="18" spans="2:9">
      <c r="B18" s="6" t="s">
        <v>56</v>
      </c>
      <c r="C18" s="6" t="s">
        <v>57</v>
      </c>
      <c r="D18" s="6">
        <v>48</v>
      </c>
      <c r="E18" s="6" t="s">
        <v>27</v>
      </c>
      <c r="F18" s="30">
        <v>45603.009804400892</v>
      </c>
      <c r="G18" s="22">
        <v>0.90150790855264284</v>
      </c>
      <c r="H18" s="16">
        <f t="shared" si="1"/>
        <v>1.2647286277545908</v>
      </c>
      <c r="I18" s="16">
        <f t="shared" si="0"/>
        <v>1.3022914572776176</v>
      </c>
    </row>
    <row r="19" spans="2:9">
      <c r="B19" s="6" t="s">
        <v>46</v>
      </c>
      <c r="C19" s="6" t="s">
        <v>47</v>
      </c>
      <c r="D19" s="6">
        <v>400</v>
      </c>
      <c r="E19" s="6" t="s">
        <v>18</v>
      </c>
      <c r="F19" s="30">
        <v>45603.048981791078</v>
      </c>
      <c r="G19" s="22">
        <v>1.4340873989279523</v>
      </c>
      <c r="H19" s="16">
        <f t="shared" si="1"/>
        <v>1.3022914572776176</v>
      </c>
      <c r="I19" s="16">
        <f t="shared" si="0"/>
        <v>1.3620450988996156</v>
      </c>
    </row>
    <row r="20" spans="2:9">
      <c r="F20" s="24"/>
      <c r="G20" s="23"/>
      <c r="H20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a7e61ba0-4c47-4710-ac4c-031e401f92bd"/>
    <ds:schemaRef ds:uri="ea180fb7-6417-4417-bcc2-1a1988547c9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97F6CC-5F9A-423A-839B-BAC05A4DD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2024-11-06T23:55:29Z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