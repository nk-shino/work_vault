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26" documentId="8_{7FAB3F0D-6DEB-4BA2-AC7C-3B96422FEB93}" xr6:coauthVersionLast="47" xr6:coauthVersionMax="47" xr10:uidLastSave="{85229BA5-5933-4E2C-A1A0-18D95D66AC4E}"/>
  <bookViews>
    <workbookView xWindow="20370" yWindow="-4650" windowWidth="29040" windowHeight="15840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<sst xmlns="http://schemas.openxmlformats.org/spreadsheetml/2006/main" count="79" uniqueCount="27">
  <si>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</si>
  <si>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</si>
  <si>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</si>
  <si>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</si>
  <si>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</si>
  <si>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</si>
  <si>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</si>
  <si>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</si>
  <si>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</si>
  <si>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</si>
  <si>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UR-0488-01</t>
  </si>
  <si>
    <t>UR-0486</t>
  </si>
  <si>
    <t>UR-0483</t>
  </si>
  <si>
    <t>実績</t>
  </si>
  <si>
    <t>UR-0480</t>
  </si>
  <si>
    <t>UR-0493</t>
  </si>
  <si>
    <t>UR-0481-01</t>
  </si>
  <si>
    <t>実績</t>
    <rPh sb="0" eb="2">
      <t>ジッセキ</t>
    </rPh>
    <phoneticPr fontId="2"/>
  </si>
  <si>
    <t>UR-0475</t>
  </si>
  <si>
    <t>UR-0505</t>
  </si>
  <si>
    <t>UR-0520</t>
  </si>
  <si>
    <t>UR-0554</t>
  </si>
  <si>
    <t>UR-0596</t>
  </si>
  <si>
    <t>UR-4515</t>
  </si>
  <si>
    <t>UTS-0831</t>
  </si>
  <si>
    <t>UT-0909</t>
  </si>
  <si>
    <t>作業実績データなし</t>
    <rPh sb="0" eb="4">
      <t>サギョウジッセキ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</si>
</sst>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0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tabSelected="1" workbookViewId="0">
      <pane xSplit="6" ySplit="3" topLeftCell="BG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21</v>
      </c>
      <c r="C4" s="6">
        <v>211996138</v>
      </c>
      <c r="D4" s="6" t="s">
        <v>13</v>
      </c>
      <c r="E4" s="7">
        <v>0.76811342592592591</v>
      </c>
      <c r="F4" s="7">
        <v>0.77347222222222223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23</v>
      </c>
      <c r="C6" s="6">
        <v>211996147</v>
      </c>
      <c r="D6" s="6" t="s">
        <v>13</v>
      </c>
      <c r="E6" s="7">
        <v>0.77545138888888887</v>
      </c>
      <c r="F6" s="7">
        <v>0.78181712962962968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24</v>
      </c>
      <c r="C8" s="6">
        <v>211996163</v>
      </c>
      <c r="D8" s="6" t="s">
        <v>13</v>
      </c>
      <c r="E8" s="7">
        <v>0.81238425925925928</v>
      </c>
      <c r="F8" s="7">
        <v>0.82140046296296299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25</v>
      </c>
      <c r="C10" s="6">
        <v>211996159</v>
      </c>
      <c r="D10" s="6" t="s">
        <v>13</v>
      </c>
      <c r="E10" s="7">
        <v>0.86788194444444444</v>
      </c>
      <c r="F10" s="7">
        <v>0.88005787037037042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9</v>
      </c>
      <c r="C12" s="6">
        <v>211996652</v>
      </c>
      <c r="D12" s="6" t="s">
        <v>13</v>
      </c>
      <c r="E12" s="7">
        <v>6.1689814814814819E-3</v>
      </c>
      <c r="F12" s="7">
        <v>0.03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9" priority="5">
      <formula>AND($D4="計画", $E4 &lt;= F$3, F$3 &lt; $F4 + IF($F4 &lt; $E4, 1, 0))</formula>
    </cfRule>
  </conditionalFormatting>
  <conditionalFormatting sqref="H4:DH134">
    <cfRule type="expression" dxfId="8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28" sqref="B28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16</v>
      </c>
      <c r="C4" s="6">
        <v>211996647</v>
      </c>
      <c r="D4" s="6" t="s">
        <v>13</v>
      </c>
      <c r="E4" s="7">
        <v>0.71664351851851849</v>
      </c>
      <c r="F4" s="7">
        <v>0.74003472222222222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13</v>
      </c>
      <c r="E5" s="7">
        <v>0.74015046296296294</v>
      </c>
      <c r="F5" s="7">
        <v>0.76609953703703704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19</v>
      </c>
      <c r="C7" s="6">
        <v>211996651</v>
      </c>
      <c r="D7" s="6" t="s">
        <v>13</v>
      </c>
      <c r="E7" s="7">
        <v>0.7853472222222222</v>
      </c>
      <c r="F7" s="7">
        <v>0.79254629629629625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18</v>
      </c>
      <c r="C9" s="6">
        <v>211996629</v>
      </c>
      <c r="D9" s="6" t="s">
        <v>13</v>
      </c>
      <c r="E9" s="7">
        <v>0.79269675925925931</v>
      </c>
      <c r="F9" s="7">
        <v>0.7927777777777778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13</v>
      </c>
      <c r="E10" s="7">
        <v>0.79290509259259256</v>
      </c>
      <c r="F10" s="7">
        <v>0.79457175925925927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11</v>
      </c>
      <c r="C12" s="6">
        <v>211996649</v>
      </c>
      <c r="D12" s="6" t="s">
        <v>13</v>
      </c>
      <c r="E12" s="7">
        <v>0.79472222222222222</v>
      </c>
      <c r="F12" s="7">
        <v>0.80722222222222217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13</v>
      </c>
      <c r="E13" s="7">
        <v>0.80751157407407403</v>
      </c>
      <c r="F13" s="7">
        <v>0.81797453703703704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15</v>
      </c>
      <c r="C15" s="6">
        <v>211996650</v>
      </c>
      <c r="D15" s="6" t="s">
        <v>13</v>
      </c>
      <c r="E15" s="7">
        <v>0.85199074074074077</v>
      </c>
      <c r="F15" s="7">
        <v>0.8547569444444445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13</v>
      </c>
      <c r="E16" s="7">
        <v>0.85493055555555553</v>
      </c>
      <c r="F16" s="7">
        <v>0.85806712962962961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 t="s">
        <v>14</v>
      </c>
      <c r="C18" s="6">
        <v>211996646</v>
      </c>
      <c r="D18" s="6" t="s">
        <v>13</v>
      </c>
      <c r="E18" s="7">
        <v>0.88435185185185183</v>
      </c>
      <c r="F18" s="7">
        <v>0.9067708333333333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 t="s">
        <v>13</v>
      </c>
      <c r="E19" s="7">
        <v>0.90694444444444444</v>
      </c>
      <c r="F19" s="7">
        <v>0.92045138888888889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 t="s">
        <v>12</v>
      </c>
      <c r="C21" s="6">
        <v>211996648</v>
      </c>
      <c r="D21" s="6" t="s">
        <v>13</v>
      </c>
      <c r="E21" s="7">
        <v>0.94564814814814813</v>
      </c>
      <c r="F21" s="7">
        <v>0.97652777777777777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 t="s">
        <v>13</v>
      </c>
      <c r="E22" s="7">
        <v>0.97668981481481476</v>
      </c>
      <c r="F22" s="7">
        <v>0.98439814814814819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 t="s">
        <v>10</v>
      </c>
      <c r="C24" s="6">
        <v>211992535</v>
      </c>
      <c r="D24" s="6" t="s">
        <v>13</v>
      </c>
      <c r="E24" s="7">
        <v>0.98478009259259258</v>
      </c>
      <c r="F24" s="7">
        <v>4.1550925925925922E-3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 t="s">
        <v>13</v>
      </c>
      <c r="E25" s="7">
        <v>4.2824074074074075E-3</v>
      </c>
      <c r="F25" s="7">
        <v>1.1620370370370371E-2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5" sqref="B5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26</v>
      </c>
      <c r="C4" s="6"/>
      <c r="D4" s="6"/>
      <c r="E4" s="7"/>
      <c r="F4" s="7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AV4" activePane="bottomRight" state="frozen"/>
      <selection pane="topRight" activeCell="G1" sqref="G1"/>
      <selection pane="bottomLeft" activeCell="A4" sqref="A4"/>
      <selection pane="bottomRight" activeCell="D11" sqref="D11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16</v>
      </c>
      <c r="C4" s="6">
        <v>211996129</v>
      </c>
      <c r="D4" s="6" t="s">
        <v>17</v>
      </c>
      <c r="E4" s="7">
        <v>0.71863425925925928</v>
      </c>
      <c r="F4" s="7">
        <v>0.7691203703703704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20</v>
      </c>
      <c r="C6" s="6">
        <v>211996136</v>
      </c>
      <c r="D6" s="6" t="s">
        <v>17</v>
      </c>
      <c r="E6" s="7">
        <v>0.76937500000000003</v>
      </c>
      <c r="F6" s="7">
        <v>0.78723379629629631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21</v>
      </c>
      <c r="C8" s="6">
        <v>211996138</v>
      </c>
      <c r="D8" s="6" t="s">
        <v>17</v>
      </c>
      <c r="E8" s="7">
        <v>0.78744212962962967</v>
      </c>
      <c r="F8" s="7">
        <v>0.80368055555555551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16</v>
      </c>
      <c r="C10" s="6">
        <v>211996647</v>
      </c>
      <c r="D10" s="6" t="s">
        <v>17</v>
      </c>
      <c r="E10" s="7">
        <v>0.80385416666666665</v>
      </c>
      <c r="F10" s="7">
        <v>0.85815972222222225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22</v>
      </c>
      <c r="C12" s="6">
        <v>211992529</v>
      </c>
      <c r="D12" s="6" t="s">
        <v>17</v>
      </c>
      <c r="E12" s="7">
        <v>0.86024305555555558</v>
      </c>
      <c r="F12" s="7">
        <v>0.88482638888888887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7e61ba0-4c47-4710-ac4c-031e401f92bd"/>
    <ds:schemaRef ds:uri="http://purl.org/dc/elements/1.1/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317E220-444E-45CE-86D1-F6901E48985A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2024-12-02T01:41:33Z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