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35" documentId="8_{A2741BBE-6FCA-47D0-96C5-8FCC116D25E6}" xr6:coauthVersionLast="47" xr6:coauthVersionMax="47" xr10:uidLastSave="{84A900FA-C9C2-4774-A1AB-DC51F4CB2CFA}"/>
  <bookViews>
    <workbookView xWindow="20370" yWindow="-4650" windowWidth="29040" windowHeight="15840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<sst xmlns="http://schemas.openxmlformats.org/spreadsheetml/2006/main" count="94" uniqueCount="27">
  <si>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</si>
  <si>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</si>
  <si>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</si>
  <si>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</si>
  <si>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</si>
  <si>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</si>
  <si>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</si>
  <si>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</si>
  <si>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UR-05091-03</t>
  </si>
  <si>
    <t>＊計画データ作成改修中（実績データのみ）</t>
    <phoneticPr fontId="2"/>
  </si>
  <si>
    <t>UR-4329-03</t>
  </si>
  <si>
    <t>UR-0559-06</t>
  </si>
  <si>
    <t>UR-0488-01</t>
  </si>
  <si>
    <t>実績</t>
  </si>
  <si>
    <t>UR-0483</t>
  </si>
  <si>
    <t>UR-0493</t>
  </si>
  <si>
    <t>UR-0475</t>
  </si>
  <si>
    <t>UR-0505</t>
  </si>
  <si>
    <t>UR-06101-01</t>
  </si>
  <si>
    <t>UR-0558-01</t>
  </si>
  <si>
    <t>UR-0489</t>
  </si>
  <si>
    <t>実績</t>
    <rPh sb="0" eb="2">
      <t>ジッセキ</t>
    </rPh>
    <phoneticPr fontId="2"/>
  </si>
  <si>
    <t>UR-0381</t>
  </si>
  <si>
    <t>UR-0476</t>
  </si>
  <si>
    <t>URS-0543</t>
  </si>
  <si>
    <t>UR-4515</t>
  </si>
  <si>
    <t>URS-0540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</si>
</sst>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11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tabSelected="1" workbookViewId="0">
      <pane xSplit="6" ySplit="3" topLeftCell="AY4" activePane="bottomRight" state="frozen"/>
      <selection pane="topRight" activeCell="G1" sqref="G1"/>
      <selection pane="bottomLeft" activeCell="A4" sqref="A4"/>
      <selection pane="bottomRight" activeCell="G4" sqref="G4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s="23"/>
      <c r="J1" s="2"/>
      <c r="K1" t="s">
        <v>1</v>
      </c>
    </row>
    <row r="2" spans="1:112" x14ac:dyDescent="0.4">
      <c r="B2" t="s">
        <v>9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19</v>
      </c>
      <c r="C4" s="6">
        <v>211989568</v>
      </c>
      <c r="D4" s="6" t="s">
        <v>21</v>
      </c>
      <c r="E4" s="7">
        <v>0.72170138888888891</v>
      </c>
      <c r="F4" s="7">
        <v>0.7431712962962963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18</v>
      </c>
      <c r="C6" s="6">
        <v>211990103</v>
      </c>
      <c r="D6" s="6" t="s">
        <v>13</v>
      </c>
      <c r="E6" s="7">
        <v>0.74643518518518515</v>
      </c>
      <c r="F6" s="7">
        <v>0.75690972222222219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18</v>
      </c>
      <c r="C7" s="6">
        <v>211990103</v>
      </c>
      <c r="D7" s="6" t="s">
        <v>13</v>
      </c>
      <c r="E7" s="7">
        <v>0.77054398148148151</v>
      </c>
      <c r="F7" s="7">
        <v>0.77121527777777776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 t="s">
        <v>11</v>
      </c>
      <c r="C9" s="6">
        <v>211990101</v>
      </c>
      <c r="D9" s="6" t="s">
        <v>13</v>
      </c>
      <c r="E9" s="7">
        <v>0.75702546296296291</v>
      </c>
      <c r="F9" s="7">
        <v>0.77041666666666664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11</v>
      </c>
      <c r="C10" s="6">
        <v>211990101</v>
      </c>
      <c r="D10" s="6" t="s">
        <v>13</v>
      </c>
      <c r="E10" s="7">
        <v>0.77303240740740742</v>
      </c>
      <c r="F10" s="7">
        <v>0.78825231481481484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22</v>
      </c>
      <c r="C12" s="6">
        <v>211989561</v>
      </c>
      <c r="D12" s="6" t="s">
        <v>13</v>
      </c>
      <c r="E12" s="7">
        <v>0.81166666666666665</v>
      </c>
      <c r="F12" s="7">
        <v>0.81874999999999998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 t="s">
        <v>22</v>
      </c>
      <c r="C13" s="6">
        <v>211989561</v>
      </c>
      <c r="D13" s="6" t="s">
        <v>13</v>
      </c>
      <c r="E13" s="7">
        <v>0.86196759259259259</v>
      </c>
      <c r="F13" s="7">
        <v>0.86914351851851857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 t="s">
        <v>22</v>
      </c>
      <c r="C15" s="6">
        <v>211990096</v>
      </c>
      <c r="D15" s="6" t="s">
        <v>13</v>
      </c>
      <c r="E15" s="7">
        <v>0.81887731481481485</v>
      </c>
      <c r="F15" s="7">
        <v>0.86184027777777783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22</v>
      </c>
      <c r="C16" s="6">
        <v>211990096</v>
      </c>
      <c r="D16" s="6" t="s">
        <v>13</v>
      </c>
      <c r="E16" s="7">
        <v>0.86925925925925929</v>
      </c>
      <c r="F16" s="7">
        <v>0.87765046296296301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 t="s">
        <v>10</v>
      </c>
      <c r="C18" s="6">
        <v>211990104</v>
      </c>
      <c r="D18" s="6" t="s">
        <v>13</v>
      </c>
      <c r="E18" s="7">
        <v>0.87799768518518517</v>
      </c>
      <c r="F18" s="7">
        <v>0.88096064814814812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 t="s">
        <v>10</v>
      </c>
      <c r="C19" s="6">
        <v>211990105</v>
      </c>
      <c r="D19" s="6" t="s">
        <v>13</v>
      </c>
      <c r="E19" s="7">
        <v>0.88427083333333334</v>
      </c>
      <c r="F19" s="7">
        <v>0.88549768518518523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 t="s">
        <v>24</v>
      </c>
      <c r="C21" s="6">
        <v>211990116</v>
      </c>
      <c r="D21" s="6" t="s">
        <v>13</v>
      </c>
      <c r="E21" s="7">
        <v>1.6238425925925927E-2</v>
      </c>
      <c r="F21" s="7">
        <v>2.2824074074074073E-2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 t="s">
        <v>25</v>
      </c>
      <c r="C23" s="6">
        <v>211990114</v>
      </c>
      <c r="D23" s="6" t="s">
        <v>13</v>
      </c>
      <c r="E23" s="7">
        <v>2.2951388888888889E-2</v>
      </c>
      <c r="F23" s="7">
        <v>2.6342592592592591E-2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16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 t="s">
        <v>26</v>
      </c>
      <c r="C25" s="6">
        <v>211990115</v>
      </c>
      <c r="D25" s="6" t="s">
        <v>13</v>
      </c>
      <c r="E25" s="7">
        <v>2.644675925925926E-2</v>
      </c>
      <c r="F25" s="7">
        <v>3.9108796296296294E-2</v>
      </c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8"/>
      <c r="F30" s="9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8"/>
      <c r="F32" s="9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10" priority="5">
      <formula>AND($D4="計画", $E4 &lt;= F$3, F$3 &lt; $F4 + IF($F4 &lt; $E4, 1, 0))</formula>
    </cfRule>
  </conditionalFormatting>
  <conditionalFormatting sqref="H4:DH134">
    <cfRule type="expression" dxfId="9" priority="6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6"/>
  <sheetViews>
    <sheetView workbookViewId="0">
      <pane xSplit="6" ySplit="3" topLeftCell="BC4" activePane="bottomRight" state="frozen"/>
      <selection pane="topRight" activeCell="G1" sqref="G1"/>
      <selection pane="bottomLeft" activeCell="A4" sqref="A4"/>
      <selection pane="bottomRight" activeCell="D14" sqref="D14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9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17</v>
      </c>
      <c r="C4" s="6">
        <v>211990099</v>
      </c>
      <c r="D4" s="6" t="s">
        <v>21</v>
      </c>
      <c r="E4" s="7">
        <v>0.77571759259259254</v>
      </c>
      <c r="F4" s="7">
        <v>0.77892361111111108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16</v>
      </c>
      <c r="C6" s="6">
        <v>211990093</v>
      </c>
      <c r="D6" s="6" t="s">
        <v>21</v>
      </c>
      <c r="E6" s="7">
        <v>0.77908564814814818</v>
      </c>
      <c r="F6" s="7">
        <v>0.77951388888888884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16</v>
      </c>
      <c r="C7" s="6">
        <v>211990093</v>
      </c>
      <c r="D7" s="6" t="s">
        <v>21</v>
      </c>
      <c r="E7" s="7">
        <v>0.85731481481481486</v>
      </c>
      <c r="F7" s="7">
        <v>0.86033564814814811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 t="s">
        <v>20</v>
      </c>
      <c r="C9" s="6">
        <v>211990097</v>
      </c>
      <c r="D9" s="6" t="s">
        <v>21</v>
      </c>
      <c r="E9" s="7">
        <v>0.80182870370370374</v>
      </c>
      <c r="F9" s="7">
        <v>0.85293981481481485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20</v>
      </c>
      <c r="C10" s="6">
        <v>211990097</v>
      </c>
      <c r="D10" s="6" t="s">
        <v>21</v>
      </c>
      <c r="E10" s="7">
        <v>0.85305555555555557</v>
      </c>
      <c r="F10" s="7">
        <v>0.85707175925925927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15</v>
      </c>
      <c r="C12" s="6">
        <v>211990098</v>
      </c>
      <c r="D12" s="6" t="s">
        <v>21</v>
      </c>
      <c r="E12" s="7">
        <v>0.98659722222222224</v>
      </c>
      <c r="F12" s="7">
        <v>0.99280092592592595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 t="s">
        <v>15</v>
      </c>
      <c r="C13" s="6">
        <v>211990098</v>
      </c>
      <c r="D13" s="6" t="s">
        <v>21</v>
      </c>
      <c r="E13" s="7">
        <v>0.99292824074074071</v>
      </c>
      <c r="F13" s="7">
        <v>0.99466435185185187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 t="s">
        <v>23</v>
      </c>
      <c r="C15" s="6">
        <v>211990094</v>
      </c>
      <c r="D15" s="6" t="s">
        <v>21</v>
      </c>
      <c r="E15" s="7">
        <v>0.99476851851851855</v>
      </c>
      <c r="F15" s="7">
        <v>0.99621527777777774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C18">
    <cfRule type="duplicateValues" dxfId="8" priority="1"/>
  </conditionalFormatting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dimension ref="A1:DH66"/>
  <sheetViews>
    <sheetView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G4" sqref="G4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9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8</v>
      </c>
      <c r="C4" s="6">
        <v>211983866</v>
      </c>
      <c r="D4" s="6" t="s">
        <v>21</v>
      </c>
      <c r="E4" s="7">
        <v>0.89548611111111109</v>
      </c>
      <c r="F4" s="7">
        <v>0.99979166666666663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21</v>
      </c>
      <c r="E5" s="7">
        <v>4.6296296296296294E-5</v>
      </c>
      <c r="F5" s="7">
        <v>1.2094907407407407E-2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F14" sqref="F14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B2" t="s">
        <v>9</v>
      </c>
      <c r="F2" s="2"/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 x14ac:dyDescent="0.4">
      <c r="A4" s="6"/>
      <c r="B4" s="6" t="s">
        <v>12</v>
      </c>
      <c r="C4" s="6">
        <v>211987186</v>
      </c>
      <c r="D4" s="6" t="s">
        <v>21</v>
      </c>
      <c r="E4" s="7">
        <v>0.77614583333333331</v>
      </c>
      <c r="F4" s="7">
        <v>0.78923611111111114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14</v>
      </c>
      <c r="C6" s="6">
        <v>211989563</v>
      </c>
      <c r="D6" s="6" t="s">
        <v>21</v>
      </c>
      <c r="E6" s="7">
        <v>0.78943287037037035</v>
      </c>
      <c r="F6" s="7">
        <v>0.80701388888888892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19</v>
      </c>
      <c r="C8" s="6">
        <v>211989568</v>
      </c>
      <c r="D8" s="6" t="s">
        <v>21</v>
      </c>
      <c r="E8" s="7">
        <v>0.8081018518518519</v>
      </c>
      <c r="F8" s="7">
        <v>0.95105324074074071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18</v>
      </c>
      <c r="C10" s="6">
        <v>211990103</v>
      </c>
      <c r="D10" s="6" t="s">
        <v>21</v>
      </c>
      <c r="E10" s="7">
        <v>0.97341435185185188</v>
      </c>
      <c r="F10" s="7">
        <v>0.99582175925925931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11</v>
      </c>
      <c r="C12" s="6">
        <v>211990101</v>
      </c>
      <c r="D12" s="6" t="s">
        <v>21</v>
      </c>
      <c r="E12" s="7">
        <v>0.99599537037037034</v>
      </c>
      <c r="F12" s="7">
        <v>1.5949074074074074E-2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 t="s">
        <v>20</v>
      </c>
      <c r="C14" s="6">
        <v>211990097</v>
      </c>
      <c r="D14" s="6" t="s">
        <v>21</v>
      </c>
      <c r="E14" s="7">
        <v>1.8310185185185186E-2</v>
      </c>
      <c r="F14" s="7">
        <v>3.4837962962962966E-2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 C19 C15 C17 C5 C13 C11 C7 C9">
    <cfRule type="duplicateValues" dxfId="3" priority="1"/>
  </conditionalFormatting>
  <conditionalFormatting sqref="C31:C1048576 C1:C3">
    <cfRule type="duplicateValues" dxfId="2" priority="4"/>
  </conditionalFormatting>
  <conditionalFormatting sqref="G4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dimension ref="F1:H1"/>
  <sheetViews>
    <sheetView workbookViewId="0">
      <selection activeCell="A16" sqref="A1:XFD1048576"/>
    </sheetView>
  </sheetViews>
  <sheetFormatPr defaultColWidth="9.25" defaultRowHeight="18.75" x14ac:dyDescent="0.4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dimension ref="F1"/>
  <sheetViews>
    <sheetView workbookViewId="0">
      <selection activeCell="L6" sqref="L6"/>
    </sheetView>
  </sheetViews>
  <sheetFormatPr defaultColWidth="9.375" defaultRowHeight="18.75" x14ac:dyDescent="0.4"/>
  <cols>
    <col min="6" max="6" width="9.37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4EED84-B50C-4814-9BC1-FBE045C977F8}"/>
</file>

<file path=customXml/itemProps3.xml><?xml version="1.0" encoding="utf-8"?>
<ds:datastoreItem xmlns:ds="http://schemas.openxmlformats.org/officeDocument/2006/customXml" ds:itemID="{D9B6089C-DC21-4487-A7DE-E222667BF51D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a7e61ba0-4c47-4710-ac4c-031e401f92bd"/>
    <ds:schemaRef ds:uri="ea180fb7-6417-4417-bcc2-1a1988547c9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2024-11-14T23:44:07Z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