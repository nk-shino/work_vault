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81" documentId="8_{578EA0E0-7F06-415A-B137-CF8A3BCB9A94}" xr6:coauthVersionLast="47" xr6:coauthVersionMax="47" xr10:uidLastSave="{74B10E8A-0CD7-48EC-89A3-CCACEA0538D7}"/>
  <bookViews>
    <workbookView xWindow="20370" yWindow="-4650" windowWidth="29040" windowHeight="15840" activeTab="3" xr2:uid="{D4E99A79-39B5-4714-8CFE-6838D0007EB9}"/>
    <workbookView xWindow="-120" yWindow="-120" windowWidth="20730" windowHeight="11160" activeTab="4" xr2:uid="{2D1F461A-2DA2-4843-99C5-592810CCEBD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<sst xmlns="http://schemas.openxmlformats.org/spreadsheetml/2006/main" count="239" uniqueCount="74">
  <si>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</si>
  <si>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</si>
  <si>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</si>
  <si>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</si>
  <si>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</si>
  <si>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</si>
  <si>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</si>
  <si>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</si>
  <si>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UR-0481-01</t>
  </si>
  <si>
    <t>UR-05091-03</t>
  </si>
  <si>
    <t>UR-06101-01</t>
  </si>
  <si>
    <t>UR-0559-05</t>
  </si>
  <si>
    <t>←マスタ未登録</t>
    <rPh sb="4" eb="7">
      <t>ミ</t>
    </rPh>
    <phoneticPr fontId="2"/>
  </si>
  <si>
    <t>TypeID</t>
  </si>
  <si>
    <t>orderNumber</t>
  </si>
  <si>
    <t>台数</t>
    <rPh sb="0" eb="2">
      <t>ダイスウ</t>
    </rPh>
    <phoneticPr fontId="2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</si>
  <si>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</si>
  <si>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</si>
  <si>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Line-1</t>
  </si>
  <si>
    <t>仕掛</t>
    <rPh sb="0" eb="2">
      <t>シカカリ</t>
    </rPh>
    <phoneticPr fontId="2"/>
  </si>
  <si>
    <t>Line-3</t>
  </si>
  <si>
    <t>Line-2</t>
  </si>
  <si>
    <t>品目名</t>
    <rPh sb="0" eb="3">
      <t>ヒンモクメイ</t>
    </rPh>
    <phoneticPr fontId="2"/>
  </si>
  <si>
    <t>指図</t>
    <rPh sb="0" eb="2">
      <t>サシズ</t>
    </rPh>
    <phoneticPr fontId="2"/>
  </si>
  <si>
    <t>SMT終了予定時刻</t>
    <rPh sb="3" eb="7">
      <t>シュウリョウヨテイ</t>
    </rPh>
    <rPh sb="7" eb="9">
      <t>ジコク</t>
    </rPh>
    <phoneticPr fontId="2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</si>
  <si>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</si>
  <si>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</si>
  <si>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―</t>
  </si>
  <si>
    <t>UR-0483</t>
  </si>
  <si>
    <t>UR-0480</t>
  </si>
  <si>
    <t>211979395</t>
  </si>
  <si>
    <t>UR-43721</t>
  </si>
  <si>
    <t>UR-0598</t>
  </si>
  <si>
    <t>UR-0625</t>
  </si>
  <si>
    <t>UR-0610-01</t>
  </si>
  <si>
    <t>AOI終了予定時刻</t>
    <rPh sb="3" eb="5">
      <t>シュウリョウ</t>
    </rPh>
    <rPh sb="5" eb="9">
      <t>ヨテイジコク</t>
    </rPh>
    <phoneticPr fontId="1"/>
  </si>
  <si>
    <t>目視工数</t>
    <rPh sb="0" eb="2">
      <t>モクシ</t>
    </rPh>
    <rPh sb="2" eb="4">
      <t>コウスウ</t>
    </rPh>
    <phoneticPr fontId="1"/>
  </si>
  <si>
    <t>UR-43014</t>
  </si>
  <si>
    <t>211979906</t>
  </si>
  <si>
    <t>UR-0486</t>
  </si>
  <si>
    <t>211979899</t>
  </si>
  <si>
    <t>211977838</t>
  </si>
  <si>
    <t>URS-4215</t>
  </si>
  <si>
    <t>211979919</t>
  </si>
  <si>
    <t>211979897</t>
  </si>
  <si>
    <t>UR-0489</t>
  </si>
  <si>
    <t>211979900</t>
  </si>
  <si>
    <t>211975582</t>
  </si>
  <si>
    <t>211979898</t>
  </si>
  <si>
    <t>UR-0541</t>
  </si>
  <si>
    <t>211979903</t>
  </si>
  <si>
    <t>211977908</t>
  </si>
  <si>
    <t>211976126</t>
  </si>
  <si>
    <t>211979904</t>
  </si>
  <si>
    <t>UR-0519</t>
  </si>
  <si>
    <t>211979901</t>
  </si>
  <si>
    <t>ライン</t>
  </si>
  <si>
    <t>AOI工数</t>
    <rPh sb="3" eb="5">
      <t>コウスウ</t>
    </rPh>
    <phoneticPr fontId="1"/>
  </si>
  <si>
    <t>UTS-0855</t>
  </si>
  <si>
    <t>211979923</t>
  </si>
  <si>
    <t>UT-1027</t>
  </si>
  <si>
    <t>211979922</t>
  </si>
  <si>
    <t>UR-4435</t>
  </si>
  <si>
    <t>211979909</t>
  </si>
  <si>
    <t>211979941</t>
  </si>
  <si>
    <t>211979905</t>
  </si>
  <si>
    <t>URS-0594</t>
  </si>
  <si>
    <t>211979911</t>
  </si>
  <si>
    <t>UR-0521</t>
  </si>
  <si>
    <t>211979902</t>
  </si>
  <si>
    <t>C-UR-4545</t>
  </si>
  <si>
    <t>120006221</t>
  </si>
  <si>
    <t>実績</t>
    <rPh sb="0" eb="2">
      <t>ジッセキ</t>
    </rPh>
    <phoneticPr fontId="2"/>
  </si>
  <si>
    <t>計画</t>
    <rPh sb="0" eb="2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</si>
</sst>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9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7" fillId="0" borderId="1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6" fontId="8" fillId="0" borderId="1" xfId="0" applyNumberFormat="1" applyFont="1" applyBorder="1" applyAlignment="1">
      <alignment horizontal="right" vertical="center"/>
    </xf>
    <xf numFmtId="177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53211CC-6DEA-4FA8-A6CA-11A3F71868E0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15</xdr:row>
      <xdr:rowOff>0</xdr:rowOff>
    </xdr:from>
    <xdr:to>
      <xdr:col>6</xdr:col>
      <xdr:colOff>0</xdr:colOff>
      <xdr:row>17</xdr:row>
      <xdr:rowOff>28161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809CBB5-1FC3-45AE-BA50-7C054D52A33D}"/>
            </a:ext>
          </a:extLst>
        </xdr:cNvPr>
        <xdr:cNvSpPr txBox="1"/>
      </xdr:nvSpPr>
      <xdr:spPr>
        <a:xfrm>
          <a:off x="780222" y="35718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試作･</a:t>
          </a:r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008B057-6C77-4921-8DAB-56BF945B8B89}"/>
            </a:ext>
          </a:extLst>
        </xdr:cNvPr>
        <xdr:cNvSpPr txBox="1"/>
      </xdr:nvSpPr>
      <xdr:spPr>
        <a:xfrm>
          <a:off x="702365" y="750611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Normal="100"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C20" sqref="B20:C20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211975582</v>
      </c>
      <c r="D4" s="6" t="s">
        <v>72</v>
      </c>
      <c r="E4" s="7">
        <v>0.72006944444444443</v>
      </c>
      <c r="F4" s="7">
        <v>0.80121527777777779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72</v>
      </c>
      <c r="E5" s="7">
        <v>0.80134259259259255</v>
      </c>
      <c r="F5" s="7">
        <v>0.82158564814814816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73</v>
      </c>
      <c r="E6" s="7">
        <v>0.7977801120448178</v>
      </c>
      <c r="F6" s="7">
        <v>0.89897058823529397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31</v>
      </c>
      <c r="C7" s="6">
        <v>211977838</v>
      </c>
      <c r="D7" s="6" t="s">
        <v>72</v>
      </c>
      <c r="E7" s="7">
        <v>0.85201388888888885</v>
      </c>
      <c r="F7" s="7">
        <v>0.86101851851851852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72</v>
      </c>
      <c r="E8" s="7">
        <v>0.88236111111111115</v>
      </c>
      <c r="F8" s="7">
        <v>0.88972222222222219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73</v>
      </c>
      <c r="E9" s="7">
        <v>0.72916666666666663</v>
      </c>
      <c r="F9" s="7">
        <v>0.78010815437286019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42</v>
      </c>
      <c r="C10" s="6">
        <v>211979919</v>
      </c>
      <c r="D10" s="6" t="s">
        <v>72</v>
      </c>
      <c r="E10" s="7">
        <v>0.89328703703703705</v>
      </c>
      <c r="F10" s="7">
        <v>0.90069444444444446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72</v>
      </c>
      <c r="E11" s="7">
        <v>0.90200231481481485</v>
      </c>
      <c r="F11" s="7">
        <v>0.92677083333333332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73</v>
      </c>
      <c r="E12" s="7">
        <v>0.78010815437286019</v>
      </c>
      <c r="F12" s="7">
        <v>0.7977801120448178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11</v>
      </c>
      <c r="C13" s="6">
        <v>211979904</v>
      </c>
      <c r="D13" s="6" t="s">
        <v>72</v>
      </c>
      <c r="E13" s="7">
        <v>0.92989583333333337</v>
      </c>
      <c r="F13" s="7">
        <v>0.95696759259259256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72</v>
      </c>
      <c r="E14" s="7">
        <v>0.98063657407407412</v>
      </c>
      <c r="F14" s="7">
        <v>0.98302083333333334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73</v>
      </c>
      <c r="E15" s="7">
        <v>0.93039559463849486</v>
      </c>
      <c r="F15" s="7">
        <v>0.96326885356706626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49</v>
      </c>
      <c r="C16" s="6">
        <v>211979903</v>
      </c>
      <c r="D16" s="6" t="s">
        <v>72</v>
      </c>
      <c r="E16" s="7">
        <v>0.98652777777777778</v>
      </c>
      <c r="F16" s="7">
        <v>0.98667824074074073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72</v>
      </c>
      <c r="E17" s="7">
        <v>0.98681712962962964</v>
      </c>
      <c r="F17" s="7">
        <v>0.99321759259259257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 t="s">
        <v>73</v>
      </c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58</v>
      </c>
      <c r="C19" s="6">
        <v>211979923</v>
      </c>
      <c r="D19" s="6" t="s">
        <v>72</v>
      </c>
      <c r="E19" s="7">
        <v>0.99922453703703706</v>
      </c>
      <c r="F19" s="7">
        <v>0.99930555555555556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 t="s">
        <v>72</v>
      </c>
      <c r="E20" s="7">
        <v>0.99943287037037032</v>
      </c>
      <c r="F20" s="7">
        <v>2.1875000000000002E-3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73</v>
      </c>
      <c r="E21" s="7">
        <v>1.0057622398104524</v>
      </c>
      <c r="F21" s="7">
        <v>1.0196009978313914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E12" sqref="E12:F12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211979897</v>
      </c>
      <c r="D4" s="6" t="s">
        <v>72</v>
      </c>
      <c r="E4" s="7">
        <v>0.80471064814814819</v>
      </c>
      <c r="F4" s="7">
        <v>0.87629629629629635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72</v>
      </c>
      <c r="E5" s="7">
        <v>0.90675925925925926</v>
      </c>
      <c r="F5" s="7">
        <v>0.92420138888888892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73</v>
      </c>
      <c r="E6" s="7">
        <v>0.72916666666666663</v>
      </c>
      <c r="F6" s="7">
        <v>0.80535880248349978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45</v>
      </c>
      <c r="C7" s="6">
        <v>211979900</v>
      </c>
      <c r="D7" s="6" t="s">
        <v>72</v>
      </c>
      <c r="E7" s="7">
        <v>0.95899305555555558</v>
      </c>
      <c r="F7" s="7">
        <v>0.95908564814814812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72</v>
      </c>
      <c r="E8" s="7">
        <v>0.95922453703703703</v>
      </c>
      <c r="F8" s="7">
        <v>0.97449074074074071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73</v>
      </c>
      <c r="E9" s="7">
        <v>0.80535880248349978</v>
      </c>
      <c r="F9" s="7">
        <v>0.85508218485041865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28</v>
      </c>
      <c r="C10" s="6">
        <v>211979898</v>
      </c>
      <c r="D10" s="6" t="s">
        <v>72</v>
      </c>
      <c r="E10" s="7">
        <v>1.5358796296296296E-2</v>
      </c>
      <c r="F10" s="7">
        <v>3.2442129629629626E-2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72</v>
      </c>
      <c r="E11" s="7">
        <v>3.2673611111111112E-2</v>
      </c>
      <c r="F11" s="7">
        <v>4.0914351851851855E-2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73</v>
      </c>
      <c r="E12" s="7">
        <v>0.85508218485041865</v>
      </c>
      <c r="F12" s="7">
        <v>0.90412802041310814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>
      <pane xSplit="6" ySplit="3" topLeftCell="AX4" activePane="bottomRight" state="frozen"/>
      <selection pane="topRight" activeCell="G1" sqref="G1"/>
      <selection pane="bottomLeft" activeCell="A4" sqref="A4"/>
      <selection pane="bottomRight" activeCell="E15" sqref="E15:F15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11</v>
      </c>
      <c r="C4" s="6">
        <v>211979395</v>
      </c>
      <c r="D4" s="6" t="s">
        <v>72</v>
      </c>
      <c r="E4" s="7">
        <v>0.89716435185185184</v>
      </c>
      <c r="F4" s="7">
        <v>0.90869212962962964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73</v>
      </c>
      <c r="E5" s="7">
        <v>0.72916666666666663</v>
      </c>
      <c r="F5" s="7">
        <v>0.756776126984127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39</v>
      </c>
      <c r="C6" s="6">
        <v>211979899</v>
      </c>
      <c r="D6" s="6" t="s">
        <v>72</v>
      </c>
      <c r="E6" s="7">
        <v>0.91057870370370375</v>
      </c>
      <c r="F6" s="7">
        <v>0.91571759259259256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73</v>
      </c>
      <c r="E7" s="7">
        <v>0.77755434567901238</v>
      </c>
      <c r="F7" s="7">
        <v>0.79577179462306236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37</v>
      </c>
      <c r="C8" s="6">
        <v>211979906</v>
      </c>
      <c r="D8" s="6" t="s">
        <v>72</v>
      </c>
      <c r="E8" s="7">
        <v>0.92413194444444446</v>
      </c>
      <c r="F8" s="7">
        <v>0.93656249999999996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73</v>
      </c>
      <c r="E9" s="7">
        <v>0.756776126984127</v>
      </c>
      <c r="F9" s="7">
        <v>0.77755434567901238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31</v>
      </c>
      <c r="C10" s="6">
        <v>211977838</v>
      </c>
      <c r="D10" s="6" t="s">
        <v>72</v>
      </c>
      <c r="E10" s="7">
        <v>0.93682870370370375</v>
      </c>
      <c r="F10" s="7">
        <v>0.955474537037037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73</v>
      </c>
      <c r="E11" s="7">
        <v>0.79577179462306236</v>
      </c>
      <c r="F11" s="7">
        <v>0.8495766498985059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42</v>
      </c>
      <c r="C12" s="6">
        <v>211979919</v>
      </c>
      <c r="D12" s="6" t="s">
        <v>72</v>
      </c>
      <c r="E12" s="7">
        <v>0.95773148148148146</v>
      </c>
      <c r="F12" s="7">
        <v>0.97202546296296299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73</v>
      </c>
      <c r="E13" s="7">
        <v>0.8495766498985059</v>
      </c>
      <c r="F13" s="7">
        <v>0.86167982450168046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9</v>
      </c>
      <c r="C14" s="6">
        <v>211975582</v>
      </c>
      <c r="D14" s="6" t="s">
        <v>72</v>
      </c>
      <c r="E14" s="7">
        <v>0.97243055555555558</v>
      </c>
      <c r="F14" s="7">
        <v>3.1793981481481479E-2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73</v>
      </c>
      <c r="E15" s="7">
        <v>0.99381733546379547</v>
      </c>
      <c r="F15" s="7">
        <v>1.0751665418130019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34</v>
      </c>
      <c r="C16" s="6">
        <v>211979399</v>
      </c>
      <c r="D16" s="6" t="s">
        <v>72</v>
      </c>
      <c r="E16" s="7">
        <v>3.2743055555555553E-2</v>
      </c>
      <c r="F16" s="7">
        <v>4.3020833333333335E-2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73</v>
      </c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0:C1048576 C7 C9 C11 C13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J29"/>
  <sheetViews>
    <sheetView workbookViewId="0">
      <selection activeCell="I9" sqref="I9"/>
    </sheetView>
    <sheetView tabSelected="1" workbookViewId="1">
      <selection activeCell="I12" sqref="I12:J12"/>
    </sheetView>
  </sheetViews>
  <sheetFormatPr defaultRowHeight="18.75"/>
  <cols>
    <col min="2" max="2" width="16" customWidth="1"/>
    <col min="3" max="3" width="12.25" customWidth="1"/>
    <col min="6" max="6" width="9" style="25"/>
    <col min="7" max="8" width="9" style="23"/>
  </cols>
  <sheetData>
    <row r="2" spans="2:10">
      <c r="H2" s="21"/>
      <c r="I2" t="s">
        <v>12</v>
      </c>
    </row>
    <row r="4" spans="2:10">
      <c r="I4" s="2"/>
      <c r="J4" s="2"/>
    </row>
    <row r="5" spans="2:10">
      <c r="B5" s="6" t="s">
        <v>22</v>
      </c>
      <c r="C5" s="6" t="s">
        <v>23</v>
      </c>
      <c r="D5" s="6" t="s">
        <v>15</v>
      </c>
      <c r="E5" s="6" t="s">
        <v>56</v>
      </c>
      <c r="F5" s="24" t="s">
        <v>24</v>
      </c>
      <c r="G5" s="22" t="s">
        <v>57</v>
      </c>
      <c r="H5" s="22" t="s">
        <v>36</v>
      </c>
      <c r="I5" s="6" t="s">
        <v>25</v>
      </c>
      <c r="J5" s="6" t="s">
        <v>26</v>
      </c>
    </row>
    <row r="6" spans="2:10">
      <c r="B6" s="6" t="s">
        <v>31</v>
      </c>
      <c r="C6" s="6" t="s">
        <v>41</v>
      </c>
      <c r="D6" s="6">
        <v>48</v>
      </c>
      <c r="E6" s="6" t="s">
        <v>18</v>
      </c>
      <c r="F6" s="29" t="s">
        <v>19</v>
      </c>
      <c r="G6" s="22">
        <v>1.2225957049486458</v>
      </c>
      <c r="H6" s="22">
        <v>1.2913165266106443</v>
      </c>
      <c r="I6" s="16">
        <v>0.72916666666666663</v>
      </c>
      <c r="J6" s="16">
        <v>0.78010815437286019</v>
      </c>
    </row>
    <row r="7" spans="2:10">
      <c r="B7" s="6" t="s">
        <v>42</v>
      </c>
      <c r="C7" s="6" t="s">
        <v>43</v>
      </c>
      <c r="D7" s="6">
        <v>240</v>
      </c>
      <c r="E7" s="6" t="s">
        <v>18</v>
      </c>
      <c r="F7" s="29" t="s">
        <v>19</v>
      </c>
      <c r="G7" s="22">
        <v>0.42412698412698413</v>
      </c>
      <c r="H7" s="22">
        <v>0.2904761904761905</v>
      </c>
      <c r="I7" s="16">
        <v>0.78010815437286019</v>
      </c>
      <c r="J7" s="16">
        <v>0.7977801120448178</v>
      </c>
    </row>
    <row r="8" spans="2:10">
      <c r="B8" s="6" t="s">
        <v>9</v>
      </c>
      <c r="C8" s="6" t="s">
        <v>47</v>
      </c>
      <c r="D8" s="6">
        <v>288</v>
      </c>
      <c r="E8" s="6" t="s">
        <v>20</v>
      </c>
      <c r="F8" s="29" t="s">
        <v>19</v>
      </c>
      <c r="G8" s="22">
        <v>2.428571428571427</v>
      </c>
      <c r="H8" s="22">
        <v>1.9523809523809526</v>
      </c>
      <c r="I8" s="16">
        <v>0.7977801120448178</v>
      </c>
      <c r="J8" s="16">
        <v>0.89897058823529397</v>
      </c>
    </row>
    <row r="9" spans="2:10">
      <c r="B9" s="6" t="s">
        <v>10</v>
      </c>
      <c r="C9" s="6" t="s">
        <v>51</v>
      </c>
      <c r="D9" s="6">
        <v>48</v>
      </c>
      <c r="E9" s="6" t="s">
        <v>20</v>
      </c>
      <c r="F9" s="29" t="s">
        <v>19</v>
      </c>
      <c r="G9" s="22">
        <v>0.75420015367682192</v>
      </c>
      <c r="H9" s="22">
        <v>0.84665545241210305</v>
      </c>
      <c r="I9" s="16">
        <v>0.89897058823529397</v>
      </c>
      <c r="J9" s="16">
        <v>0.93039559463849486</v>
      </c>
    </row>
    <row r="10" spans="2:10">
      <c r="B10" s="6" t="s">
        <v>11</v>
      </c>
      <c r="C10" s="6" t="s">
        <v>53</v>
      </c>
      <c r="D10" s="6">
        <v>60</v>
      </c>
      <c r="E10" s="6" t="s">
        <v>20</v>
      </c>
      <c r="F10" s="30">
        <v>45580.81009259259</v>
      </c>
      <c r="G10" s="22">
        <v>0.78895821428571433</v>
      </c>
      <c r="H10" s="22">
        <v>0.76876000000000011</v>
      </c>
      <c r="I10" s="16">
        <v>0.93039559463849486</v>
      </c>
      <c r="J10" s="16">
        <v>0.96326885356706626</v>
      </c>
    </row>
    <row r="11" spans="2:10">
      <c r="B11" s="6" t="s">
        <v>54</v>
      </c>
      <c r="C11" s="6" t="s">
        <v>55</v>
      </c>
      <c r="D11" s="6">
        <v>48</v>
      </c>
      <c r="E11" s="6" t="s">
        <v>18</v>
      </c>
      <c r="F11" s="30">
        <v>45580.904988425929</v>
      </c>
      <c r="G11" s="22">
        <v>1.0198412698412695</v>
      </c>
      <c r="H11" s="22">
        <v>1.3789682539682542</v>
      </c>
      <c r="I11" s="16">
        <v>0.96326885356706626</v>
      </c>
      <c r="J11" s="16">
        <v>1.0057622398104524</v>
      </c>
    </row>
    <row r="12" spans="2:10">
      <c r="B12" s="6" t="s">
        <v>58</v>
      </c>
      <c r="C12" s="6" t="s">
        <v>59</v>
      </c>
      <c r="D12" s="6">
        <v>18</v>
      </c>
      <c r="E12" s="6" t="s">
        <v>18</v>
      </c>
      <c r="F12" s="29" t="s">
        <v>19</v>
      </c>
      <c r="G12" s="22">
        <v>0.33213019250253289</v>
      </c>
      <c r="H12" s="22" t="s">
        <v>27</v>
      </c>
      <c r="I12" s="16">
        <v>1.0057622398104524</v>
      </c>
      <c r="J12" s="16">
        <v>1.0196009978313914</v>
      </c>
    </row>
    <row r="13" spans="2:10">
      <c r="B13" s="6" t="s">
        <v>60</v>
      </c>
      <c r="C13" s="6" t="s">
        <v>61</v>
      </c>
      <c r="D13" s="6">
        <v>24</v>
      </c>
      <c r="E13" s="6" t="s">
        <v>18</v>
      </c>
      <c r="F13" s="29" t="s">
        <v>19</v>
      </c>
      <c r="G13" s="22">
        <v>0.30734610917537747</v>
      </c>
      <c r="H13" s="22" t="s">
        <v>27</v>
      </c>
      <c r="I13" s="16">
        <v>1.0196009978313914</v>
      </c>
      <c r="J13" s="16">
        <v>1.0324070857136987</v>
      </c>
    </row>
    <row r="14" spans="2:10">
      <c r="B14" s="6" t="s">
        <v>62</v>
      </c>
      <c r="C14" s="6" t="s">
        <v>63</v>
      </c>
      <c r="D14" s="6">
        <v>96</v>
      </c>
      <c r="E14" s="6" t="s">
        <v>18</v>
      </c>
      <c r="F14" s="30">
        <v>45580.788391203707</v>
      </c>
      <c r="G14" s="22">
        <v>0.41666666666666674</v>
      </c>
      <c r="H14" s="22" t="s">
        <v>27</v>
      </c>
      <c r="I14" s="16">
        <v>1.0324070857136987</v>
      </c>
      <c r="J14" s="16">
        <v>1.0497681968248098</v>
      </c>
    </row>
    <row r="18" spans="2:10">
      <c r="I18" s="2"/>
    </row>
    <row r="19" spans="2:10">
      <c r="B19" s="6" t="s">
        <v>22</v>
      </c>
      <c r="C19" s="6" t="s">
        <v>23</v>
      </c>
      <c r="D19" s="6" t="s">
        <v>15</v>
      </c>
      <c r="E19" s="6" t="s">
        <v>56</v>
      </c>
      <c r="F19" s="24" t="s">
        <v>24</v>
      </c>
      <c r="G19" s="22" t="s">
        <v>57</v>
      </c>
      <c r="H19" s="22" t="s">
        <v>36</v>
      </c>
      <c r="I19" s="6" t="s">
        <v>25</v>
      </c>
      <c r="J19" s="6" t="s">
        <v>26</v>
      </c>
    </row>
    <row r="20" spans="2:10">
      <c r="B20" s="6" t="s">
        <v>8</v>
      </c>
      <c r="C20" s="6" t="s">
        <v>44</v>
      </c>
      <c r="D20" s="6">
        <v>60</v>
      </c>
      <c r="E20" s="6" t="s">
        <v>21</v>
      </c>
      <c r="F20" s="29" t="s">
        <v>19</v>
      </c>
      <c r="G20" s="22">
        <v>1.8286112596039952</v>
      </c>
      <c r="H20" s="22">
        <v>2.2697923545381169</v>
      </c>
      <c r="I20" s="16">
        <v>0.72916666666666663</v>
      </c>
      <c r="J20" s="16">
        <v>0.80535880248349978</v>
      </c>
    </row>
    <row r="21" spans="2:10">
      <c r="B21" s="6" t="s">
        <v>45</v>
      </c>
      <c r="C21" s="6" t="s">
        <v>46</v>
      </c>
      <c r="D21" s="6">
        <v>48</v>
      </c>
      <c r="E21" s="6" t="s">
        <v>21</v>
      </c>
      <c r="F21" s="29" t="s">
        <v>19</v>
      </c>
      <c r="G21" s="22">
        <v>1.1933611768060515</v>
      </c>
      <c r="H21" s="22">
        <v>0.90150790855264284</v>
      </c>
      <c r="I21" s="16">
        <v>0.80535880248349978</v>
      </c>
      <c r="J21" s="16">
        <v>0.85508218485041865</v>
      </c>
    </row>
    <row r="22" spans="2:10">
      <c r="B22" s="6" t="s">
        <v>28</v>
      </c>
      <c r="C22" s="6" t="s">
        <v>48</v>
      </c>
      <c r="D22" s="6">
        <v>60</v>
      </c>
      <c r="E22" s="6" t="s">
        <v>21</v>
      </c>
      <c r="F22" s="29" t="s">
        <v>19</v>
      </c>
      <c r="G22" s="22">
        <v>1.1771000535045477</v>
      </c>
      <c r="H22" s="22">
        <v>1.1620117710005353</v>
      </c>
      <c r="I22" s="16">
        <v>0.85508218485041865</v>
      </c>
      <c r="J22" s="16">
        <v>0.90412802041310814</v>
      </c>
    </row>
    <row r="23" spans="2:10">
      <c r="B23" s="6" t="s">
        <v>49</v>
      </c>
      <c r="C23" s="6" t="s">
        <v>50</v>
      </c>
      <c r="D23" s="6">
        <v>24</v>
      </c>
      <c r="E23" s="6" t="s">
        <v>18</v>
      </c>
      <c r="F23" s="30">
        <v>45580.8121875</v>
      </c>
      <c r="G23" s="22">
        <v>0.35833333333333339</v>
      </c>
      <c r="H23" s="22">
        <v>0.43571428571428572</v>
      </c>
      <c r="I23" s="16">
        <v>0.90412802041310814</v>
      </c>
      <c r="J23" s="16">
        <v>0.91905857596866369</v>
      </c>
    </row>
    <row r="24" spans="2:10">
      <c r="B24" s="6" t="s">
        <v>32</v>
      </c>
      <c r="C24" s="6" t="s">
        <v>52</v>
      </c>
      <c r="D24" s="6">
        <v>24</v>
      </c>
      <c r="E24" s="6" t="s">
        <v>21</v>
      </c>
      <c r="F24" s="30">
        <v>45580.854456018518</v>
      </c>
      <c r="G24" s="22">
        <v>0.8183150182857144</v>
      </c>
      <c r="H24" s="28">
        <v>0.75</v>
      </c>
      <c r="I24" s="16">
        <v>0.91905857596866369</v>
      </c>
      <c r="J24" s="16">
        <v>0.95315503506390176</v>
      </c>
    </row>
    <row r="25" spans="2:10">
      <c r="B25" s="6" t="s">
        <v>29</v>
      </c>
      <c r="C25" s="6" t="s">
        <v>64</v>
      </c>
      <c r="D25" s="6">
        <v>60</v>
      </c>
      <c r="E25" s="6" t="s">
        <v>21</v>
      </c>
      <c r="F25" s="29" t="s">
        <v>19</v>
      </c>
      <c r="G25" s="22">
        <v>0.52633281573498936</v>
      </c>
      <c r="H25" s="22" t="s">
        <v>27</v>
      </c>
      <c r="I25" s="16">
        <v>0.95315503506390176</v>
      </c>
      <c r="J25" s="16">
        <v>0.9750855690528597</v>
      </c>
    </row>
    <row r="26" spans="2:10">
      <c r="B26" s="6" t="s">
        <v>33</v>
      </c>
      <c r="C26" s="6" t="s">
        <v>65</v>
      </c>
      <c r="D26" s="6">
        <v>72</v>
      </c>
      <c r="E26" s="6" t="s">
        <v>21</v>
      </c>
      <c r="F26" s="30">
        <v>45580.796423611115</v>
      </c>
      <c r="G26" s="22">
        <v>0.49999995238095235</v>
      </c>
      <c r="H26" s="22" t="s">
        <v>27</v>
      </c>
      <c r="I26" s="16">
        <v>0.9750855690528597</v>
      </c>
      <c r="J26" s="16">
        <v>0.9959189004020661</v>
      </c>
    </row>
    <row r="27" spans="2:10">
      <c r="B27" s="6" t="s">
        <v>66</v>
      </c>
      <c r="C27" s="6" t="s">
        <v>67</v>
      </c>
      <c r="D27" s="6">
        <v>12</v>
      </c>
      <c r="E27" s="6" t="s">
        <v>18</v>
      </c>
      <c r="F27" s="30">
        <v>45580.851759259262</v>
      </c>
      <c r="G27" s="28">
        <v>0.75</v>
      </c>
      <c r="H27" s="22" t="s">
        <v>27</v>
      </c>
      <c r="I27" s="16">
        <v>0.9959189004020661</v>
      </c>
      <c r="J27" s="16">
        <v>1.0271689004020661</v>
      </c>
    </row>
    <row r="28" spans="2:10">
      <c r="B28" s="6" t="s">
        <v>68</v>
      </c>
      <c r="C28" s="6" t="s">
        <v>69</v>
      </c>
      <c r="D28" s="6">
        <v>48</v>
      </c>
      <c r="E28" s="6" t="s">
        <v>18</v>
      </c>
      <c r="F28" s="30">
        <v>45580.965497685182</v>
      </c>
      <c r="G28" s="22">
        <v>1.1731601731601735</v>
      </c>
      <c r="H28" s="22">
        <v>0.54578754578754574</v>
      </c>
      <c r="I28" s="16">
        <v>1.0271689004020661</v>
      </c>
      <c r="J28" s="16">
        <v>1.0760505742837401</v>
      </c>
    </row>
    <row r="29" spans="2:10">
      <c r="B29" s="6" t="s">
        <v>70</v>
      </c>
      <c r="C29" s="6" t="s">
        <v>71</v>
      </c>
      <c r="D29" s="6">
        <v>62</v>
      </c>
      <c r="E29" s="6" t="s">
        <v>18</v>
      </c>
      <c r="F29" s="29" t="s">
        <v>19</v>
      </c>
      <c r="G29" s="22" t="s">
        <v>27</v>
      </c>
      <c r="H29" s="22" t="s">
        <v>27</v>
      </c>
      <c r="I29" s="22" t="s">
        <v>27</v>
      </c>
      <c r="J29" s="22" t="s">
        <v>27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19"/>
  <sheetViews>
    <sheetView workbookViewId="0">
      <selection activeCell="I9" sqref="I9"/>
    </sheetView>
    <sheetView workbookViewId="1">
      <selection activeCell="H7" sqref="H7"/>
    </sheetView>
  </sheetViews>
  <sheetFormatPr defaultRowHeight="18.75"/>
  <cols>
    <col min="2" max="2" width="13.125" bestFit="1" customWidth="1"/>
    <col min="6" max="6" width="9" style="20"/>
  </cols>
  <sheetData>
    <row r="1" spans="2:9">
      <c r="F1" s="25"/>
    </row>
    <row r="2" spans="2:9">
      <c r="F2" s="25"/>
      <c r="G2" s="21"/>
      <c r="H2" t="s">
        <v>12</v>
      </c>
    </row>
    <row r="3" spans="2:9">
      <c r="F3" s="25"/>
    </row>
    <row r="4" spans="2:9">
      <c r="F4" s="25"/>
    </row>
    <row r="5" spans="2:9">
      <c r="B5" s="6" t="s">
        <v>13</v>
      </c>
      <c r="C5" s="6" t="s">
        <v>14</v>
      </c>
      <c r="D5" s="6" t="s">
        <v>15</v>
      </c>
      <c r="E5" s="6" t="s">
        <v>56</v>
      </c>
      <c r="F5" s="26" t="s">
        <v>35</v>
      </c>
      <c r="G5" s="22" t="s">
        <v>36</v>
      </c>
      <c r="H5" s="6" t="s">
        <v>16</v>
      </c>
      <c r="I5" s="6" t="s">
        <v>17</v>
      </c>
    </row>
    <row r="6" spans="2:9">
      <c r="B6" s="6" t="s">
        <v>11</v>
      </c>
      <c r="C6" s="6" t="s">
        <v>30</v>
      </c>
      <c r="D6" s="6">
        <v>48</v>
      </c>
      <c r="E6" s="6" t="s">
        <v>20</v>
      </c>
      <c r="F6" s="27" t="s">
        <v>19</v>
      </c>
      <c r="G6" s="22">
        <v>0.66262704761904767</v>
      </c>
      <c r="H6" s="16">
        <v>0.72916666666666663</v>
      </c>
      <c r="I6" s="16">
        <v>0.756776126984127</v>
      </c>
    </row>
    <row r="7" spans="2:9">
      <c r="B7" s="6" t="s">
        <v>37</v>
      </c>
      <c r="C7" s="6" t="s">
        <v>38</v>
      </c>
      <c r="D7" s="6">
        <v>96</v>
      </c>
      <c r="E7" s="6" t="s">
        <v>18</v>
      </c>
      <c r="F7" s="27" t="s">
        <v>19</v>
      </c>
      <c r="G7" s="22">
        <v>0.49867724867724872</v>
      </c>
      <c r="H7" s="16">
        <v>0.756776126984127</v>
      </c>
      <c r="I7" s="16">
        <v>0.77755434567901238</v>
      </c>
    </row>
    <row r="8" spans="2:9">
      <c r="B8" s="6" t="s">
        <v>39</v>
      </c>
      <c r="C8" s="6" t="s">
        <v>40</v>
      </c>
      <c r="D8" s="6">
        <v>60</v>
      </c>
      <c r="E8" s="6" t="s">
        <v>21</v>
      </c>
      <c r="F8" s="27" t="s">
        <v>19</v>
      </c>
      <c r="G8" s="22">
        <v>0.43721877465719833</v>
      </c>
      <c r="H8" s="16">
        <v>0.77755434567901238</v>
      </c>
      <c r="I8" s="16">
        <v>0.79577179462306236</v>
      </c>
    </row>
    <row r="9" spans="2:9">
      <c r="B9" s="6" t="s">
        <v>31</v>
      </c>
      <c r="C9" s="6" t="s">
        <v>41</v>
      </c>
      <c r="D9" s="6">
        <v>48</v>
      </c>
      <c r="E9" s="6" t="s">
        <v>18</v>
      </c>
      <c r="F9" s="26">
        <v>0.78010815437286019</v>
      </c>
      <c r="G9" s="22">
        <v>1.2913165266106443</v>
      </c>
      <c r="H9" s="16">
        <v>0.79577179462306236</v>
      </c>
      <c r="I9" s="16">
        <v>0.8495766498985059</v>
      </c>
    </row>
    <row r="10" spans="2:9">
      <c r="B10" s="6" t="s">
        <v>42</v>
      </c>
      <c r="C10" s="6" t="s">
        <v>43</v>
      </c>
      <c r="D10" s="6">
        <v>240</v>
      </c>
      <c r="E10" s="6" t="s">
        <v>18</v>
      </c>
      <c r="F10" s="26">
        <v>0.7977801120448178</v>
      </c>
      <c r="G10" s="22">
        <v>0.2904761904761905</v>
      </c>
      <c r="H10" s="16">
        <v>0.8495766498985059</v>
      </c>
      <c r="I10" s="16">
        <v>0.86167982450168046</v>
      </c>
    </row>
    <row r="11" spans="2:9">
      <c r="B11" s="6" t="s">
        <v>8</v>
      </c>
      <c r="C11" s="6" t="s">
        <v>44</v>
      </c>
      <c r="D11" s="6">
        <v>60</v>
      </c>
      <c r="E11" s="6" t="s">
        <v>21</v>
      </c>
      <c r="F11" s="26">
        <v>0.80535880248349978</v>
      </c>
      <c r="G11" s="22">
        <v>2.2697923545381169</v>
      </c>
      <c r="H11" s="16">
        <v>0.86167982450168046</v>
      </c>
      <c r="I11" s="16">
        <v>0.95625450594076866</v>
      </c>
    </row>
    <row r="12" spans="2:9">
      <c r="B12" s="6" t="s">
        <v>45</v>
      </c>
      <c r="C12" s="6" t="s">
        <v>46</v>
      </c>
      <c r="D12" s="6">
        <v>48</v>
      </c>
      <c r="E12" s="6" t="s">
        <v>21</v>
      </c>
      <c r="F12" s="26">
        <v>0.85508218485041865</v>
      </c>
      <c r="G12" s="22">
        <v>0.90150790855264284</v>
      </c>
      <c r="H12" s="16">
        <v>0.95625450594076866</v>
      </c>
      <c r="I12" s="16">
        <v>0.99381733546379547</v>
      </c>
    </row>
    <row r="13" spans="2:9">
      <c r="B13" s="6" t="s">
        <v>9</v>
      </c>
      <c r="C13" s="6" t="s">
        <v>47</v>
      </c>
      <c r="D13" s="6">
        <v>288</v>
      </c>
      <c r="E13" s="6" t="s">
        <v>20</v>
      </c>
      <c r="F13" s="26">
        <v>0.89897058823529397</v>
      </c>
      <c r="G13" s="22">
        <v>1.9523809523809526</v>
      </c>
      <c r="H13" s="16">
        <v>0.99381733546379547</v>
      </c>
      <c r="I13" s="16">
        <v>1.0751665418130019</v>
      </c>
    </row>
    <row r="14" spans="2:9">
      <c r="B14" s="6" t="s">
        <v>28</v>
      </c>
      <c r="C14" s="6" t="s">
        <v>48</v>
      </c>
      <c r="D14" s="6">
        <v>60</v>
      </c>
      <c r="E14" s="6" t="s">
        <v>21</v>
      </c>
      <c r="F14" s="26">
        <v>0.90412802041310814</v>
      </c>
      <c r="G14" s="22">
        <v>1.1620117710005353</v>
      </c>
      <c r="H14" s="16">
        <v>1.0751665418130019</v>
      </c>
      <c r="I14" s="16">
        <v>1.1235836989380241</v>
      </c>
    </row>
    <row r="15" spans="2:9">
      <c r="B15" s="6" t="s">
        <v>49</v>
      </c>
      <c r="C15" s="6" t="s">
        <v>50</v>
      </c>
      <c r="D15" s="6">
        <v>24</v>
      </c>
      <c r="E15" s="6" t="s">
        <v>18</v>
      </c>
      <c r="F15" s="26">
        <v>0.91905857596866369</v>
      </c>
      <c r="G15" s="22">
        <v>0.43571428571428572</v>
      </c>
      <c r="H15" s="16">
        <v>1.1235836989380241</v>
      </c>
      <c r="I15" s="16">
        <v>1.1417384608427861</v>
      </c>
    </row>
    <row r="16" spans="2:9">
      <c r="B16" s="6" t="s">
        <v>10</v>
      </c>
      <c r="C16" s="6" t="s">
        <v>51</v>
      </c>
      <c r="D16" s="6">
        <v>48</v>
      </c>
      <c r="E16" s="16" t="s">
        <v>20</v>
      </c>
      <c r="F16" s="26">
        <v>0.93039559463849486</v>
      </c>
      <c r="G16" s="22">
        <v>0.84665545241210305</v>
      </c>
      <c r="H16" s="16">
        <v>1.1417384608427861</v>
      </c>
      <c r="I16" s="16">
        <v>1.1770157713599569</v>
      </c>
    </row>
    <row r="17" spans="2:9">
      <c r="B17" s="6" t="s">
        <v>32</v>
      </c>
      <c r="C17" s="6" t="s">
        <v>52</v>
      </c>
      <c r="D17" s="6">
        <v>24</v>
      </c>
      <c r="E17" s="6" t="s">
        <v>21</v>
      </c>
      <c r="F17" s="26">
        <v>0.95315503506390176</v>
      </c>
      <c r="G17" s="28">
        <v>0.75</v>
      </c>
      <c r="H17" s="16">
        <v>1.1770157713599569</v>
      </c>
      <c r="I17" s="16">
        <v>1.2082657713599569</v>
      </c>
    </row>
    <row r="18" spans="2:9">
      <c r="B18" s="6" t="s">
        <v>11</v>
      </c>
      <c r="C18" s="6" t="s">
        <v>53</v>
      </c>
      <c r="D18" s="6">
        <v>60</v>
      </c>
      <c r="E18" s="6" t="s">
        <v>20</v>
      </c>
      <c r="F18" s="26">
        <v>0.96326885356706626</v>
      </c>
      <c r="G18" s="22">
        <v>0.76876000000000011</v>
      </c>
      <c r="H18" s="16">
        <v>1.2082657713599569</v>
      </c>
      <c r="I18" s="16">
        <v>1.2402974380266236</v>
      </c>
    </row>
    <row r="19" spans="2:9">
      <c r="B19" s="6" t="s">
        <v>54</v>
      </c>
      <c r="C19" s="6" t="s">
        <v>55</v>
      </c>
      <c r="D19" s="6">
        <v>48</v>
      </c>
      <c r="E19" s="6" t="s">
        <v>18</v>
      </c>
      <c r="F19" s="26">
        <v>1.0057622398104524</v>
      </c>
      <c r="G19" s="22">
        <v>1.3789682539682542</v>
      </c>
      <c r="H19" s="16">
        <v>1.2402974380266236</v>
      </c>
      <c r="I19" s="16">
        <v>1.2977544486086343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D57E90-EF14-4914-B452-497A6EFF636B}"/>
</file>

<file path=customXml/itemProps3.xml><?xml version="1.0" encoding="utf-8"?>
<ds:datastoreItem xmlns:ds="http://schemas.openxmlformats.org/officeDocument/2006/customXml" ds:itemID="{D9B6089C-DC21-4487-A7DE-E222667BF51D}">
  <ds:schemaRefs>
    <ds:schemaRef ds:uri="ea180fb7-6417-4417-bcc2-1a1988547c9d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7e61ba0-4c47-4710-ac4c-031e401f92bd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2024-10-15T23:41:58Z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