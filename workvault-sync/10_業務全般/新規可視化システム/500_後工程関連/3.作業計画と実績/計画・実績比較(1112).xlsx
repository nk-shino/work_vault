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19" documentId="8_{CB907A02-1CCD-4C53-85C0-D5728968E21C}" xr6:coauthVersionLast="47" xr6:coauthVersionMax="47" xr10:uidLastSave="{B5859AC6-E9FA-45B0-A40C-5077E88813EE}"/>
  <bookViews>
    <workbookView xWindow="20370" yWindow="-4650" windowWidth="29040" windowHeight="15840" activeTab="2" xr2:uid="{1B7DEC30-3F67-4B1D-9BD6-07FAD4D9A0E9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<sst xmlns="http://schemas.openxmlformats.org/spreadsheetml/2006/main" count="63" uniqueCount="18">
  <si>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</si>
  <si>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</si>
  <si>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</si>
  <si>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</si>
  <si>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</si>
  <si>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</si>
  <si>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</si>
  <si>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</si>
  <si>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UR-05091-03</t>
  </si>
  <si>
    <t>＊計画データ作成改修中（実績データのみ）</t>
    <phoneticPr fontId="2"/>
  </si>
  <si>
    <t>UR-0511</t>
  </si>
  <si>
    <t>UR-4329-03</t>
  </si>
  <si>
    <t>UR-43721</t>
  </si>
  <si>
    <t>URS-4215</t>
  </si>
  <si>
    <t>UR-0486</t>
  </si>
  <si>
    <t>URS-0594</t>
  </si>
  <si>
    <t>UR-0520</t>
  </si>
  <si>
    <t>実績</t>
    <rPh sb="0" eb="2">
      <t>ジッセキ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</si>
</sst>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8" x14ac:knownFonts="1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7" fillId="0" borderId="0" xfId="0" applyNumberFormat="1" applyFont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11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D11" sqref="D11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D1" s="23"/>
      <c r="J1" s="2"/>
      <c r="K1" t="s">
        <v>1</v>
      </c>
    </row>
    <row r="2" spans="1:112" x14ac:dyDescent="0.4">
      <c r="B2" t="s">
        <v>9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11</v>
      </c>
      <c r="C4" s="6">
        <v>211988387</v>
      </c>
      <c r="D4" s="6" t="s">
        <v>17</v>
      </c>
      <c r="E4" s="7">
        <v>0.78756944444444443</v>
      </c>
      <c r="F4" s="7">
        <v>0.7949074074074074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 t="s">
        <v>11</v>
      </c>
      <c r="C5" s="6">
        <v>211988388</v>
      </c>
      <c r="D5" s="6" t="s">
        <v>17</v>
      </c>
      <c r="E5" s="7">
        <v>0.79503472222222227</v>
      </c>
      <c r="F5" s="7">
        <v>0.80168981481481483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15</v>
      </c>
      <c r="C7" s="6">
        <v>211989042</v>
      </c>
      <c r="D7" s="6" t="s">
        <v>17</v>
      </c>
      <c r="E7" s="7">
        <v>0.80414351851851851</v>
      </c>
      <c r="F7" s="7">
        <v>0.80888888888888888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15</v>
      </c>
      <c r="C8" s="6">
        <v>211989042</v>
      </c>
      <c r="D8" s="6" t="s">
        <v>17</v>
      </c>
      <c r="E8" s="7">
        <v>0.80902777777777779</v>
      </c>
      <c r="F8" s="7">
        <v>0.81085648148148148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16</v>
      </c>
      <c r="C10" s="6">
        <v>211989032</v>
      </c>
      <c r="D10" s="6" t="s">
        <v>17</v>
      </c>
      <c r="E10" s="7">
        <v>0.89466435185185189</v>
      </c>
      <c r="F10" s="7">
        <v>0.98666666666666669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 t="s">
        <v>16</v>
      </c>
      <c r="C11" s="6">
        <v>211989032</v>
      </c>
      <c r="D11" s="6" t="s">
        <v>17</v>
      </c>
      <c r="E11" s="7">
        <v>0.98678240740740741</v>
      </c>
      <c r="F11" s="7">
        <v>0.99488425925925927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16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8"/>
      <c r="F30" s="9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8"/>
      <c r="F32" s="9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 x14ac:dyDescent="0.4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 x14ac:dyDescent="0.4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 x14ac:dyDescent="0.4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 x14ac:dyDescent="0.4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 x14ac:dyDescent="0.4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 x14ac:dyDescent="0.4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 x14ac:dyDescent="0.4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 x14ac:dyDescent="0.4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 x14ac:dyDescent="0.4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 x14ac:dyDescent="0.4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 x14ac:dyDescent="0.4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 x14ac:dyDescent="0.4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 x14ac:dyDescent="0.4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 x14ac:dyDescent="0.4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 x14ac:dyDescent="0.4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 x14ac:dyDescent="0.4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 x14ac:dyDescent="0.4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 x14ac:dyDescent="0.4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 x14ac:dyDescent="0.4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 x14ac:dyDescent="0.4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 x14ac:dyDescent="0.4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 x14ac:dyDescent="0.4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 x14ac:dyDescent="0.4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 x14ac:dyDescent="0.4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 x14ac:dyDescent="0.4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 x14ac:dyDescent="0.4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 x14ac:dyDescent="0.4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 x14ac:dyDescent="0.4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 x14ac:dyDescent="0.4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 x14ac:dyDescent="0.4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 x14ac:dyDescent="0.4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 x14ac:dyDescent="0.4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 x14ac:dyDescent="0.4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 x14ac:dyDescent="0.4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 x14ac:dyDescent="0.4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 x14ac:dyDescent="0.4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 x14ac:dyDescent="0.4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 x14ac:dyDescent="0.4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 x14ac:dyDescent="0.4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 x14ac:dyDescent="0.4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 x14ac:dyDescent="0.4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 x14ac:dyDescent="0.4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 x14ac:dyDescent="0.4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34">
    <cfRule type="expression" dxfId="10" priority="5">
      <formula>AND($D4="計画", $E4 &lt;= F$3, F$3 &lt; $F4 + IF($F4 &lt; $E4, 1, 0))</formula>
    </cfRule>
  </conditionalFormatting>
  <conditionalFormatting sqref="H4:DH134">
    <cfRule type="expression" dxfId="9" priority="6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dimension ref="A1:DH66"/>
  <sheetViews>
    <sheetView workbookViewId="0">
      <pane xSplit="6" ySplit="3" topLeftCell="BC4" activePane="bottomRight" state="frozen"/>
      <selection pane="topRight" activeCell="G1" sqref="G1"/>
      <selection pane="bottomLeft" activeCell="A4" sqref="A4"/>
      <selection pane="bottomRight" activeCell="B4" sqref="B4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9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/>
      <c r="C4" s="6"/>
      <c r="D4" s="6"/>
      <c r="E4" s="7"/>
      <c r="F4" s="7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C18">
    <cfRule type="duplicateValues" dxfId="8" priority="1"/>
  </conditionalFormatting>
  <conditionalFormatting sqref="H4:DH69">
    <cfRule type="expression" dxfId="7" priority="3">
      <formula>AND($D4="計画", $E4 &lt;= G$3, G$3 &lt; $F4 + IF($F4 &lt; $E4, 1, 0))</formula>
    </cfRule>
    <cfRule type="expression" dxfId="6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dimension ref="A1:DH66"/>
  <sheetViews>
    <sheetView tabSelected="1" workbookViewId="0">
      <selection activeCell="D4" sqref="D4:D5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9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8</v>
      </c>
      <c r="C4" s="6">
        <v>211983865</v>
      </c>
      <c r="D4" s="6" t="s">
        <v>17</v>
      </c>
      <c r="E4" s="7">
        <v>0.84944444444444445</v>
      </c>
      <c r="F4" s="7">
        <v>0.95187500000000003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 t="s">
        <v>8</v>
      </c>
      <c r="C5" s="6">
        <v>211983865</v>
      </c>
      <c r="D5" s="6" t="s">
        <v>17</v>
      </c>
      <c r="E5" s="7">
        <v>0.9520601851851852</v>
      </c>
      <c r="F5" s="7">
        <v>0.96847222222222218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8"/>
      <c r="F11" s="9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5" priority="1">
      <formula>AND($D4="計画", $E4 &lt;= G$3, G$3 &lt; $F4 + IF($F4 &lt; $E4, 1, 0))</formula>
    </cfRule>
    <cfRule type="expression" dxfId="4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workbookViewId="0">
      <pane xSplit="6" ySplit="3" topLeftCell="BI12" activePane="bottomRight" state="frozen"/>
      <selection pane="topRight" activeCell="G1" sqref="G1"/>
      <selection pane="bottomLeft" activeCell="A4" sqref="A4"/>
      <selection pane="bottomRight" activeCell="D22" sqref="D22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</row>
    <row r="2" spans="1:112" x14ac:dyDescent="0.4">
      <c r="B2" t="s">
        <v>9</v>
      </c>
      <c r="F2" s="2"/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 x14ac:dyDescent="0.4">
      <c r="A4" s="6"/>
      <c r="B4" s="6"/>
      <c r="C4" s="6"/>
      <c r="D4" s="6"/>
      <c r="E4" s="7"/>
      <c r="F4" s="7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6"/>
      <c r="F5" s="6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8</v>
      </c>
      <c r="C12" s="6">
        <v>211983864</v>
      </c>
      <c r="D12" s="6" t="s">
        <v>17</v>
      </c>
      <c r="E12" s="7">
        <v>0.80315972222222221</v>
      </c>
      <c r="F12" s="7">
        <v>0.92476851851851849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 t="s">
        <v>12</v>
      </c>
      <c r="C14" s="6">
        <v>211985447</v>
      </c>
      <c r="D14" s="6" t="s">
        <v>17</v>
      </c>
      <c r="E14" s="7">
        <v>0.95711805555555551</v>
      </c>
      <c r="F14" s="7">
        <v>0.97015046296296292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 t="s">
        <v>11</v>
      </c>
      <c r="C16" s="6">
        <v>211988387</v>
      </c>
      <c r="D16" s="6" t="s">
        <v>17</v>
      </c>
      <c r="E16" s="7">
        <v>0.97030092592592587</v>
      </c>
      <c r="F16" s="7">
        <v>2.6967592592592592E-2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 t="s">
        <v>13</v>
      </c>
      <c r="C18" s="6">
        <v>211988405</v>
      </c>
      <c r="D18" s="6" t="s">
        <v>17</v>
      </c>
      <c r="E18" s="7">
        <v>2.6041666666666665E-3</v>
      </c>
      <c r="F18" s="7">
        <v>1.9722222222222221E-2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 t="s">
        <v>10</v>
      </c>
      <c r="C20" s="6">
        <v>211989031</v>
      </c>
      <c r="D20" s="6" t="s">
        <v>17</v>
      </c>
      <c r="E20" s="7">
        <v>2.537037037037037E-2</v>
      </c>
      <c r="F20" s="7">
        <v>3.8136574074074073E-2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 t="s">
        <v>14</v>
      </c>
      <c r="C22" s="6">
        <v>211984953</v>
      </c>
      <c r="D22" s="6" t="s">
        <v>17</v>
      </c>
      <c r="E22" s="7">
        <v>2.8715277777777777E-2</v>
      </c>
      <c r="F22" s="7">
        <v>3.9097222222222221E-2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 x14ac:dyDescent="0.4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 x14ac:dyDescent="0.4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 x14ac:dyDescent="0.4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 x14ac:dyDescent="0.4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13 C21 C19 C15 C17">
    <cfRule type="duplicateValues" dxfId="3" priority="1"/>
  </conditionalFormatting>
  <conditionalFormatting sqref="C31:C1048576 C1:C3">
    <cfRule type="duplicateValues" dxfId="2" priority="4"/>
  </conditionalFormatting>
  <conditionalFormatting sqref="G4:DH99">
    <cfRule type="expression" dxfId="1" priority="5">
      <formula>AND($D4="計画", $E4 &lt;= F$3, F$3 &lt; $F4 + IF($F4 &lt; $E4, 1, 0))</formula>
    </cfRule>
    <cfRule type="expression" dxfId="0" priority="6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dimension ref="F1:H1"/>
  <sheetViews>
    <sheetView workbookViewId="0">
      <selection activeCell="A16" sqref="A1:XFD1048576"/>
    </sheetView>
  </sheetViews>
  <sheetFormatPr defaultColWidth="9.25" defaultRowHeight="18.75" x14ac:dyDescent="0.4"/>
  <cols>
    <col min="6" max="6" width="9.25" style="22"/>
    <col min="7" max="8" width="9.25" style="21"/>
  </cols>
  <sheetData/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dimension ref="F1"/>
  <sheetViews>
    <sheetView workbookViewId="0">
      <selection activeCell="L6" sqref="L6"/>
    </sheetView>
  </sheetViews>
  <sheetFormatPr defaultColWidth="9.375" defaultRowHeight="18.75" x14ac:dyDescent="0.4"/>
  <cols>
    <col min="6" max="6" width="9.375" style="20"/>
  </cols>
  <sheetData/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B6089C-DC21-4487-A7DE-E222667BF51D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a7e61ba0-4c47-4710-ac4c-031e401f92bd"/>
    <ds:schemaRef ds:uri="ea180fb7-6417-4417-bcc2-1a1988547c9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5DC3CF-888E-454A-90C0-69A2F2F698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UCHIDA Yoshiharu (内田 寿治)</cp:lastModifiedBy>
  <cp:revision/>
  <dcterms:created xsi:type="dcterms:W3CDTF">2024-09-18T03:10:58Z</dcterms:created>
  <dcterms:modified xsi:type="dcterms:W3CDTF">2024-11-12T23:34:37Z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