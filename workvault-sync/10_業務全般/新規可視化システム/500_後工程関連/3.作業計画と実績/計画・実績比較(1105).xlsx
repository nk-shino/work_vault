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84" documentId="8_{A37C265E-7421-4276-A74F-498E0C3D82A3}" xr6:coauthVersionLast="47" xr6:coauthVersionMax="47" xr10:uidLastSave="{4EA86A6A-6F32-4C4C-848E-D2CE1461FBA3}"/>
  <bookViews>
    <workbookView xWindow="20370" yWindow="-4650" windowWidth="29040" windowHeight="15840" xr2:uid="{66D40786-C3EF-4208-8AC5-A8E28D46B20B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H7" i="5" s="1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I32" i="6"/>
  <c r="J32" i="6" s="1"/>
  <c r="I33" i="6" s="1"/>
  <c r="J33" i="6" s="1"/>
  <c r="J31" i="6"/>
  <c r="J20" i="6"/>
  <c r="I21" i="6" s="1"/>
  <c r="J21" i="6" s="1"/>
  <c r="I22" i="6" s="1"/>
  <c r="J22" i="6" s="1"/>
  <c r="I23" i="6" s="1"/>
  <c r="J23" i="6" s="1"/>
  <c r="I24" i="6" s="1"/>
  <c r="J24" i="6" s="1"/>
  <c r="I13" i="6"/>
  <c r="J13" i="6" s="1"/>
  <c r="J12" i="6"/>
  <c r="J11" i="6"/>
  <c r="J6" i="6"/>
  <c r="I7" i="6" s="1"/>
  <c r="J7" i="6" s="1"/>
  <c r="I8" i="6" s="1"/>
  <c r="J8" i="6" s="1"/>
  <c r="I9" i="6" s="1"/>
  <c r="J9" i="6" s="1"/>
  <c r="I10" i="6" s="1"/>
  <c r="J10" i="6" s="1"/>
</calcChain>
</file>

<file path=xl/sharedStrings.xml><?xml version="1.0" encoding="utf-8"?>
<sst xmlns="http://schemas.openxmlformats.org/spreadsheetml/2006/main" count="214" uniqueCount="65">
  <si>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</si>
  <si>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</si>
  <si>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</si>
  <si>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</si>
  <si>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</si>
  <si>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</si>
  <si>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</si>
  <si>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</si>
  <si>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←マスタ未登録</t>
    <rPh sb="4" eb="7">
      <t>ミ</t>
    </rPh>
    <phoneticPr fontId="2"/>
  </si>
  <si>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</si>
  <si>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</si>
  <si>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</si>
  <si>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</si>
  <si>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</si>
  <si>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9"/>
  </si>
  <si>
    <t>目視工数</t>
    <rPh sb="0" eb="2">
      <t>モクシ</t>
    </rPh>
    <rPh sb="2" eb="4">
      <t>コウスウ</t>
    </rPh>
    <phoneticPr fontId="9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</si>
  <si>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</si>
  <si>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</si>
  <si>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Line-1</t>
  </si>
  <si>
    <t>仕掛</t>
    <rPh sb="0" eb="2">
      <t>シカカリ</t>
    </rPh>
    <phoneticPr fontId="2"/>
  </si>
  <si>
    <t>―</t>
  </si>
  <si>
    <t>TypeID</t>
  </si>
  <si>
    <t>orderNumber</t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</si>
  <si>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</si>
  <si>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</si>
  <si>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AOI終了予定時刻</t>
    <rPh sb="3" eb="5">
      <t>シュウリョウ</t>
    </rPh>
    <rPh sb="5" eb="9">
      <t>ヨテイジコク</t>
    </rPh>
    <phoneticPr fontId="9"/>
  </si>
  <si>
    <t>10/24 目視</t>
    <rPh sb="6" eb="8">
      <t>モクシ</t>
    </rPh>
    <phoneticPr fontId="2"/>
  </si>
  <si>
    <t>UT-1007</t>
  </si>
  <si>
    <t>211985908</t>
  </si>
  <si>
    <t>UR-0591</t>
  </si>
  <si>
    <t>211985887</t>
  </si>
  <si>
    <t>UR-4207-02</t>
  </si>
  <si>
    <t>211985890</t>
  </si>
  <si>
    <t>211985891</t>
  </si>
  <si>
    <t>UR-4421-01</t>
  </si>
  <si>
    <t>211985895</t>
  </si>
  <si>
    <t>URS-42982</t>
  </si>
  <si>
    <t>211985905</t>
  </si>
  <si>
    <t>URS-4215</t>
  </si>
  <si>
    <t>211985904</t>
  </si>
  <si>
    <t>UT-0986-01</t>
  </si>
  <si>
    <t>130007821</t>
  </si>
  <si>
    <t>UR-0481-01</t>
  </si>
  <si>
    <t>211985882</t>
  </si>
  <si>
    <t>Line-2</t>
  </si>
  <si>
    <t>UR-0476</t>
  </si>
  <si>
    <t>211985879</t>
  </si>
  <si>
    <t>UR-0505</t>
  </si>
  <si>
    <t>211985884</t>
  </si>
  <si>
    <t>UR-0480</t>
  </si>
  <si>
    <t>211985881</t>
  </si>
  <si>
    <t>UR-0483</t>
  </si>
  <si>
    <t>211985883</t>
  </si>
  <si>
    <t>UR-06101-01</t>
  </si>
  <si>
    <t>211985913</t>
  </si>
  <si>
    <t>Line-3</t>
  </si>
  <si>
    <t>UR-0559-06</t>
  </si>
  <si>
    <t>211985886</t>
  </si>
  <si>
    <t>UR-05091-03</t>
  </si>
  <si>
    <t>211983860</t>
  </si>
  <si>
    <t>実績</t>
    <rPh sb="0" eb="2">
      <t>ジッセキ</t>
    </rPh>
    <phoneticPr fontId="2"/>
  </si>
  <si>
    <t>計画</t>
    <rPh sb="0" eb="2">
      <t>ケイカク</t>
    </rPh>
    <phoneticPr fontId="2"/>
  </si>
  <si>
    <t>３号機で計画</t>
    <rPh sb="1" eb="3">
      <t>ゴウキ</t>
    </rPh>
    <rPh sb="4" eb="6">
      <t>ケイカク</t>
    </rPh>
    <phoneticPr fontId="2"/>
  </si>
  <si>
    <t>実績データなし</t>
    <rPh sb="0" eb="2">
      <t>ジッセキ</t>
    </rPh>
    <phoneticPr fontId="2"/>
  </si>
  <si>
    <t>デバック待ち</t>
    <rPh sb="4" eb="5">
      <t>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</si>
</sst>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8" fillId="0" borderId="0" xfId="0" applyNumberFormat="1" applyFont="1">
      <alignment vertical="center"/>
    </xf>
    <xf numFmtId="176" fontId="8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176" fontId="7" fillId="0" borderId="1" xfId="0" applyNumberFormat="1" applyFont="1" applyBorder="1" applyAlignment="1">
      <alignment horizontal="right"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20" fontId="0" fillId="0" borderId="1" xfId="0" applyNumberFormat="1" applyBorder="1" applyAlignment="1">
      <alignment vertical="center"/>
    </xf>
  </cellXfs>
  <cellStyles count="1">
    <cellStyle name="標準" xfId="0" builtinId="0"/>
  </cellStyles>
  <dxfs count="13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6B2ACC2-89FB-43CF-9C60-979CA4274CE5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15</xdr:row>
      <xdr:rowOff>0</xdr:rowOff>
    </xdr:from>
    <xdr:to>
      <xdr:col>6</xdr:col>
      <xdr:colOff>0</xdr:colOff>
      <xdr:row>17</xdr:row>
      <xdr:rowOff>28161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F47F99D-CDE3-40A2-AE34-3BD8E324C2D4}"/>
            </a:ext>
          </a:extLst>
        </xdr:cNvPr>
        <xdr:cNvSpPr txBox="1"/>
      </xdr:nvSpPr>
      <xdr:spPr>
        <a:xfrm>
          <a:off x="780222" y="357187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26</xdr:row>
      <xdr:rowOff>0</xdr:rowOff>
    </xdr:from>
    <xdr:to>
      <xdr:col>6</xdr:col>
      <xdr:colOff>0</xdr:colOff>
      <xdr:row>28</xdr:row>
      <xdr:rowOff>28161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FC9CD6A-6FE5-4305-A946-BCC19431A402}"/>
            </a:ext>
          </a:extLst>
        </xdr:cNvPr>
        <xdr:cNvSpPr txBox="1"/>
      </xdr:nvSpPr>
      <xdr:spPr>
        <a:xfrm>
          <a:off x="780222" y="619125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4A13A1C-2B43-4DAA-8CF2-07A670F54FF8}"/>
            </a:ext>
          </a:extLst>
        </xdr:cNvPr>
        <xdr:cNvSpPr txBox="1"/>
      </xdr:nvSpPr>
      <xdr:spPr>
        <a:xfrm>
          <a:off x="702365" y="8220490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F4" activePane="bottomRight" state="frozen"/>
      <selection pane="topRight" activeCell="G1" sqref="G1"/>
      <selection pane="bottomLeft" activeCell="A4" sqref="A4"/>
      <selection pane="bottomRight" activeCell="F22" sqref="F22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53</v>
      </c>
      <c r="C4" s="6">
        <v>211985913</v>
      </c>
      <c r="D4" s="6" t="s">
        <v>60</v>
      </c>
      <c r="E4" s="7">
        <v>0.72658564814814819</v>
      </c>
      <c r="F4" s="7">
        <v>0.74208333333333332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60</v>
      </c>
      <c r="E5" s="7">
        <v>0.79579861111111116</v>
      </c>
      <c r="F5" s="7">
        <v>0.79976851851851849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29" t="s">
        <v>62</v>
      </c>
      <c r="D6" s="6" t="s">
        <v>61</v>
      </c>
      <c r="E6" s="16">
        <v>0.75</v>
      </c>
      <c r="F6" s="16">
        <v>0.78142500640320089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56</v>
      </c>
      <c r="C7" s="6">
        <v>211985886</v>
      </c>
      <c r="D7" s="6" t="s">
        <v>60</v>
      </c>
      <c r="E7" s="7">
        <v>0.74221064814814819</v>
      </c>
      <c r="F7" s="7">
        <v>0.75837962962962968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60</v>
      </c>
      <c r="E8" s="7">
        <v>0.8066550925925926</v>
      </c>
      <c r="F8" s="7">
        <v>0.81392361111111111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29" t="s">
        <v>62</v>
      </c>
      <c r="D9" s="6" t="s">
        <v>61</v>
      </c>
      <c r="E9" s="7">
        <v>0.78142500640320089</v>
      </c>
      <c r="F9" s="7">
        <v>0.80970774053018502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27</v>
      </c>
      <c r="C10" s="6">
        <v>211985908</v>
      </c>
      <c r="D10" s="6" t="s">
        <v>60</v>
      </c>
      <c r="E10" s="7">
        <v>0.7584953703703704</v>
      </c>
      <c r="F10" s="7">
        <v>0.79563657407407407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60</v>
      </c>
      <c r="E11" s="7">
        <v>0.9760416666666667</v>
      </c>
      <c r="F11" s="7">
        <v>0.97921296296296301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61</v>
      </c>
      <c r="E12" s="7">
        <v>0.75</v>
      </c>
      <c r="F12" s="7">
        <v>0.767526455026455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29</v>
      </c>
      <c r="C13" s="6">
        <v>211985887</v>
      </c>
      <c r="D13" s="6" t="s">
        <v>60</v>
      </c>
      <c r="E13" s="7">
        <v>0.97972222222222227</v>
      </c>
      <c r="F13" s="7">
        <v>0.98484953703703704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61</v>
      </c>
      <c r="E14" s="7">
        <v>0.767526455026455</v>
      </c>
      <c r="F14" s="7">
        <v>0.81752645502645505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31</v>
      </c>
      <c r="C15" s="6">
        <v>211985890</v>
      </c>
      <c r="D15" s="6" t="s">
        <v>60</v>
      </c>
      <c r="E15" s="7">
        <v>3.7268518518518519E-3</v>
      </c>
      <c r="F15" s="7">
        <v>2.0659722222222222E-2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61</v>
      </c>
      <c r="E16" s="7">
        <v>0.81752645502645505</v>
      </c>
      <c r="F16" s="7">
        <v>0.83030384544755476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31</v>
      </c>
      <c r="C17" s="6">
        <v>211985891</v>
      </c>
      <c r="D17" s="6" t="s">
        <v>60</v>
      </c>
      <c r="E17" s="7">
        <v>2.0972222222222222E-2</v>
      </c>
      <c r="F17" s="7">
        <v>3.3819444444444444E-2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 t="s">
        <v>61</v>
      </c>
      <c r="E18" s="7">
        <v>0.83030384544755476</v>
      </c>
      <c r="F18" s="7">
        <v>0.84343833030621262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63</v>
      </c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34</v>
      </c>
      <c r="C21" s="6" t="s">
        <v>35</v>
      </c>
      <c r="D21" s="6" t="s">
        <v>61</v>
      </c>
      <c r="E21" s="7">
        <v>0.84343833030621262</v>
      </c>
      <c r="F21" s="7">
        <v>0.86287110341545636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36</v>
      </c>
      <c r="C22" s="6" t="s">
        <v>37</v>
      </c>
      <c r="D22" s="6" t="s">
        <v>61</v>
      </c>
      <c r="E22" s="7">
        <v>0.90831018518518514</v>
      </c>
      <c r="F22" s="7">
        <v>0.94399305555555557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38</v>
      </c>
      <c r="C23" s="6" t="s">
        <v>39</v>
      </c>
      <c r="D23" s="6" t="s">
        <v>61</v>
      </c>
      <c r="E23" s="7">
        <v>0.96881944444444446</v>
      </c>
      <c r="F23" s="7">
        <v>0.98649305555555555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 t="s">
        <v>40</v>
      </c>
      <c r="C24" s="6" t="s">
        <v>41</v>
      </c>
      <c r="D24" s="6" t="s">
        <v>61</v>
      </c>
      <c r="E24" s="30" t="s">
        <v>64</v>
      </c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2" priority="5">
      <formula>AND($D4="計画", $E4 &lt;= F$3, F$3 &lt; $F4 + IF($F4 &lt; $E4, 1, 0))</formula>
    </cfRule>
  </conditionalFormatting>
  <conditionalFormatting sqref="H4:DH134">
    <cfRule type="expression" dxfId="11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H4" activePane="bottomRight" state="frozen"/>
      <selection pane="topRight" activeCell="G1" sqref="G1"/>
      <selection pane="bottomLeft" activeCell="A4" sqref="A4"/>
      <selection pane="bottomRight" activeCell="F16" sqref="F16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42</v>
      </c>
      <c r="C4" s="6">
        <v>211985882</v>
      </c>
      <c r="D4" s="6" t="s">
        <v>60</v>
      </c>
      <c r="E4" s="7">
        <v>0.7760069444444444</v>
      </c>
      <c r="F4" s="7">
        <v>0.81987268518518519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60</v>
      </c>
      <c r="E5" s="7">
        <v>0.81998842592592591</v>
      </c>
      <c r="F5" s="7">
        <v>0.86946759259259254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61</v>
      </c>
      <c r="E6" s="7">
        <v>0.75</v>
      </c>
      <c r="F6" s="7">
        <v>0.82619213581683315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45</v>
      </c>
      <c r="C7" s="6">
        <v>211985879</v>
      </c>
      <c r="D7" s="6" t="s">
        <v>60</v>
      </c>
      <c r="E7" s="7">
        <v>0.98555555555555552</v>
      </c>
      <c r="F7" s="7">
        <v>0.98781249999999998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61</v>
      </c>
      <c r="E8" s="7">
        <v>0.82619213581683315</v>
      </c>
      <c r="F8" s="7">
        <v>0.83654657139448296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47</v>
      </c>
      <c r="C9" s="6">
        <v>211985884</v>
      </c>
      <c r="D9" s="6" t="s">
        <v>60</v>
      </c>
      <c r="E9" s="7">
        <v>0.98795138888888889</v>
      </c>
      <c r="F9" s="7">
        <v>0.99072916666666666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 t="s">
        <v>61</v>
      </c>
      <c r="E10" s="7">
        <v>0.83654657139448296</v>
      </c>
      <c r="F10" s="7">
        <v>0.84724887431939822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49</v>
      </c>
      <c r="C11" s="6">
        <v>211985881</v>
      </c>
      <c r="D11" s="6" t="s">
        <v>60</v>
      </c>
      <c r="E11" s="7">
        <v>0.99087962962962961</v>
      </c>
      <c r="F11" s="7">
        <v>0.99098379629629629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60</v>
      </c>
      <c r="E12" s="7">
        <v>0.99113425925925924</v>
      </c>
      <c r="F12" s="7">
        <v>2.3032407407407407E-3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 t="s">
        <v>61</v>
      </c>
      <c r="E13" s="7">
        <v>0.84724887431939822</v>
      </c>
      <c r="F13" s="7">
        <v>0.86917940830835616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63</v>
      </c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51</v>
      </c>
      <c r="C16" s="6" t="s">
        <v>52</v>
      </c>
      <c r="D16" s="6" t="s">
        <v>61</v>
      </c>
      <c r="E16" s="7">
        <v>0.86917940830835616</v>
      </c>
      <c r="F16" s="7">
        <v>0.91822524387104565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16"/>
      <c r="F18" s="16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7">
    <cfRule type="duplicateValues" dxfId="10" priority="2"/>
  </conditionalFormatting>
  <conditionalFormatting sqref="C18">
    <cfRule type="duplicateValues" dxfId="9" priority="1"/>
  </conditionalFormatting>
  <conditionalFormatting sqref="H4:DH69">
    <cfRule type="expression" dxfId="8" priority="3">
      <formula>AND($D4="計画", $E4 &lt;= G$3, G$3 &lt; $F4 + IF($F4 &lt; $E4, 1, 0))</formula>
    </cfRule>
    <cfRule type="expression" dxfId="7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pane xSplit="6" ySplit="3" topLeftCell="BH4" activePane="bottomRight" state="frozen"/>
      <selection pane="topRight" activeCell="G1" sqref="G1"/>
      <selection pane="bottomLeft" activeCell="A4" sqref="A4"/>
      <selection pane="bottomRight" activeCell="E6" sqref="E6:F6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58</v>
      </c>
      <c r="C4" s="6">
        <v>211983860</v>
      </c>
      <c r="D4" s="6" t="s">
        <v>60</v>
      </c>
      <c r="E4" s="7">
        <v>0.85730324074074071</v>
      </c>
      <c r="F4" s="7">
        <v>0.95180555555555557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60</v>
      </c>
      <c r="E5" s="7">
        <v>0.95209490740740743</v>
      </c>
      <c r="F5" s="7">
        <v>0.96633101851851855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61</v>
      </c>
      <c r="E6" s="7">
        <v>0.80970774053018502</v>
      </c>
      <c r="F6" s="7">
        <v>0.91089821672066118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L14" activePane="bottomRight" state="frozen"/>
      <selection pane="topRight" activeCell="G1" sqref="G1"/>
      <selection pane="bottomLeft" activeCell="A4" sqref="A4"/>
      <selection pane="bottomRight" activeCell="B4" sqref="B4:F28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26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6"/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16"/>
      <c r="F21" s="16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8"/>
      <c r="F25" s="9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7 C9 C11 C13 C23 C26:C1048576 C1:C3">
    <cfRule type="duplicateValues" dxfId="4" priority="3"/>
  </conditionalFormatting>
  <conditionalFormatting sqref="C24">
    <cfRule type="duplicateValues" dxfId="3" priority="2"/>
  </conditionalFormatting>
  <conditionalFormatting sqref="C25">
    <cfRule type="duplicateValues" dxfId="2" priority="1"/>
  </conditionalFormatting>
  <conditionalFormatting sqref="G4:DH99">
    <cfRule type="expression" dxfId="1" priority="4">
      <formula>AND($D4="計画", $E4 &lt;= F$3, F$3 &lt; $F4 + IF($F4 &lt; $E4, 1, 0))</formula>
    </cfRule>
    <cfRule type="expression" dxfId="0" priority="5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A2:J33"/>
  <sheetViews>
    <sheetView workbookViewId="0">
      <selection sqref="A1:XFD1048576"/>
    </sheetView>
  </sheetViews>
  <sheetFormatPr defaultColWidth="9.25" defaultRowHeight="18.75"/>
  <cols>
    <col min="2" max="2" width="13.125" bestFit="1" customWidth="1"/>
    <col min="3" max="3" width="10.5" bestFit="1" customWidth="1"/>
    <col min="4" max="4" width="5.25" bestFit="1" customWidth="1"/>
    <col min="5" max="5" width="7.125" bestFit="1" customWidth="1"/>
    <col min="6" max="6" width="17.5" style="24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2" spans="2:10">
      <c r="H2" s="21"/>
      <c r="I2" t="s">
        <v>8</v>
      </c>
    </row>
    <row r="4" spans="2:10">
      <c r="I4" s="2"/>
      <c r="J4" s="2"/>
    </row>
    <row r="5" spans="2:10">
      <c r="B5" s="6" t="s">
        <v>9</v>
      </c>
      <c r="C5" s="6" t="s">
        <v>10</v>
      </c>
      <c r="D5" s="6" t="s">
        <v>11</v>
      </c>
      <c r="E5" s="6" t="s">
        <v>12</v>
      </c>
      <c r="F5" s="26" t="s">
        <v>13</v>
      </c>
      <c r="G5" s="22" t="s">
        <v>14</v>
      </c>
      <c r="H5" s="22" t="s">
        <v>15</v>
      </c>
      <c r="I5" s="6" t="s">
        <v>16</v>
      </c>
      <c r="J5" s="6" t="s">
        <v>17</v>
      </c>
    </row>
    <row r="6" spans="2:10">
      <c r="B6" s="6" t="s">
        <v>27</v>
      </c>
      <c r="C6" s="6" t="s">
        <v>28</v>
      </c>
      <c r="D6" s="6">
        <v>24</v>
      </c>
      <c r="E6" s="6" t="s">
        <v>18</v>
      </c>
      <c r="F6" s="27" t="s">
        <v>19</v>
      </c>
      <c r="G6" s="22">
        <v>0.42063492063492069</v>
      </c>
      <c r="H6" s="22">
        <v>1.3929333333333334</v>
      </c>
      <c r="I6" s="16">
        <v>0.75</v>
      </c>
      <c r="J6" s="16">
        <f t="shared" ref="J6:J13" si="0">I6+G6/24</f>
        <v>0.767526455026455</v>
      </c>
    </row>
    <row r="7" spans="2:10">
      <c r="B7" s="6" t="s">
        <v>29</v>
      </c>
      <c r="C7" s="6" t="s">
        <v>30</v>
      </c>
      <c r="D7" s="6">
        <v>12</v>
      </c>
      <c r="E7" s="6" t="s">
        <v>18</v>
      </c>
      <c r="F7" s="27" t="s">
        <v>19</v>
      </c>
      <c r="G7" s="22">
        <v>1.2</v>
      </c>
      <c r="H7" s="22" t="s">
        <v>20</v>
      </c>
      <c r="I7" s="16">
        <f t="shared" ref="I7:I9" si="1">J6</f>
        <v>0.767526455026455</v>
      </c>
      <c r="J7" s="16">
        <f t="shared" si="0"/>
        <v>0.81752645502645505</v>
      </c>
    </row>
    <row r="8" spans="2:10">
      <c r="B8" s="6" t="s">
        <v>31</v>
      </c>
      <c r="C8" s="6" t="s">
        <v>32</v>
      </c>
      <c r="D8" s="6">
        <v>160</v>
      </c>
      <c r="E8" s="6" t="s">
        <v>18</v>
      </c>
      <c r="F8" s="26">
        <v>45601.716805555552</v>
      </c>
      <c r="G8" s="22">
        <v>0.30665737010639399</v>
      </c>
      <c r="H8" s="22" t="s">
        <v>20</v>
      </c>
      <c r="I8" s="16">
        <f t="shared" si="1"/>
        <v>0.81752645502645505</v>
      </c>
      <c r="J8" s="16">
        <f t="shared" si="0"/>
        <v>0.83030384544755476</v>
      </c>
    </row>
    <row r="9" spans="2:10">
      <c r="B9" s="6" t="s">
        <v>31</v>
      </c>
      <c r="C9" s="6" t="s">
        <v>33</v>
      </c>
      <c r="D9" s="6">
        <v>180</v>
      </c>
      <c r="E9" s="6" t="s">
        <v>18</v>
      </c>
      <c r="F9" s="26">
        <v>45601.777245370373</v>
      </c>
      <c r="G9" s="22">
        <v>0.31522763660778846</v>
      </c>
      <c r="H9" s="22" t="s">
        <v>20</v>
      </c>
      <c r="I9" s="16">
        <f t="shared" si="1"/>
        <v>0.83030384544755476</v>
      </c>
      <c r="J9" s="16">
        <f t="shared" si="0"/>
        <v>0.84343833030621262</v>
      </c>
    </row>
    <row r="10" spans="2:10">
      <c r="B10" s="6" t="s">
        <v>34</v>
      </c>
      <c r="C10" s="6" t="s">
        <v>35</v>
      </c>
      <c r="D10" s="6">
        <v>48</v>
      </c>
      <c r="E10" s="6" t="s">
        <v>18</v>
      </c>
      <c r="F10" s="26">
        <v>45601.802499999998</v>
      </c>
      <c r="G10" s="22">
        <v>0.46638655462184869</v>
      </c>
      <c r="H10" s="22" t="s">
        <v>20</v>
      </c>
      <c r="I10" s="16">
        <f>J9</f>
        <v>0.84343833030621262</v>
      </c>
      <c r="J10" s="16">
        <f t="shared" si="0"/>
        <v>0.86287110341545636</v>
      </c>
    </row>
    <row r="11" spans="2:10">
      <c r="B11" s="6" t="s">
        <v>36</v>
      </c>
      <c r="C11" s="6" t="s">
        <v>37</v>
      </c>
      <c r="D11" s="6">
        <v>96</v>
      </c>
      <c r="E11" s="6" t="s">
        <v>18</v>
      </c>
      <c r="F11" s="26">
        <v>45601.908310185187</v>
      </c>
      <c r="G11" s="22">
        <v>0.85634920634920642</v>
      </c>
      <c r="H11" s="22" t="s">
        <v>20</v>
      </c>
      <c r="I11" s="16">
        <v>45601.908310185187</v>
      </c>
      <c r="J11" s="16">
        <f t="shared" si="0"/>
        <v>45601.94399140212</v>
      </c>
    </row>
    <row r="12" spans="2:10">
      <c r="B12" s="6" t="s">
        <v>38</v>
      </c>
      <c r="C12" s="6" t="s">
        <v>39</v>
      </c>
      <c r="D12" s="6">
        <v>240</v>
      </c>
      <c r="E12" s="6" t="s">
        <v>18</v>
      </c>
      <c r="F12" s="26">
        <v>45601.968819444446</v>
      </c>
      <c r="G12" s="22">
        <v>0.42412698412698413</v>
      </c>
      <c r="H12" s="22">
        <v>0.2904761904761905</v>
      </c>
      <c r="I12" s="16">
        <v>45601.968819444446</v>
      </c>
      <c r="J12" s="16">
        <f t="shared" si="0"/>
        <v>45601.986491402116</v>
      </c>
    </row>
    <row r="13" spans="2:10">
      <c r="B13" s="6" t="s">
        <v>40</v>
      </c>
      <c r="C13" s="6" t="s">
        <v>41</v>
      </c>
      <c r="D13" s="6">
        <v>14</v>
      </c>
      <c r="E13" s="6" t="s">
        <v>18</v>
      </c>
      <c r="F13" s="26">
        <v>9.8293981478491332E-2</v>
      </c>
      <c r="G13" s="22" t="s">
        <v>20</v>
      </c>
      <c r="H13" s="22" t="s">
        <v>20</v>
      </c>
      <c r="I13" s="16" t="e">
        <f>#REF!</f>
        <v>#REF!</v>
      </c>
      <c r="J13" s="16" t="e">
        <f t="shared" si="0"/>
        <v>#REF!</v>
      </c>
    </row>
    <row r="18" spans="1:10">
      <c r="I18" s="2"/>
    </row>
    <row r="19" spans="1:10">
      <c r="B19" s="6" t="s">
        <v>9</v>
      </c>
      <c r="C19" s="6" t="s">
        <v>10</v>
      </c>
      <c r="D19" s="6" t="s">
        <v>11</v>
      </c>
      <c r="E19" s="6" t="s">
        <v>12</v>
      </c>
      <c r="F19" s="26" t="s">
        <v>13</v>
      </c>
      <c r="G19" s="22" t="s">
        <v>14</v>
      </c>
      <c r="H19" s="22" t="s">
        <v>15</v>
      </c>
      <c r="I19" s="6" t="s">
        <v>16</v>
      </c>
      <c r="J19" s="6" t="s">
        <v>17</v>
      </c>
    </row>
    <row r="20" spans="1:10">
      <c r="A20" s="28"/>
      <c r="B20" s="6" t="s">
        <v>42</v>
      </c>
      <c r="C20" s="6" t="s">
        <v>43</v>
      </c>
      <c r="D20" s="6">
        <v>60</v>
      </c>
      <c r="E20" s="6" t="s">
        <v>44</v>
      </c>
      <c r="F20" s="27" t="s">
        <v>19</v>
      </c>
      <c r="G20" s="22">
        <v>1.8286112596039952</v>
      </c>
      <c r="H20" s="22">
        <v>2.2697923545381169</v>
      </c>
      <c r="I20" s="16">
        <v>0.75</v>
      </c>
      <c r="J20" s="16">
        <f>I20+G20/24</f>
        <v>0.82619213581683315</v>
      </c>
    </row>
    <row r="21" spans="1:10">
      <c r="A21" s="28"/>
      <c r="B21" s="6" t="s">
        <v>45</v>
      </c>
      <c r="C21" s="6" t="s">
        <v>46</v>
      </c>
      <c r="D21" s="6">
        <v>60</v>
      </c>
      <c r="E21" s="6" t="s">
        <v>44</v>
      </c>
      <c r="F21" s="27" t="s">
        <v>19</v>
      </c>
      <c r="G21" s="22">
        <v>0.24850645386359674</v>
      </c>
      <c r="H21" s="22" t="s">
        <v>20</v>
      </c>
      <c r="I21" s="16">
        <f t="shared" ref="I21:I24" si="2">J20</f>
        <v>0.82619213581683315</v>
      </c>
      <c r="J21" s="16">
        <f t="shared" ref="J21:J24" si="3">I21+G21/24</f>
        <v>0.83654657139448296</v>
      </c>
    </row>
    <row r="22" spans="1:10">
      <c r="A22" s="28"/>
      <c r="B22" s="6" t="s">
        <v>47</v>
      </c>
      <c r="C22" s="6" t="s">
        <v>48</v>
      </c>
      <c r="D22" s="6">
        <v>48</v>
      </c>
      <c r="E22" s="6" t="s">
        <v>44</v>
      </c>
      <c r="F22" s="27" t="s">
        <v>19</v>
      </c>
      <c r="G22" s="22">
        <v>0.25685527019796683</v>
      </c>
      <c r="H22" s="22" t="s">
        <v>20</v>
      </c>
      <c r="I22" s="16">
        <f t="shared" si="2"/>
        <v>0.83654657139448296</v>
      </c>
      <c r="J22" s="16">
        <f t="shared" si="3"/>
        <v>0.84724887431939822</v>
      </c>
    </row>
    <row r="23" spans="1:10">
      <c r="A23" s="28"/>
      <c r="B23" s="6" t="s">
        <v>49</v>
      </c>
      <c r="C23" s="6" t="s">
        <v>50</v>
      </c>
      <c r="D23" s="6">
        <v>60</v>
      </c>
      <c r="E23" s="6" t="s">
        <v>44</v>
      </c>
      <c r="F23" s="26">
        <v>45601.774259259262</v>
      </c>
      <c r="G23" s="22">
        <v>0.52633281573498936</v>
      </c>
      <c r="H23" s="22" t="s">
        <v>20</v>
      </c>
      <c r="I23" s="16">
        <f t="shared" si="2"/>
        <v>0.84724887431939822</v>
      </c>
      <c r="J23" s="16">
        <f t="shared" si="3"/>
        <v>0.86917940830835616</v>
      </c>
    </row>
    <row r="24" spans="1:10">
      <c r="B24" s="6" t="s">
        <v>51</v>
      </c>
      <c r="C24" s="6" t="s">
        <v>52</v>
      </c>
      <c r="D24" s="6">
        <v>60</v>
      </c>
      <c r="E24" s="6" t="s">
        <v>44</v>
      </c>
      <c r="F24" s="26">
        <v>45601.862037037034</v>
      </c>
      <c r="G24" s="22">
        <v>1.1771000535045477</v>
      </c>
      <c r="H24" s="22">
        <v>1.1620117710005353</v>
      </c>
      <c r="I24" s="16">
        <f t="shared" si="2"/>
        <v>0.86917940830835616</v>
      </c>
      <c r="J24" s="16">
        <f t="shared" si="3"/>
        <v>0.91822524387104565</v>
      </c>
    </row>
    <row r="29" spans="1:10">
      <c r="I29" s="2"/>
    </row>
    <row r="30" spans="1:10">
      <c r="B30" s="6" t="s">
        <v>9</v>
      </c>
      <c r="C30" s="6" t="s">
        <v>10</v>
      </c>
      <c r="D30" s="6" t="s">
        <v>11</v>
      </c>
      <c r="E30" s="6" t="s">
        <v>12</v>
      </c>
      <c r="F30" s="26" t="s">
        <v>13</v>
      </c>
      <c r="G30" s="22" t="s">
        <v>14</v>
      </c>
      <c r="H30" s="22" t="s">
        <v>15</v>
      </c>
      <c r="I30" s="6" t="s">
        <v>16</v>
      </c>
      <c r="J30" s="6" t="s">
        <v>17</v>
      </c>
    </row>
    <row r="31" spans="1:10">
      <c r="B31" s="6" t="s">
        <v>53</v>
      </c>
      <c r="C31" s="6" t="s">
        <v>54</v>
      </c>
      <c r="D31" s="6">
        <v>48</v>
      </c>
      <c r="E31" s="6" t="s">
        <v>55</v>
      </c>
      <c r="F31" s="27" t="s">
        <v>19</v>
      </c>
      <c r="G31" s="22">
        <v>0.75420015367682192</v>
      </c>
      <c r="H31" s="22">
        <v>0.84665545241210305</v>
      </c>
      <c r="I31" s="16">
        <v>0.75</v>
      </c>
      <c r="J31" s="16">
        <f>I31+G31/24</f>
        <v>0.78142500640320089</v>
      </c>
    </row>
    <row r="32" spans="1:10">
      <c r="B32" s="6" t="s">
        <v>56</v>
      </c>
      <c r="C32" s="6" t="s">
        <v>57</v>
      </c>
      <c r="D32" s="6">
        <v>48</v>
      </c>
      <c r="E32" s="6" t="s">
        <v>55</v>
      </c>
      <c r="F32" s="27" t="s">
        <v>19</v>
      </c>
      <c r="G32" s="22">
        <v>0.67878561904761914</v>
      </c>
      <c r="H32" s="22">
        <v>0.66262704761904767</v>
      </c>
      <c r="I32" s="16">
        <f t="shared" ref="I32:I33" si="4">J31</f>
        <v>0.78142500640320089</v>
      </c>
      <c r="J32" s="16">
        <f t="shared" ref="J32:J33" si="5">I32+G32/24</f>
        <v>0.80970774053018502</v>
      </c>
    </row>
    <row r="33" spans="2:10">
      <c r="B33" s="6" t="s">
        <v>58</v>
      </c>
      <c r="C33" s="6" t="s">
        <v>59</v>
      </c>
      <c r="D33" s="6">
        <v>288</v>
      </c>
      <c r="E33" s="6" t="s">
        <v>55</v>
      </c>
      <c r="F33" s="26">
        <v>45601.787222222221</v>
      </c>
      <c r="G33" s="22">
        <v>2.428571428571427</v>
      </c>
      <c r="H33" s="22">
        <v>1.9523809523809526</v>
      </c>
      <c r="I33" s="16">
        <f t="shared" si="4"/>
        <v>0.80970774053018502</v>
      </c>
      <c r="J33" s="16">
        <f t="shared" si="5"/>
        <v>0.91089821672066118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13"/>
  <sheetViews>
    <sheetView workbookViewId="0">
      <selection sqref="A1:XFD1048576"/>
    </sheetView>
  </sheetViews>
  <sheetFormatPr defaultColWidth="9.375" defaultRowHeight="18.75"/>
  <cols>
    <col min="2" max="2" width="13.12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2:9">
      <c r="F1" s="24"/>
    </row>
    <row r="2" spans="2:9">
      <c r="F2" s="24"/>
      <c r="G2" s="21"/>
      <c r="H2" t="s">
        <v>8</v>
      </c>
    </row>
    <row r="3" spans="2:9">
      <c r="F3" s="24"/>
    </row>
    <row r="4" spans="2:9">
      <c r="F4" s="24"/>
    </row>
    <row r="5" spans="2:9">
      <c r="B5" s="6" t="s">
        <v>21</v>
      </c>
      <c r="C5" s="6" t="s">
        <v>22</v>
      </c>
      <c r="D5" s="6" t="s">
        <v>11</v>
      </c>
      <c r="E5" s="6" t="s">
        <v>12</v>
      </c>
      <c r="F5" s="25" t="s">
        <v>25</v>
      </c>
      <c r="G5" s="22" t="s">
        <v>15</v>
      </c>
      <c r="H5" s="6" t="s">
        <v>23</v>
      </c>
      <c r="I5" s="6" t="s">
        <v>24</v>
      </c>
    </row>
    <row r="6" spans="2:9">
      <c r="B6" s="6" t="s">
        <v>27</v>
      </c>
      <c r="C6" s="6" t="s">
        <v>28</v>
      </c>
      <c r="D6" s="6">
        <v>24</v>
      </c>
      <c r="E6" s="6" t="s">
        <v>18</v>
      </c>
      <c r="F6" s="25">
        <v>0.767526455026455</v>
      </c>
      <c r="G6" s="22">
        <v>1.3929333333333334</v>
      </c>
      <c r="H6" s="16">
        <v>0.75</v>
      </c>
      <c r="I6" s="16">
        <f>H6+G6/24</f>
        <v>0.80803888888888886</v>
      </c>
    </row>
    <row r="7" spans="2:9">
      <c r="B7" s="6" t="s">
        <v>53</v>
      </c>
      <c r="C7" s="6" t="s">
        <v>54</v>
      </c>
      <c r="D7" s="6">
        <v>48</v>
      </c>
      <c r="E7" s="6" t="s">
        <v>55</v>
      </c>
      <c r="F7" s="25">
        <v>0.78142500640320089</v>
      </c>
      <c r="G7" s="22">
        <v>0.84665545241210305</v>
      </c>
      <c r="H7" s="16">
        <f>I6</f>
        <v>0.80803888888888886</v>
      </c>
      <c r="I7" s="16">
        <f>H7+G7/24</f>
        <v>0.84331619940605984</v>
      </c>
    </row>
    <row r="8" spans="2:9">
      <c r="B8" s="6" t="s">
        <v>56</v>
      </c>
      <c r="C8" s="6" t="s">
        <v>57</v>
      </c>
      <c r="D8" s="6">
        <v>48</v>
      </c>
      <c r="E8" s="6" t="s">
        <v>55</v>
      </c>
      <c r="F8" s="25">
        <v>0.80970774053018502</v>
      </c>
      <c r="G8" s="22">
        <v>0.66262704761904767</v>
      </c>
      <c r="H8" s="16">
        <f>I7</f>
        <v>0.84331619940605984</v>
      </c>
      <c r="I8" s="16">
        <f t="shared" ref="I8:I12" si="0">H8+G8/24</f>
        <v>0.87092565972352021</v>
      </c>
    </row>
    <row r="9" spans="2:9">
      <c r="B9" s="6" t="s">
        <v>42</v>
      </c>
      <c r="C9" s="6" t="s">
        <v>43</v>
      </c>
      <c r="D9" s="6">
        <v>60</v>
      </c>
      <c r="E9" s="6" t="s">
        <v>44</v>
      </c>
      <c r="F9" s="25">
        <v>0.82619213581683315</v>
      </c>
      <c r="G9" s="22">
        <v>2.2697923545381169</v>
      </c>
      <c r="H9" s="16">
        <f>I8</f>
        <v>0.87092565972352021</v>
      </c>
      <c r="I9" s="16">
        <f t="shared" si="0"/>
        <v>0.96550034116260841</v>
      </c>
    </row>
    <row r="10" spans="2:9">
      <c r="B10" s="6" t="s">
        <v>58</v>
      </c>
      <c r="C10" s="6" t="s">
        <v>59</v>
      </c>
      <c r="D10" s="6">
        <v>288</v>
      </c>
      <c r="E10" s="6" t="s">
        <v>55</v>
      </c>
      <c r="F10" s="25">
        <v>0.91089821672066118</v>
      </c>
      <c r="G10" s="22">
        <v>3.26979235453812</v>
      </c>
      <c r="H10" s="16">
        <f t="shared" ref="H10:H12" si="1">I9</f>
        <v>0.96550034116260841</v>
      </c>
      <c r="I10" s="16">
        <f t="shared" si="0"/>
        <v>1.1017416892683634</v>
      </c>
    </row>
    <row r="11" spans="2:9">
      <c r="B11" s="6" t="s">
        <v>51</v>
      </c>
      <c r="C11" s="6" t="s">
        <v>52</v>
      </c>
      <c r="D11" s="6">
        <v>60</v>
      </c>
      <c r="E11" s="6" t="s">
        <v>44</v>
      </c>
      <c r="F11" s="25">
        <v>0.91822524387104565</v>
      </c>
      <c r="G11" s="22">
        <v>4.2697923545381196</v>
      </c>
      <c r="H11" s="16">
        <f t="shared" si="1"/>
        <v>1.1017416892683634</v>
      </c>
      <c r="I11" s="16">
        <f t="shared" si="0"/>
        <v>1.279649704040785</v>
      </c>
    </row>
    <row r="12" spans="2:9">
      <c r="B12" s="6" t="s">
        <v>38</v>
      </c>
      <c r="C12" s="6" t="s">
        <v>39</v>
      </c>
      <c r="D12" s="6">
        <v>240</v>
      </c>
      <c r="E12" s="6" t="s">
        <v>18</v>
      </c>
      <c r="F12" s="25">
        <v>45601.986491402116</v>
      </c>
      <c r="G12" s="22">
        <v>5.2697923545381196</v>
      </c>
      <c r="H12" s="16">
        <f t="shared" si="1"/>
        <v>1.279649704040785</v>
      </c>
      <c r="I12" s="16">
        <f t="shared" si="0"/>
        <v>1.4992243854798732</v>
      </c>
    </row>
    <row r="13" spans="2:9">
      <c r="F13" s="24"/>
      <c r="G13" s="23"/>
      <c r="H13" s="23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microsoft.com/office/2006/documentManagement/types"/>
    <ds:schemaRef ds:uri="ea180fb7-6417-4417-bcc2-1a1988547c9d"/>
    <ds:schemaRef ds:uri="http://schemas.microsoft.com/office/2006/metadata/properties"/>
    <ds:schemaRef ds:uri="http://purl.org/dc/elements/1.1/"/>
    <ds:schemaRef ds:uri="a7e61ba0-4c47-4710-ac4c-031e401f92bd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75F179C-857E-4D9D-A907-B3C7617B1634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2024-11-05T23:45:32Z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