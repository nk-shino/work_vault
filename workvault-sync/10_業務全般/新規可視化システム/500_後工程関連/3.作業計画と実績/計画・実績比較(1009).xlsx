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128" documentId="8_{917D58F2-CA85-4996-A8E7-004EF0E77676}" xr6:coauthVersionLast="47" xr6:coauthVersionMax="47" xr10:uidLastSave="{88E89000-8E87-4B99-BE2A-8B030D1BD46C}"/>
  <bookViews>
    <workbookView xWindow="-120" yWindow="-120" windowWidth="19440" windowHeight="15000" activeTab="4" xr2:uid="{D4E99A79-39B5-4714-8CFE-6838D0007EB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5" l="1"/>
  <c r="L27" i="6"/>
  <c r="F2" i="2"/>
  <c r="D20" i="5"/>
  <c r="J25" i="6"/>
  <c r="L14" i="6"/>
  <c r="J12" i="6"/>
  <c r="D25" i="6"/>
  <c r="D12" i="6"/>
  <c r="J18" i="6"/>
  <c r="I19" i="6" s="1"/>
  <c r="J19" i="6" s="1"/>
  <c r="I20" i="6" s="1"/>
  <c r="J20" i="6" s="1"/>
  <c r="I21" i="6" s="1"/>
  <c r="J21" i="6" s="1"/>
  <c r="I22" i="6" s="1"/>
  <c r="J22" i="6" s="1"/>
  <c r="I23" i="6" s="1"/>
  <c r="J23" i="6" s="1"/>
  <c r="I24" i="6" s="1"/>
  <c r="J24" i="6" s="1"/>
  <c r="J6" i="6"/>
  <c r="I7" i="6" s="1"/>
  <c r="J7" i="6" s="1"/>
  <c r="I8" i="6" s="1"/>
  <c r="J8" i="6" s="1"/>
  <c r="I9" i="6" s="1"/>
  <c r="J9" i="6" s="1"/>
  <c r="I10" i="6" s="1"/>
  <c r="J10" i="6" s="1"/>
  <c r="I11" i="6" s="1"/>
  <c r="J11" i="6" s="1"/>
</calcChain>
</file>

<file path=xl/sharedStrings.xml><?xml version="1.0" encoding="utf-8"?>
<sst xmlns="http://schemas.openxmlformats.org/spreadsheetml/2006/main" count="200" uniqueCount="67">
  <si>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</si>
  <si>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</si>
  <si>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</si>
  <si>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</si>
  <si>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</si>
  <si>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</si>
  <si>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</si>
  <si>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</si>
  <si>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UR-0481-01</t>
  </si>
  <si>
    <t>UR-05091-03</t>
  </si>
  <si>
    <t>URS-42144-02</t>
  </si>
  <si>
    <t>UR-42143-02</t>
  </si>
  <si>
    <t>211977789</t>
  </si>
  <si>
    <t>UR-06101-01</t>
  </si>
  <si>
    <t>URS-4215</t>
  </si>
  <si>
    <t>211977800</t>
  </si>
  <si>
    <t>UR-0559-05</t>
  </si>
  <si>
    <t>211977809</t>
  </si>
  <si>
    <t>UR-0591</t>
  </si>
  <si>
    <t>211977786</t>
  </si>
  <si>
    <t>UR-0489</t>
  </si>
  <si>
    <t>実績</t>
    <rPh sb="0" eb="2">
      <t>ジッセキ</t>
    </rPh>
    <phoneticPr fontId="2"/>
  </si>
  <si>
    <t>計画</t>
    <rPh sb="0" eb="2">
      <t>ケイカク</t>
    </rPh>
    <phoneticPr fontId="2"/>
  </si>
  <si>
    <t>←マスタ未登録</t>
    <rPh sb="4" eb="7">
      <t>ミ</t>
    </rPh>
    <phoneticPr fontId="2"/>
  </si>
  <si>
    <t>TypeID</t>
  </si>
  <si>
    <t>orderNumber</t>
  </si>
  <si>
    <t>台数</t>
    <rPh sb="0" eb="2">
      <t>ダイスウ</t>
    </rPh>
    <phoneticPr fontId="2"/>
  </si>
  <si>
    <t>ライン</t>
    <phoneticPr fontId="2"/>
  </si>
  <si>
    <t>AOI終了予定時刻</t>
    <rPh sb="3" eb="5">
      <t>シュウリョウ</t>
    </rPh>
    <rPh sb="5" eb="9">
      <t>ヨテイジコク</t>
    </rPh>
    <phoneticPr fontId="7"/>
  </si>
  <si>
    <t>目視工数</t>
    <rPh sb="0" eb="2">
      <t>モクシ</t>
    </rPh>
    <rPh sb="2" eb="4">
      <t>コウスウ</t>
    </rPh>
    <phoneticPr fontId="7"/>
  </si>
  <si>
    <t>目視開始予定</t>
    <rPh sb="0" eb="2">
      <t>モクシ</t>
    </rPh>
    <rPh sb="2" eb="6">
      <t>カイシヨテイ</t>
    </rPh>
    <phoneticPr fontId="2"/>
  </si>
  <si>
    <t>目視終了予定</t>
    <rPh sb="0" eb="2">
      <t>モクシ</t>
    </rPh>
    <rPh sb="2" eb="4">
      <t>シュウリョウ</t>
    </rPh>
    <rPh sb="4" eb="6">
      <t>ヨテイ</t>
    </rPh>
    <phoneticPr fontId="2"/>
  </si>
  <si>
    <t>Line-1</t>
  </si>
  <si>
    <t>仕掛</t>
    <rPh sb="0" eb="2">
      <t>シカカリ</t>
    </rPh>
    <phoneticPr fontId="2"/>
  </si>
  <si>
    <t>Line-3</t>
  </si>
  <si>
    <t>211978310</t>
  </si>
  <si>
    <t>Line-2</t>
  </si>
  <si>
    <t>211977905</t>
  </si>
  <si>
    <t>UR-0610-01</t>
  </si>
  <si>
    <t>110012102</t>
  </si>
  <si>
    <t>211975579</t>
  </si>
  <si>
    <t>211978311</t>
  </si>
  <si>
    <t>211977839</t>
  </si>
  <si>
    <t>URS-43013</t>
  </si>
  <si>
    <t>211978173</t>
  </si>
  <si>
    <t>UT-1007</t>
  </si>
  <si>
    <t>211978330</t>
  </si>
  <si>
    <t>UT-2507-01</t>
  </si>
  <si>
    <t>211978332</t>
  </si>
  <si>
    <t>UT-2508</t>
  </si>
  <si>
    <t>211978333</t>
  </si>
  <si>
    <t>品目名</t>
    <rPh sb="0" eb="3">
      <t>ヒンモクメイ</t>
    </rPh>
    <phoneticPr fontId="2"/>
  </si>
  <si>
    <t>指図</t>
    <rPh sb="0" eb="2">
      <t>サシズ</t>
    </rPh>
    <phoneticPr fontId="2"/>
  </si>
  <si>
    <t>SMT終了予定時刻</t>
    <rPh sb="3" eb="7">
      <t>シュウリョウヨテイ</t>
    </rPh>
    <rPh sb="7" eb="9">
      <t>ジコク</t>
    </rPh>
    <phoneticPr fontId="2"/>
  </si>
  <si>
    <t>AOI工数</t>
    <rPh sb="3" eb="5">
      <t>コウスウ</t>
    </rPh>
    <phoneticPr fontId="7"/>
  </si>
  <si>
    <t>AOI作業開始予定時刻</t>
    <rPh sb="3" eb="5">
      <t>サギョウ</t>
    </rPh>
    <rPh sb="5" eb="7">
      <t>カイシ</t>
    </rPh>
    <rPh sb="7" eb="9">
      <t>ヨテイ</t>
    </rPh>
    <rPh sb="9" eb="11">
      <t>ジコク</t>
    </rPh>
    <phoneticPr fontId="2"/>
  </si>
  <si>
    <t>AOI作業終了予定時刻</t>
    <rPh sb="5" eb="7">
      <t>シュウリョウ</t>
    </rPh>
    <phoneticPr fontId="2"/>
  </si>
  <si>
    <t>UTS-0817-01</t>
  </si>
  <si>
    <t>211978336</t>
  </si>
  <si>
    <t>―</t>
  </si>
  <si>
    <t>UT-1011</t>
  </si>
  <si>
    <t>211978331</t>
  </si>
  <si>
    <t>UR-4368</t>
  </si>
  <si>
    <t>211978314</t>
  </si>
  <si>
    <t>UTS-0879</t>
  </si>
  <si>
    <t>211978337</t>
  </si>
  <si>
    <t>１号機計画</t>
    <rPh sb="1" eb="3">
      <t>ゴウキ</t>
    </rPh>
    <rPh sb="3" eb="5">
      <t>ケイカク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</si>
</sst>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10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2" borderId="0" xfId="0" applyNumberFormat="1" applyFill="1">
      <alignment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right" vertical="center"/>
    </xf>
    <xf numFmtId="176" fontId="8" fillId="0" borderId="0" xfId="0" applyNumberFormat="1" applyFont="1">
      <alignment vertical="center"/>
    </xf>
    <xf numFmtId="177" fontId="0" fillId="0" borderId="0" xfId="0" applyNumberFormat="1">
      <alignment vertical="center"/>
    </xf>
    <xf numFmtId="176" fontId="9" fillId="0" borderId="1" xfId="0" applyNumberFormat="1" applyFont="1" applyBorder="1">
      <alignment vertical="center"/>
    </xf>
    <xf numFmtId="176" fontId="8" fillId="0" borderId="1" xfId="0" applyNumberFormat="1" applyFont="1" applyBorder="1">
      <alignment vertical="center"/>
    </xf>
    <xf numFmtId="177" fontId="0" fillId="2" borderId="1" xfId="0" applyNumberFormat="1" applyFill="1" applyBorder="1">
      <alignment vertical="center"/>
    </xf>
    <xf numFmtId="176" fontId="9" fillId="0" borderId="1" xfId="0" applyNumberFormat="1" applyFont="1" applyBorder="1" applyAlignment="1">
      <alignment horizontal="right"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9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77028</xdr:colOff>
      <xdr:row>0</xdr:row>
      <xdr:rowOff>178490</xdr:rowOff>
    </xdr:from>
    <xdr:to>
      <xdr:col>5</xdr:col>
      <xdr:colOff>1638300</xdr:colOff>
      <xdr:row>3</xdr:row>
      <xdr:rowOff>37686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C0F9855-A37E-4FD8-8C68-6AA88DABEFA9}"/>
            </a:ext>
          </a:extLst>
        </xdr:cNvPr>
        <xdr:cNvSpPr txBox="1"/>
      </xdr:nvSpPr>
      <xdr:spPr>
        <a:xfrm>
          <a:off x="762828" y="178490"/>
          <a:ext cx="5095047" cy="573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</a:t>
          </a:r>
          <a:r>
            <a:rPr kumimoji="1" lang="en-US" altLang="ja-JP" sz="2000" b="1" baseline="0"/>
            <a:t> 1</a:t>
          </a:r>
          <a:r>
            <a:rPr kumimoji="1" lang="ja-JP" altLang="en-US" sz="2000" b="1" baseline="0"/>
            <a:t>号機</a:t>
          </a:r>
          <a:r>
            <a:rPr kumimoji="1" lang="ja-JP" altLang="en-US" sz="2000" b="1"/>
            <a:t>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13</xdr:row>
      <xdr:rowOff>0</xdr:rowOff>
    </xdr:from>
    <xdr:to>
      <xdr:col>6</xdr:col>
      <xdr:colOff>0</xdr:colOff>
      <xdr:row>15</xdr:row>
      <xdr:rowOff>28161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D94584E-EBBD-453F-9948-756106E38918}"/>
            </a:ext>
          </a:extLst>
        </xdr:cNvPr>
        <xdr:cNvSpPr txBox="1"/>
      </xdr:nvSpPr>
      <xdr:spPr>
        <a:xfrm>
          <a:off x="780222" y="3095625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AOI2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0</xdr:rowOff>
    </xdr:from>
    <xdr:to>
      <xdr:col>4</xdr:col>
      <xdr:colOff>846839</xdr:colOff>
      <xdr:row>3</xdr:row>
      <xdr:rowOff>95177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F1AA599-5B4E-41CA-B8EB-DA5E6A868709}"/>
            </a:ext>
          </a:extLst>
        </xdr:cNvPr>
        <xdr:cNvSpPr txBox="1"/>
      </xdr:nvSpPr>
      <xdr:spPr>
        <a:xfrm>
          <a:off x="695325" y="238125"/>
          <a:ext cx="3599564" cy="571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目視作業計画</a:t>
          </a:r>
          <a:endParaRPr kumimoji="1" lang="en-US" altLang="ja-JP" sz="2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zoomScaleNormal="10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E7" sqref="E7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/>
      <c r="C4" s="6"/>
      <c r="D4" s="6"/>
      <c r="E4" s="8"/>
      <c r="F4" s="9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16"/>
      <c r="F11" s="16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16"/>
      <c r="F13" s="16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8"/>
      <c r="F30" s="9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8"/>
      <c r="F32" s="9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8" priority="4">
      <formula>AND($D4="計画", $E4 &lt;= F$3, F$3 &lt; $F4 + IF($F4 &lt; $E4, 1, 0))</formula>
    </cfRule>
  </conditionalFormatting>
  <conditionalFormatting sqref="H4:DH134">
    <cfRule type="expression" dxfId="7" priority="5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zoomScale="85" zoomScaleNormal="85" workbookViewId="0">
      <pane xSplit="6" ySplit="3" topLeftCell="BT4" activePane="bottomRight" state="frozen"/>
      <selection pane="topRight" activeCell="G1" sqref="G1"/>
      <selection pane="bottomLeft" activeCell="A4" sqref="A4"/>
      <selection pane="bottomRight" activeCell="C20" sqref="C20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20</v>
      </c>
      <c r="C4" s="6">
        <v>211978311</v>
      </c>
      <c r="D4" s="6" t="s">
        <v>21</v>
      </c>
      <c r="E4" s="8">
        <v>0.8891782407407407</v>
      </c>
      <c r="F4" s="9">
        <v>0.90284722222222225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21</v>
      </c>
      <c r="E5" s="7">
        <v>0.90302083333333338</v>
      </c>
      <c r="F5" s="7">
        <v>0.91061342592592598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 t="s">
        <v>22</v>
      </c>
      <c r="E6" s="8">
        <v>0.72916666666666663</v>
      </c>
      <c r="F6" s="9">
        <v>0.7788900490335855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10</v>
      </c>
      <c r="C7" s="6">
        <v>211977839</v>
      </c>
      <c r="D7" s="6" t="s">
        <v>21</v>
      </c>
      <c r="E7" s="7">
        <v>0.92671296296296302</v>
      </c>
      <c r="F7" s="7">
        <v>0.9719444444444445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 t="s">
        <v>21</v>
      </c>
      <c r="E8" s="7">
        <v>0.97217592592592594</v>
      </c>
      <c r="F8" s="7">
        <v>0.99526620370370367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 t="s">
        <v>22</v>
      </c>
      <c r="E9" s="7">
        <v>0.7788900490335855</v>
      </c>
      <c r="F9" s="7">
        <v>0.83571265542691964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47</v>
      </c>
      <c r="C10" s="6">
        <v>211978332</v>
      </c>
      <c r="D10" s="6" t="s">
        <v>21</v>
      </c>
      <c r="E10" s="7">
        <v>0.99582175925925931</v>
      </c>
      <c r="F10" s="7">
        <v>4.4791666666666669E-3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21</v>
      </c>
      <c r="E11" s="7">
        <v>4.6064814814814814E-3</v>
      </c>
      <c r="F11" s="7">
        <v>1.5185185185185185E-2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 t="s">
        <v>22</v>
      </c>
      <c r="E12" s="7">
        <v>0.87462359017118774</v>
      </c>
      <c r="F12" s="7">
        <v>0.92025851080610832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62</v>
      </c>
      <c r="C13" s="6">
        <v>211978314</v>
      </c>
      <c r="D13" s="6" t="s">
        <v>21</v>
      </c>
      <c r="E13" s="7">
        <v>1.6932870370370369E-2</v>
      </c>
      <c r="F13" s="7">
        <v>1.7071759259259259E-2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 t="s">
        <v>21</v>
      </c>
      <c r="E14" s="16">
        <v>1.7222222222222222E-2</v>
      </c>
      <c r="F14" s="16">
        <v>2.5659722222222223E-2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31" t="s">
        <v>66</v>
      </c>
      <c r="D15" s="6" t="s">
        <v>22</v>
      </c>
      <c r="E15" s="7">
        <v>0.90121882086167782</v>
      </c>
      <c r="F15" s="7">
        <v>0.91353694255479945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64</v>
      </c>
      <c r="C16" s="6">
        <v>211978337</v>
      </c>
      <c r="D16" s="6" t="s">
        <v>21</v>
      </c>
      <c r="E16" s="7">
        <v>2.6030092592592594E-2</v>
      </c>
      <c r="F16" s="7">
        <v>2.7962962962962964E-2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31" t="s">
        <v>66</v>
      </c>
      <c r="D17" s="6" t="s">
        <v>22</v>
      </c>
      <c r="E17" s="7">
        <v>0.91353694255479945</v>
      </c>
      <c r="F17" s="7">
        <v>0.92428429705215398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60</v>
      </c>
      <c r="C18" s="6">
        <v>211978331</v>
      </c>
      <c r="D18" s="6" t="s">
        <v>21</v>
      </c>
      <c r="E18" s="16">
        <v>2.8159722222222221E-2</v>
      </c>
      <c r="F18" s="16">
        <v>3.1666666666666669E-2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31" t="s">
        <v>66</v>
      </c>
      <c r="D19" s="6" t="s">
        <v>22</v>
      </c>
      <c r="E19" s="7">
        <v>0.88591269841269826</v>
      </c>
      <c r="F19" s="7">
        <v>0.90121882086167782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 t="s">
        <v>57</v>
      </c>
      <c r="C20" s="6">
        <v>211978336</v>
      </c>
      <c r="D20" s="6" t="s">
        <v>21</v>
      </c>
      <c r="E20" s="7">
        <v>3.2083333333333332E-2</v>
      </c>
      <c r="F20" s="7">
        <v>3.6921296296296299E-2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31" t="s">
        <v>66</v>
      </c>
      <c r="D21" s="6" t="s">
        <v>22</v>
      </c>
      <c r="E21" s="7">
        <v>0.87202380952380942</v>
      </c>
      <c r="F21" s="7">
        <v>0.88591269841269826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6" priority="1">
      <formula>AND($D4="計画", $E4 &lt;= G$3, G$3 &lt; $F4 + IF($F4 &lt; $E4, 1, 0))</formula>
    </cfRule>
    <cfRule type="expression" dxfId="5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dimension ref="A1:DH66"/>
  <sheetViews>
    <sheetView zoomScale="85" zoomScaleNormal="8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4" sqref="G4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/>
      <c r="C4" s="6"/>
      <c r="D4" s="6"/>
      <c r="E4" s="8"/>
      <c r="F4" s="9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8"/>
      <c r="F6" s="9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/>
      <c r="E8" s="8"/>
      <c r="F8" s="9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/>
      <c r="E10" s="8"/>
      <c r="F10" s="9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8"/>
      <c r="F11" s="9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4" priority="1">
      <formula>AND($D4="計画", $E4 &lt;= G$3, G$3 &lt; $F4 + IF($F4 &lt; $E4, 1, 0))</formula>
    </cfRule>
    <cfRule type="expression" dxfId="3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topLeftCell="B1" zoomScale="85" zoomScaleNormal="85" workbookViewId="0">
      <selection activeCell="F3" sqref="F3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hidden="1" customWidth="1"/>
    <col min="16" max="57" width="3.5" hidden="1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</row>
    <row r="2" spans="1:112">
      <c r="F2" s="2">
        <f>+F14-E4</f>
        <v>0.2077430555555555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4.8611111111111098E-2</v>
      </c>
      <c r="CY3" s="5">
        <v>9.0277777777777804E-2</v>
      </c>
      <c r="CZ3" s="5">
        <v>0.131944444444444</v>
      </c>
      <c r="DA3" s="5">
        <v>0.17361111111111099</v>
      </c>
      <c r="DB3" s="5">
        <v>0.21527777777777801</v>
      </c>
      <c r="DC3" s="5">
        <v>0.25694444444444398</v>
      </c>
      <c r="DD3" s="5">
        <v>0.29861111111111099</v>
      </c>
      <c r="DE3" s="5">
        <v>0.34027777777777801</v>
      </c>
      <c r="DF3" s="5">
        <v>0.38194444444444398</v>
      </c>
      <c r="DG3" s="5">
        <v>0.42361111111111099</v>
      </c>
      <c r="DH3" s="5">
        <v>0.46527777777777801</v>
      </c>
    </row>
    <row r="4" spans="1:112" ht="21.6" customHeight="1">
      <c r="A4" s="6"/>
      <c r="B4" s="6" t="s">
        <v>16</v>
      </c>
      <c r="C4" s="6">
        <v>211977809</v>
      </c>
      <c r="D4" s="6" t="s">
        <v>21</v>
      </c>
      <c r="E4" s="8">
        <v>0.71706018518518522</v>
      </c>
      <c r="F4" s="9">
        <v>0.73737268518518517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22</v>
      </c>
      <c r="E5" s="7">
        <v>0.7558524808524808</v>
      </c>
      <c r="F5" s="7">
        <v>0.78346194116994117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8</v>
      </c>
      <c r="C6" s="6">
        <v>211978310</v>
      </c>
      <c r="D6" s="6" t="s">
        <v>21</v>
      </c>
      <c r="E6" s="7">
        <v>0.74408564814814815</v>
      </c>
      <c r="F6" s="7">
        <v>0.78225694444444449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 t="s">
        <v>22</v>
      </c>
      <c r="E7" s="7">
        <v>0.78346194116994117</v>
      </c>
      <c r="F7" s="7">
        <v>0.87803662260902937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11</v>
      </c>
      <c r="C8" s="6">
        <v>211977789</v>
      </c>
      <c r="D8" s="6" t="s">
        <v>21</v>
      </c>
      <c r="E8" s="7">
        <v>0.78510416666666671</v>
      </c>
      <c r="F8" s="7">
        <v>0.797337962962963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 t="s">
        <v>22</v>
      </c>
      <c r="E9" s="7">
        <v>0.72916666666666663</v>
      </c>
      <c r="F9" s="7">
        <v>0.74374930624930624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14</v>
      </c>
      <c r="C10" s="6">
        <v>211977800</v>
      </c>
      <c r="D10" s="6" t="s">
        <v>21</v>
      </c>
      <c r="E10" s="7">
        <v>0.79894675925925929</v>
      </c>
      <c r="F10" s="7">
        <v>0.87172453703703701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22</v>
      </c>
      <c r="E11" s="7">
        <v>0.74374930624930624</v>
      </c>
      <c r="F11" s="7">
        <v>0.7558524808524808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13</v>
      </c>
      <c r="C12" s="6">
        <v>211977905</v>
      </c>
      <c r="D12" s="6" t="s">
        <v>21</v>
      </c>
      <c r="E12" s="7">
        <v>0.87585648148148143</v>
      </c>
      <c r="F12" s="7">
        <v>0.88722222222222225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 t="s">
        <v>22</v>
      </c>
      <c r="E13" s="7">
        <v>0.87803662260902937</v>
      </c>
      <c r="F13" s="7">
        <v>0.91331393312620035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 t="s">
        <v>20</v>
      </c>
      <c r="C14" s="6">
        <v>211978311</v>
      </c>
      <c r="D14" s="6" t="s">
        <v>21</v>
      </c>
      <c r="E14" s="7">
        <v>0.91435185185185186</v>
      </c>
      <c r="F14" s="7">
        <v>0.92480324074074072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 t="s">
        <v>22</v>
      </c>
      <c r="E15" s="7">
        <v>1.0363298061420734</v>
      </c>
      <c r="F15" s="7">
        <v>1.0738926356651002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8"/>
      <c r="F26" s="9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8"/>
      <c r="F27" s="9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17"/>
      <c r="F29" s="18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7"/>
      <c r="F30" s="18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1:C4 C20:C1048576 C16 C18 C6:C14">
    <cfRule type="duplicateValues" dxfId="2" priority="1"/>
  </conditionalFormatting>
  <conditionalFormatting sqref="G4:DH99">
    <cfRule type="expression" dxfId="1" priority="2">
      <formula>AND($D4="計画", $E4 &lt;= F$3, F$3 &lt; $F4 + IF($F4 &lt; $E4, 1, 0))</formula>
    </cfRule>
    <cfRule type="expression" dxfId="0" priority="3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dimension ref="B2:L28"/>
  <sheetViews>
    <sheetView tabSelected="1" topLeftCell="C4" workbookViewId="0">
      <selection activeCell="L26" sqref="L26"/>
    </sheetView>
  </sheetViews>
  <sheetFormatPr defaultRowHeight="18.75"/>
  <cols>
    <col min="2" max="2" width="14.375" bestFit="1" customWidth="1"/>
    <col min="3" max="3" width="13" bestFit="1" customWidth="1"/>
    <col min="4" max="4" width="10" bestFit="1" customWidth="1"/>
    <col min="6" max="6" width="23.75" style="25" customWidth="1"/>
    <col min="7" max="7" width="9" style="26"/>
    <col min="8" max="8" width="13" style="26" bestFit="1" customWidth="1"/>
    <col min="9" max="9" width="20.625" bestFit="1" customWidth="1"/>
    <col min="10" max="10" width="20.625" customWidth="1"/>
  </cols>
  <sheetData>
    <row r="2" spans="2:12">
      <c r="H2" s="21"/>
      <c r="I2" t="s">
        <v>23</v>
      </c>
    </row>
    <row r="4" spans="2:12">
      <c r="I4" s="2"/>
      <c r="J4" s="2"/>
    </row>
    <row r="5" spans="2:12">
      <c r="B5" s="6" t="s">
        <v>51</v>
      </c>
      <c r="C5" s="6" t="s">
        <v>52</v>
      </c>
      <c r="D5" s="6" t="s">
        <v>26</v>
      </c>
      <c r="E5" s="6" t="s">
        <v>27</v>
      </c>
      <c r="F5" s="27" t="s">
        <v>53</v>
      </c>
      <c r="G5" s="23" t="s">
        <v>54</v>
      </c>
      <c r="H5" s="23" t="s">
        <v>29</v>
      </c>
      <c r="I5" s="6" t="s">
        <v>55</v>
      </c>
      <c r="J5" s="6" t="s">
        <v>56</v>
      </c>
    </row>
    <row r="6" spans="2:12">
      <c r="B6" s="6" t="s">
        <v>38</v>
      </c>
      <c r="C6" s="6" t="s">
        <v>39</v>
      </c>
      <c r="D6" s="6">
        <v>48</v>
      </c>
      <c r="E6" s="6" t="s">
        <v>34</v>
      </c>
      <c r="F6" s="28" t="s">
        <v>33</v>
      </c>
      <c r="G6" s="29">
        <v>1</v>
      </c>
      <c r="H6" s="29">
        <v>1</v>
      </c>
      <c r="I6" s="16">
        <v>0.72916666666666663</v>
      </c>
      <c r="J6" s="16">
        <f t="shared" ref="J6:J7" si="0">I6+G6/24</f>
        <v>0.77083333333333326</v>
      </c>
    </row>
    <row r="7" spans="2:12">
      <c r="B7" s="6" t="s">
        <v>9</v>
      </c>
      <c r="C7" s="6" t="s">
        <v>40</v>
      </c>
      <c r="D7" s="6">
        <v>288</v>
      </c>
      <c r="E7" s="6" t="s">
        <v>34</v>
      </c>
      <c r="F7" s="28" t="s">
        <v>33</v>
      </c>
      <c r="G7" s="23">
        <v>2.428571428571427</v>
      </c>
      <c r="H7" s="23">
        <v>1.9523809523809526</v>
      </c>
      <c r="I7" s="16">
        <f t="shared" ref="I7:I9" si="1">J6</f>
        <v>0.77083333333333326</v>
      </c>
      <c r="J7" s="16">
        <f t="shared" si="0"/>
        <v>0.87202380952380942</v>
      </c>
    </row>
    <row r="8" spans="2:12">
      <c r="B8" s="6" t="s">
        <v>57</v>
      </c>
      <c r="C8" s="6" t="s">
        <v>58</v>
      </c>
      <c r="D8" s="6">
        <v>1</v>
      </c>
      <c r="E8" s="6" t="s">
        <v>32</v>
      </c>
      <c r="F8" s="30">
        <v>45574.72415509259</v>
      </c>
      <c r="G8" s="23">
        <v>0.33333333333333337</v>
      </c>
      <c r="H8" s="23" t="s">
        <v>59</v>
      </c>
      <c r="I8" s="16">
        <f t="shared" si="1"/>
        <v>0.87202380952380942</v>
      </c>
      <c r="J8" s="16">
        <f>I8+G8/24</f>
        <v>0.88591269841269826</v>
      </c>
    </row>
    <row r="9" spans="2:12">
      <c r="B9" s="6" t="s">
        <v>60</v>
      </c>
      <c r="C9" s="6" t="s">
        <v>61</v>
      </c>
      <c r="D9" s="6">
        <v>24</v>
      </c>
      <c r="E9" s="6" t="s">
        <v>32</v>
      </c>
      <c r="F9" s="30">
        <v>45574.790613425925</v>
      </c>
      <c r="G9" s="23">
        <v>0.36734693877551017</v>
      </c>
      <c r="H9" s="23" t="s">
        <v>59</v>
      </c>
      <c r="I9" s="16">
        <f t="shared" si="1"/>
        <v>0.88591269841269826</v>
      </c>
      <c r="J9" s="16">
        <f>I9+G9/24</f>
        <v>0.90121882086167782</v>
      </c>
    </row>
    <row r="10" spans="2:12">
      <c r="B10" s="6" t="s">
        <v>62</v>
      </c>
      <c r="C10" s="6" t="s">
        <v>63</v>
      </c>
      <c r="D10" s="6">
        <v>48</v>
      </c>
      <c r="E10" s="6" t="s">
        <v>32</v>
      </c>
      <c r="F10" s="30">
        <v>45574.814479166664</v>
      </c>
      <c r="G10" s="23">
        <v>0.29563492063492047</v>
      </c>
      <c r="H10" s="23" t="s">
        <v>59</v>
      </c>
      <c r="I10" s="16">
        <f>J9</f>
        <v>0.90121882086167782</v>
      </c>
      <c r="J10" s="16">
        <f>I10+G10/24</f>
        <v>0.91353694255479945</v>
      </c>
    </row>
    <row r="11" spans="2:12">
      <c r="B11" s="6" t="s">
        <v>64</v>
      </c>
      <c r="C11" s="6" t="s">
        <v>65</v>
      </c>
      <c r="D11" s="6">
        <v>5</v>
      </c>
      <c r="E11" s="6" t="s">
        <v>32</v>
      </c>
      <c r="F11" s="27">
        <v>45574.850671296299</v>
      </c>
      <c r="G11" s="23">
        <v>0.25793650793650796</v>
      </c>
      <c r="H11" s="23" t="s">
        <v>59</v>
      </c>
      <c r="I11" s="16">
        <f>J10</f>
        <v>0.91353694255479945</v>
      </c>
      <c r="J11" s="16">
        <f>I11+G11/24</f>
        <v>0.92428429705215398</v>
      </c>
    </row>
    <row r="12" spans="2:12">
      <c r="D12">
        <f>SUM(D6:D11)</f>
        <v>414</v>
      </c>
      <c r="J12" s="2">
        <f>+J11-I6</f>
        <v>0.19511763038548735</v>
      </c>
      <c r="L12">
        <v>280</v>
      </c>
    </row>
    <row r="13" spans="2:12">
      <c r="J13">
        <v>7.25</v>
      </c>
      <c r="L13">
        <v>445</v>
      </c>
    </row>
    <row r="14" spans="2:12">
      <c r="J14" s="2"/>
      <c r="L14">
        <f>+L12/L13*100</f>
        <v>62.921348314606739</v>
      </c>
    </row>
    <row r="16" spans="2:12">
      <c r="I16" s="2"/>
    </row>
    <row r="17" spans="2:12">
      <c r="B17" s="6" t="s">
        <v>51</v>
      </c>
      <c r="C17" s="6" t="s">
        <v>52</v>
      </c>
      <c r="D17" s="6" t="s">
        <v>26</v>
      </c>
      <c r="E17" s="6" t="s">
        <v>27</v>
      </c>
      <c r="F17" s="27" t="s">
        <v>53</v>
      </c>
      <c r="G17" s="23" t="s">
        <v>54</v>
      </c>
      <c r="H17" s="23" t="s">
        <v>29</v>
      </c>
      <c r="I17" s="6" t="s">
        <v>55</v>
      </c>
      <c r="J17" s="6" t="s">
        <v>56</v>
      </c>
    </row>
    <row r="18" spans="2:12">
      <c r="B18" s="6" t="s">
        <v>20</v>
      </c>
      <c r="C18" s="6" t="s">
        <v>41</v>
      </c>
      <c r="D18" s="6">
        <v>48</v>
      </c>
      <c r="E18" s="6" t="s">
        <v>36</v>
      </c>
      <c r="F18" s="27" t="s">
        <v>33</v>
      </c>
      <c r="G18" s="23">
        <v>1.1933611768060515</v>
      </c>
      <c r="H18" s="23">
        <v>0.90150790855264284</v>
      </c>
      <c r="I18" s="16">
        <v>0.72916666666666663</v>
      </c>
      <c r="J18" s="16">
        <f>I18+G18/24</f>
        <v>0.7788900490335855</v>
      </c>
    </row>
    <row r="19" spans="2:12">
      <c r="B19" s="6" t="s">
        <v>10</v>
      </c>
      <c r="C19" s="6" t="s">
        <v>42</v>
      </c>
      <c r="D19" s="6">
        <v>240</v>
      </c>
      <c r="E19" s="6" t="s">
        <v>32</v>
      </c>
      <c r="F19" s="27" t="s">
        <v>33</v>
      </c>
      <c r="G19" s="23">
        <v>1.3637425534400189</v>
      </c>
      <c r="H19" s="23">
        <v>0.95569053459486664</v>
      </c>
      <c r="I19" s="16">
        <f t="shared" ref="I19:I20" si="2">J18</f>
        <v>0.7788900490335855</v>
      </c>
      <c r="J19" s="16">
        <f t="shared" ref="J19:J24" si="3">I19+G19/24</f>
        <v>0.83571265542691964</v>
      </c>
    </row>
    <row r="20" spans="2:12">
      <c r="B20" s="6" t="s">
        <v>43</v>
      </c>
      <c r="C20" s="6" t="s">
        <v>44</v>
      </c>
      <c r="D20" s="6">
        <v>96</v>
      </c>
      <c r="E20" s="6" t="s">
        <v>32</v>
      </c>
      <c r="F20" s="27" t="s">
        <v>33</v>
      </c>
      <c r="G20" s="23">
        <v>0.51322751322751325</v>
      </c>
      <c r="H20" s="23">
        <v>0.44444444444444448</v>
      </c>
      <c r="I20" s="16">
        <f t="shared" si="2"/>
        <v>0.83571265542691964</v>
      </c>
      <c r="J20" s="16">
        <f t="shared" si="3"/>
        <v>0.85709713514473274</v>
      </c>
    </row>
    <row r="21" spans="2:12">
      <c r="B21" s="6" t="s">
        <v>45</v>
      </c>
      <c r="C21" s="6" t="s">
        <v>46</v>
      </c>
      <c r="D21" s="6">
        <v>24</v>
      </c>
      <c r="E21" s="6" t="s">
        <v>32</v>
      </c>
      <c r="F21" s="27">
        <v>45574.777719907404</v>
      </c>
      <c r="G21" s="23">
        <v>0.42063492063492069</v>
      </c>
      <c r="H21" s="23">
        <v>1.3929333333333334</v>
      </c>
      <c r="I21" s="16">
        <f>J20</f>
        <v>0.85709713514473274</v>
      </c>
      <c r="J21" s="16">
        <f t="shared" si="3"/>
        <v>0.87462359017118774</v>
      </c>
    </row>
    <row r="22" spans="2:12">
      <c r="B22" s="6" t="s">
        <v>47</v>
      </c>
      <c r="C22" s="6" t="s">
        <v>48</v>
      </c>
      <c r="D22" s="6">
        <v>48</v>
      </c>
      <c r="E22" s="6" t="s">
        <v>32</v>
      </c>
      <c r="F22" s="27">
        <v>45574.889155092591</v>
      </c>
      <c r="G22" s="23">
        <v>1.0952380952380953</v>
      </c>
      <c r="H22" s="23">
        <v>0.4844178509099975</v>
      </c>
      <c r="I22" s="16">
        <f t="shared" ref="I22:I23" si="4">J21</f>
        <v>0.87462359017118774</v>
      </c>
      <c r="J22" s="16">
        <f t="shared" si="3"/>
        <v>0.92025851080610832</v>
      </c>
    </row>
    <row r="23" spans="2:12">
      <c r="B23" s="6" t="s">
        <v>49</v>
      </c>
      <c r="C23" s="6" t="s">
        <v>50</v>
      </c>
      <c r="D23" s="6">
        <v>48</v>
      </c>
      <c r="E23" s="6" t="s">
        <v>32</v>
      </c>
      <c r="F23" s="27">
        <v>45574.932152777779</v>
      </c>
      <c r="G23" s="23">
        <v>0.32837301587301587</v>
      </c>
      <c r="H23" s="23">
        <v>1.142857142857143</v>
      </c>
      <c r="I23" s="16">
        <f t="shared" si="4"/>
        <v>0.92025851080610832</v>
      </c>
      <c r="J23" s="16">
        <f t="shared" si="3"/>
        <v>0.93394071980081728</v>
      </c>
    </row>
    <row r="24" spans="2:12">
      <c r="B24" s="6" t="s">
        <v>18</v>
      </c>
      <c r="C24" s="6" t="s">
        <v>19</v>
      </c>
      <c r="D24" s="6">
        <v>12</v>
      </c>
      <c r="E24" s="6" t="s">
        <v>32</v>
      </c>
      <c r="F24" s="27" t="s">
        <v>33</v>
      </c>
      <c r="G24" s="23">
        <v>1.2</v>
      </c>
      <c r="H24" s="23" t="s">
        <v>59</v>
      </c>
      <c r="I24" s="16">
        <f>J23</f>
        <v>0.93394071980081728</v>
      </c>
      <c r="J24" s="16">
        <f t="shared" si="3"/>
        <v>0.98394071980081732</v>
      </c>
    </row>
    <row r="25" spans="2:12">
      <c r="D25">
        <f>SUM(D18:D24)</f>
        <v>516</v>
      </c>
      <c r="J25" s="2">
        <f>+J24-I18</f>
        <v>0.25477405313415069</v>
      </c>
      <c r="L25">
        <v>442</v>
      </c>
    </row>
    <row r="26" spans="2:12">
      <c r="J26">
        <v>7.25</v>
      </c>
      <c r="L26">
        <v>445</v>
      </c>
    </row>
    <row r="27" spans="2:12">
      <c r="L27">
        <f>+L25/L26*100</f>
        <v>99.325842696629223</v>
      </c>
    </row>
    <row r="28" spans="2:12">
      <c r="J28" s="2">
        <v>0.2076388888888889</v>
      </c>
    </row>
  </sheetData>
  <phoneticPr fontId="2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dimension ref="B2:K20"/>
  <sheetViews>
    <sheetView workbookViewId="0">
      <selection activeCell="I12" sqref="I12"/>
    </sheetView>
  </sheetViews>
  <sheetFormatPr defaultRowHeight="18.75"/>
  <cols>
    <col min="2" max="2" width="13.125" bestFit="1" customWidth="1"/>
    <col min="3" max="3" width="14.375" bestFit="1" customWidth="1"/>
    <col min="4" max="4" width="8.75" bestFit="1" customWidth="1"/>
    <col min="5" max="5" width="11.125" bestFit="1" customWidth="1"/>
    <col min="6" max="6" width="16.5" style="20" bestFit="1" customWidth="1"/>
    <col min="8" max="9" width="13" bestFit="1" customWidth="1"/>
    <col min="10" max="10" width="17.25" bestFit="1" customWidth="1"/>
  </cols>
  <sheetData>
    <row r="2" spans="2:11">
      <c r="G2" s="21"/>
      <c r="H2" t="s">
        <v>23</v>
      </c>
    </row>
    <row r="5" spans="2:11">
      <c r="B5" s="6" t="s">
        <v>24</v>
      </c>
      <c r="C5" s="6" t="s">
        <v>25</v>
      </c>
      <c r="D5" s="6" t="s">
        <v>26</v>
      </c>
      <c r="E5" s="6" t="s">
        <v>27</v>
      </c>
      <c r="F5" s="22" t="s">
        <v>28</v>
      </c>
      <c r="G5" s="23" t="s">
        <v>29</v>
      </c>
      <c r="H5" s="6" t="s">
        <v>30</v>
      </c>
      <c r="I5" s="6" t="s">
        <v>31</v>
      </c>
    </row>
    <row r="6" spans="2:11">
      <c r="B6" s="6" t="s">
        <v>11</v>
      </c>
      <c r="C6" s="6" t="s">
        <v>12</v>
      </c>
      <c r="D6" s="6">
        <v>48</v>
      </c>
      <c r="E6" s="6" t="s">
        <v>32</v>
      </c>
      <c r="F6" s="24" t="s">
        <v>33</v>
      </c>
      <c r="G6" s="23">
        <v>0.34998334998335007</v>
      </c>
      <c r="H6" s="16">
        <v>0.72916666666666663</v>
      </c>
      <c r="I6" s="16">
        <v>0.74374930624930624</v>
      </c>
    </row>
    <row r="7" spans="2:11">
      <c r="B7" s="6" t="s">
        <v>14</v>
      </c>
      <c r="C7" s="6" t="s">
        <v>15</v>
      </c>
      <c r="D7" s="6">
        <v>240</v>
      </c>
      <c r="E7" s="6" t="s">
        <v>32</v>
      </c>
      <c r="F7" s="24" t="s">
        <v>33</v>
      </c>
      <c r="G7" s="23">
        <v>0.2904761904761905</v>
      </c>
      <c r="H7" s="16">
        <v>0.74374930624930624</v>
      </c>
      <c r="I7" s="16">
        <v>0.7558524808524808</v>
      </c>
    </row>
    <row r="8" spans="2:11">
      <c r="B8" s="6" t="s">
        <v>16</v>
      </c>
      <c r="C8" s="6" t="s">
        <v>17</v>
      </c>
      <c r="D8" s="6">
        <v>48</v>
      </c>
      <c r="E8" s="6" t="s">
        <v>34</v>
      </c>
      <c r="F8" s="24" t="s">
        <v>33</v>
      </c>
      <c r="G8" s="23">
        <v>0.66262704761904767</v>
      </c>
      <c r="H8" s="16">
        <v>0.7558524808524808</v>
      </c>
      <c r="I8" s="16">
        <v>0.78346194116994117</v>
      </c>
    </row>
    <row r="9" spans="2:11">
      <c r="B9" s="6" t="s">
        <v>8</v>
      </c>
      <c r="C9" s="6" t="s">
        <v>35</v>
      </c>
      <c r="D9" s="6">
        <v>60</v>
      </c>
      <c r="E9" s="6" t="s">
        <v>36</v>
      </c>
      <c r="F9" s="24" t="s">
        <v>33</v>
      </c>
      <c r="G9" s="23">
        <v>2.2697923545381169</v>
      </c>
      <c r="H9" s="16">
        <v>0.78346194116994117</v>
      </c>
      <c r="I9" s="16">
        <v>0.87803662260902937</v>
      </c>
    </row>
    <row r="10" spans="2:11">
      <c r="B10" s="6" t="s">
        <v>13</v>
      </c>
      <c r="C10" s="6" t="s">
        <v>37</v>
      </c>
      <c r="D10" s="6">
        <v>48</v>
      </c>
      <c r="E10" s="6" t="s">
        <v>34</v>
      </c>
      <c r="F10" s="24" t="s">
        <v>33</v>
      </c>
      <c r="G10" s="23">
        <v>0.84665545241210305</v>
      </c>
      <c r="H10" s="16">
        <v>0.87803662260902937</v>
      </c>
      <c r="I10" s="16">
        <v>0.91331393312620035</v>
      </c>
    </row>
    <row r="11" spans="2:11">
      <c r="B11" s="6" t="s">
        <v>38</v>
      </c>
      <c r="C11" s="6" t="s">
        <v>39</v>
      </c>
      <c r="D11" s="6">
        <v>48</v>
      </c>
      <c r="E11" s="6" t="s">
        <v>34</v>
      </c>
      <c r="F11" s="22">
        <v>0.77083333333333326</v>
      </c>
      <c r="G11" s="23">
        <v>1</v>
      </c>
      <c r="H11" s="16">
        <v>0.91331393312620035</v>
      </c>
      <c r="I11" s="16">
        <v>0.95498059979286698</v>
      </c>
      <c r="J11" s="2"/>
      <c r="K11" s="2"/>
    </row>
    <row r="12" spans="2:11">
      <c r="B12" s="6" t="s">
        <v>9</v>
      </c>
      <c r="C12" s="6" t="s">
        <v>40</v>
      </c>
      <c r="D12" s="6">
        <v>288</v>
      </c>
      <c r="E12" s="6" t="s">
        <v>34</v>
      </c>
      <c r="F12" s="22">
        <v>0.87202380952380942</v>
      </c>
      <c r="G12" s="23">
        <v>1.9523809523809526</v>
      </c>
      <c r="H12" s="16">
        <v>0.95498059979286698</v>
      </c>
      <c r="I12" s="16">
        <v>1.0363298061420734</v>
      </c>
      <c r="J12" s="2">
        <f>+I12-H6</f>
        <v>0.30716313947540674</v>
      </c>
      <c r="K12" s="2"/>
    </row>
    <row r="13" spans="2:11">
      <c r="B13" s="6" t="s">
        <v>20</v>
      </c>
      <c r="C13" s="6" t="s">
        <v>41</v>
      </c>
      <c r="D13" s="6">
        <v>48</v>
      </c>
      <c r="E13" s="6" t="s">
        <v>36</v>
      </c>
      <c r="F13" s="22">
        <v>0.7788900490335855</v>
      </c>
      <c r="G13" s="23">
        <v>0.90150790855264284</v>
      </c>
      <c r="H13" s="16">
        <v>1.0363298061420734</v>
      </c>
      <c r="I13" s="16">
        <v>1.0738926356651002</v>
      </c>
      <c r="J13" s="2"/>
      <c r="K13" s="2"/>
    </row>
    <row r="14" spans="2:11">
      <c r="B14" s="6" t="s">
        <v>10</v>
      </c>
      <c r="C14" s="6" t="s">
        <v>42</v>
      </c>
      <c r="D14" s="6">
        <v>240</v>
      </c>
      <c r="E14" s="6" t="s">
        <v>32</v>
      </c>
      <c r="F14" s="22">
        <v>0.83571265542691964</v>
      </c>
      <c r="G14" s="23">
        <v>0.95569053459486664</v>
      </c>
      <c r="H14" s="16">
        <v>1.0738926356651002</v>
      </c>
      <c r="I14" s="16">
        <v>1.1137130746065529</v>
      </c>
      <c r="J14" s="2"/>
      <c r="K14" s="2"/>
    </row>
    <row r="15" spans="2:11">
      <c r="B15" s="6" t="s">
        <v>43</v>
      </c>
      <c r="C15" s="6" t="s">
        <v>44</v>
      </c>
      <c r="D15" s="6">
        <v>96</v>
      </c>
      <c r="E15" s="6" t="s">
        <v>32</v>
      </c>
      <c r="F15" s="22">
        <v>0.85709713514473274</v>
      </c>
      <c r="G15" s="23">
        <v>0.44444444444444448</v>
      </c>
      <c r="H15" s="16">
        <v>1.1137130746065529</v>
      </c>
      <c r="I15" s="16">
        <v>1.1322315931250715</v>
      </c>
      <c r="J15" s="2"/>
      <c r="K15" s="2"/>
    </row>
    <row r="16" spans="2:11">
      <c r="B16" s="6" t="s">
        <v>45</v>
      </c>
      <c r="C16" s="6" t="s">
        <v>46</v>
      </c>
      <c r="D16" s="6">
        <v>24</v>
      </c>
      <c r="E16" s="6" t="s">
        <v>32</v>
      </c>
      <c r="F16" s="22">
        <v>0.87462359017118774</v>
      </c>
      <c r="G16" s="23">
        <v>1.3929333333333334</v>
      </c>
      <c r="H16" s="16">
        <v>1.1322315931250715</v>
      </c>
      <c r="I16" s="16">
        <v>1.1902704820139605</v>
      </c>
      <c r="J16" s="2"/>
      <c r="K16" s="2"/>
    </row>
    <row r="17" spans="2:11">
      <c r="B17" s="6" t="s">
        <v>47</v>
      </c>
      <c r="C17" s="6" t="s">
        <v>48</v>
      </c>
      <c r="D17" s="6">
        <v>48</v>
      </c>
      <c r="E17" s="6" t="s">
        <v>32</v>
      </c>
      <c r="F17" s="22">
        <v>0.92025851080610832</v>
      </c>
      <c r="G17" s="23">
        <v>0.4844178509099975</v>
      </c>
      <c r="H17" s="16">
        <v>1.1902704820139605</v>
      </c>
      <c r="I17" s="16">
        <v>1.2104545591352103</v>
      </c>
      <c r="J17" s="2"/>
      <c r="K17" s="2"/>
    </row>
    <row r="18" spans="2:11">
      <c r="B18" s="6" t="s">
        <v>49</v>
      </c>
      <c r="C18" s="6" t="s">
        <v>50</v>
      </c>
      <c r="D18" s="6">
        <v>48</v>
      </c>
      <c r="E18" s="6" t="s">
        <v>32</v>
      </c>
      <c r="F18" s="22">
        <v>0.93394071980081728</v>
      </c>
      <c r="G18" s="23">
        <v>1.142857142857143</v>
      </c>
      <c r="H18" s="16">
        <v>1.2104545591352103</v>
      </c>
      <c r="I18" s="16">
        <v>1.2580736067542579</v>
      </c>
      <c r="J18" s="2"/>
      <c r="K18" s="2"/>
    </row>
    <row r="20" spans="2:11">
      <c r="D20">
        <f>SUM(D6:D12)</f>
        <v>780</v>
      </c>
    </row>
  </sheetData>
  <phoneticPr fontId="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B6089C-DC21-4487-A7DE-E222667BF51D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ea180fb7-6417-4417-bcc2-1a1988547c9d"/>
    <ds:schemaRef ds:uri="a7e61ba0-4c47-4710-ac4c-031e401f92b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A20568D-A609-4522-917F-A374C4200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TAKEBUCHI Masaki (竹渕 正樹)</cp:lastModifiedBy>
  <cp:revision/>
  <dcterms:created xsi:type="dcterms:W3CDTF">2024-09-18T03:10:58Z</dcterms:created>
  <dcterms:modified xsi:type="dcterms:W3CDTF">2024-10-10T04:44:45Z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