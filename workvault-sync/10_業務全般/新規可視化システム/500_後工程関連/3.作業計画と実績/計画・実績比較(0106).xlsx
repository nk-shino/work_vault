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30" documentId="8_{3E831149-D118-42FC-B0F5-DF8728900C7E}" xr6:coauthVersionLast="47" xr6:coauthVersionMax="47" xr10:uidLastSave="{B29D77FB-5514-4F29-B282-5148A1B7D5B8}"/>
  <bookViews>
    <workbookView xWindow="20370" yWindow="-4650" windowWidth="29040" windowHeight="15840" firstSheet="1" activeTab="1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<sst xmlns="http://schemas.openxmlformats.org/spreadsheetml/2006/main" count="85" uniqueCount="28">
  <si>
    <t>作業ガントチャート</t>
    <rPh sb="0" eb="2">
      <t>サギョウ</t>
    </rPh>
    <phoneticPr fontId="3"/>
  </si>
  <si>
    <t xml:space="preserve"> </t>
    <phoneticPr fontId="2"/>
  </si>
  <si>
    <t>＊計画データ作成改修中（実績データのみ）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</si>
  <si>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</si>
  <si>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</si>
  <si>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</si>
  <si>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</si>
  <si>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</si>
  <si>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</si>
  <si>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URS-0480-01</t>
  </si>
  <si>
    <t>実績</t>
  </si>
  <si>
    <t>URS-0562-01</t>
  </si>
  <si>
    <t>UR-0511-01</t>
  </si>
  <si>
    <t>UR-06101-01</t>
  </si>
  <si>
    <t>UR-4515</t>
  </si>
  <si>
    <t>UT-1007</t>
  </si>
  <si>
    <t>UR-4377</t>
  </si>
  <si>
    <t>URS-4343</t>
  </si>
  <si>
    <t>UR-0611</t>
  </si>
  <si>
    <t>UR-0625</t>
  </si>
  <si>
    <t>UR-0596</t>
  </si>
  <si>
    <t>UR-4329-03</t>
  </si>
  <si>
    <t>UR-05091-03</t>
  </si>
  <si>
    <t>実績</t>
    <rPh sb="0" eb="2">
      <t>ジッセキ</t>
    </rPh>
    <phoneticPr fontId="2"/>
  </si>
  <si>
    <t>UR-0559-06</t>
  </si>
  <si>
    <t>UR-0608</t>
  </si>
  <si>
    <t>URS-0552-01</t>
  </si>
  <si>
    <t>URS-0551-01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</si>
</sst>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pane xSplit="6" ySplit="3" topLeftCell="G4" activePane="bottomRight" state="frozen"/>
      <selection pane="bottomRight" activeCell="BP17" sqref="BP17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s="23"/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9</v>
      </c>
      <c r="C4" s="6">
        <v>110012231</v>
      </c>
      <c r="D4" s="6" t="s">
        <v>10</v>
      </c>
      <c r="E4" s="7">
        <v>0.73173611111111114</v>
      </c>
      <c r="F4" s="7">
        <v>0.75372685185185184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11</v>
      </c>
      <c r="C6" s="6">
        <v>110012233</v>
      </c>
      <c r="D6" s="6" t="s">
        <v>10</v>
      </c>
      <c r="E6" s="7">
        <v>0.7642592592592593</v>
      </c>
      <c r="F6" s="7">
        <v>0.76951388888888894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12</v>
      </c>
      <c r="C8" s="6">
        <v>212008591</v>
      </c>
      <c r="D8" s="6" t="s">
        <v>10</v>
      </c>
      <c r="E8" s="7">
        <v>0.78292824074074074</v>
      </c>
      <c r="F8" s="7">
        <v>0.78539351851851846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13</v>
      </c>
      <c r="C10" s="6">
        <v>212004565</v>
      </c>
      <c r="D10" s="6" t="s">
        <v>10</v>
      </c>
      <c r="E10" s="7">
        <v>0.79471064814814818</v>
      </c>
      <c r="F10" s="7">
        <v>0.81289351851851854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10</v>
      </c>
      <c r="E11" s="7">
        <v>0.81299768518518523</v>
      </c>
      <c r="F11" s="7">
        <v>0.82160879629629635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14</v>
      </c>
      <c r="C13" s="6">
        <v>212008558</v>
      </c>
      <c r="D13" s="6" t="s">
        <v>10</v>
      </c>
      <c r="E13" s="7">
        <v>0.98059027777777774</v>
      </c>
      <c r="F13" s="7">
        <v>0.98471064814814813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15</v>
      </c>
      <c r="C15" s="6">
        <v>212008574</v>
      </c>
      <c r="D15" s="6" t="s">
        <v>10</v>
      </c>
      <c r="E15" s="7">
        <v>0.98481481481481481</v>
      </c>
      <c r="F15" s="7">
        <v>0.99547453703703703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 t="s">
        <v>10</v>
      </c>
      <c r="E16" s="7">
        <v>1.2997685185185185E-2</v>
      </c>
      <c r="F16" s="7">
        <v>1.8124999999999999E-2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16</v>
      </c>
      <c r="C18" s="6">
        <v>212005125</v>
      </c>
      <c r="D18" s="6" t="s">
        <v>10</v>
      </c>
      <c r="E18" s="7">
        <v>1.8217592592592594E-2</v>
      </c>
      <c r="F18" s="7">
        <v>2.8611111111111111E-2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17</v>
      </c>
      <c r="C20" s="6">
        <v>212008568</v>
      </c>
      <c r="D20" s="6" t="s">
        <v>10</v>
      </c>
      <c r="E20" s="7">
        <v>3.4143518518518517E-2</v>
      </c>
      <c r="F20" s="7">
        <v>3.7824074074074072E-2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G13:DH13">
    <cfRule type="expression" dxfId="12" priority="8">
      <formula>AND($D15="計画", $E15 &lt;= F$3, F$3 &lt; $F15 + IF($F15 &lt; $E15, 1, 0))</formula>
    </cfRule>
  </conditionalFormatting>
  <conditionalFormatting sqref="G15:DH15">
    <cfRule type="expression" dxfId="11" priority="9">
      <formula>AND(#REF!="計画", #REF! &lt;= F$3, F$3 &lt; #REF! + IF(#REF! &lt; #REF!, 1, 0))</formula>
    </cfRule>
  </conditionalFormatting>
  <conditionalFormatting sqref="H4:DH12 H14:DH14 H16:DH134">
    <cfRule type="expression" dxfId="10" priority="6">
      <formula>AND($D4="実績", $E4 &lt;= G$3, G$3 &lt; $F4 + IF($F4 &lt; $E4,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tabSelected="1" workbookViewId="0">
      <pane xSplit="6" ySplit="3" topLeftCell="BE4" activePane="bottomRight" state="frozen"/>
      <selection pane="bottomRight" activeCell="BI15" sqref="BI15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18</v>
      </c>
      <c r="C4" s="6">
        <v>212008551</v>
      </c>
      <c r="D4" s="6" t="s">
        <v>10</v>
      </c>
      <c r="E4" s="7">
        <v>0.77635416666666668</v>
      </c>
      <c r="F4" s="7">
        <v>0.79353009259259255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10</v>
      </c>
      <c r="E5" s="7">
        <v>0.79364583333333338</v>
      </c>
      <c r="F5" s="7">
        <v>0.81645833333333329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19</v>
      </c>
      <c r="C7" s="6">
        <v>212008552</v>
      </c>
      <c r="D7" s="6" t="s">
        <v>10</v>
      </c>
      <c r="E7" s="7">
        <v>0.93260416666666668</v>
      </c>
      <c r="F7" s="7">
        <v>0.95898148148148143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10</v>
      </c>
      <c r="E8" s="7">
        <v>0.95912037037037035</v>
      </c>
      <c r="F8" s="7">
        <v>0.96658564814814818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20</v>
      </c>
      <c r="C10" s="6">
        <v>212006534</v>
      </c>
      <c r="D10" s="6" t="s">
        <v>10</v>
      </c>
      <c r="E10" s="7">
        <v>0.96671296296296294</v>
      </c>
      <c r="F10" s="7">
        <v>0.99792824074074071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10</v>
      </c>
      <c r="E11" s="7">
        <v>0.99804398148148143</v>
      </c>
      <c r="F11" s="7">
        <v>2.9525462962962962E-2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21</v>
      </c>
      <c r="C13" s="6">
        <v>212008554</v>
      </c>
      <c r="D13" s="6" t="s">
        <v>10</v>
      </c>
      <c r="E13" s="7">
        <v>2.9641203703703704E-2</v>
      </c>
      <c r="F13" s="7">
        <v>3.2256944444444442E-2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BI4" activePane="bottomRight" state="frozen"/>
      <selection pane="bottomRight" activeCell="D5" sqref="D5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22</v>
      </c>
      <c r="C4" s="6">
        <v>212008550</v>
      </c>
      <c r="D4" s="6" t="s">
        <v>23</v>
      </c>
      <c r="E4" s="7">
        <v>0.86002314814814818</v>
      </c>
      <c r="F4" s="7">
        <v>0.95222222222222219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23</v>
      </c>
      <c r="E5" s="7">
        <v>0.9525231481481482</v>
      </c>
      <c r="F5" s="7">
        <v>0.95765046296296297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C4" activePane="bottomRight" state="frozen"/>
      <selection pane="bottomRight" activeCell="BC14" sqref="BC14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2" spans="1:112">
      <c r="B2" t="s">
        <v>2</v>
      </c>
      <c r="F2" s="2"/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>
      <c r="A4" s="6"/>
      <c r="B4" s="6" t="s">
        <v>22</v>
      </c>
      <c r="C4" s="6">
        <v>212008057</v>
      </c>
      <c r="D4" s="6" t="s">
        <v>10</v>
      </c>
      <c r="E4" s="7">
        <v>0.72650462962962958</v>
      </c>
      <c r="F4" s="7">
        <v>0.82305555555555554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13</v>
      </c>
      <c r="C6" s="6">
        <v>212004564</v>
      </c>
      <c r="D6" s="6" t="s">
        <v>10</v>
      </c>
      <c r="E6" s="7">
        <v>0.84726851851851848</v>
      </c>
      <c r="F6" s="7">
        <v>0.86913194444444442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24</v>
      </c>
      <c r="C8" s="6">
        <v>212002646</v>
      </c>
      <c r="D8" s="6" t="s">
        <v>10</v>
      </c>
      <c r="E8" s="7">
        <v>0.86930555555555555</v>
      </c>
      <c r="F8" s="7">
        <v>0.89474537037037039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25</v>
      </c>
      <c r="C10" s="6">
        <v>212008059</v>
      </c>
      <c r="D10" s="6" t="s">
        <v>10</v>
      </c>
      <c r="E10" s="7">
        <v>0.89023148148148146</v>
      </c>
      <c r="F10" s="7">
        <v>0.89746527777777774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26</v>
      </c>
      <c r="C12" s="6">
        <v>110012228</v>
      </c>
      <c r="D12" s="6" t="s">
        <v>10</v>
      </c>
      <c r="E12" s="7">
        <v>0.89875000000000005</v>
      </c>
      <c r="F12" s="7">
        <v>0.91314814814814815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27</v>
      </c>
      <c r="C14" s="6">
        <v>110012229</v>
      </c>
      <c r="D14" s="6" t="s">
        <v>10</v>
      </c>
      <c r="E14" s="7">
        <v>0.91723379629629631</v>
      </c>
      <c r="F14" s="7">
        <v>0.95369212962962968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 t="s">
        <v>10</v>
      </c>
      <c r="E15" s="7">
        <v>0.95549768518518519</v>
      </c>
      <c r="F15" s="7">
        <v>0.95564814814814814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 t="s">
        <v>10</v>
      </c>
      <c r="E16" s="7">
        <v>0.95484953703703701</v>
      </c>
      <c r="F16" s="7">
        <v>0.98501157407407403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13</v>
      </c>
      <c r="C18" s="6">
        <v>212004565</v>
      </c>
      <c r="D18" s="6" t="s">
        <v>10</v>
      </c>
      <c r="E18" s="7">
        <v>0.91853009259259255</v>
      </c>
      <c r="F18" s="7">
        <v>0.94978009259259255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22</v>
      </c>
      <c r="C20" s="6">
        <v>212008550</v>
      </c>
      <c r="D20" s="6" t="s">
        <v>10</v>
      </c>
      <c r="E20" s="7">
        <v>0.98643518518518514</v>
      </c>
      <c r="F20" s="7">
        <v>3.7858796296296293E-2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 C1:C3 C33:C1048576">
    <cfRule type="duplicateValues" dxfId="2" priority="4"/>
  </conditionalFormatting>
  <conditionalFormatting sqref="G4:DH5 H6:DH6 G7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19988CEE-621B-429D-BD5E-8696D87ACF8A}"/>
</file>

<file path=customXml/itemProps2.xml><?xml version="1.0" encoding="utf-8"?>
<ds:datastoreItem xmlns:ds="http://schemas.openxmlformats.org/officeDocument/2006/customXml" ds:itemID="{319C3116-BB26-4046-9CEE-30119B9D2759}"/>
</file>

<file path=customXml/itemProps3.xml><?xml version="1.0" encoding="utf-8"?>
<ds:datastoreItem xmlns:ds="http://schemas.openxmlformats.org/officeDocument/2006/customXml" ds:itemID="{D9B6089C-DC21-4487-A7DE-E222667BF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TAKEBUCHI Masaki (竹渕 正樹)</cp:lastModifiedBy>
  <cp:revision/>
  <dcterms:created xsi:type="dcterms:W3CDTF">2024-09-18T03:10:58Z</dcterms:created>
  <dcterms:modified xsi:type="dcterms:W3CDTF">2025-02-03T01:44:37Z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