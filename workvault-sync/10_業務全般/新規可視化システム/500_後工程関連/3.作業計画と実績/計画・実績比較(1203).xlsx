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28" documentId="8_{8C03F405-10F8-4DE6-A80F-626867B047E1}" xr6:coauthVersionLast="47" xr6:coauthVersionMax="47" xr10:uidLastSave="{C463E534-8D2D-49D3-8D03-7A50148ACAE0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<sst xmlns="http://schemas.openxmlformats.org/spreadsheetml/2006/main" count="89" uniqueCount="26">
  <si>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</si>
  <si>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</si>
  <si>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</si>
  <si>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</si>
  <si>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</si>
  <si>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</si>
  <si>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</si>
  <si>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</si>
  <si>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</si>
  <si>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</si>
  <si>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UR-0486</t>
  </si>
  <si>
    <t>実績</t>
  </si>
  <si>
    <t>UR-0481-01</t>
  </si>
  <si>
    <t>UR-0559-06</t>
  </si>
  <si>
    <t>UR-0489</t>
  </si>
  <si>
    <t>UR-06101-01</t>
  </si>
  <si>
    <t>URS-0577</t>
  </si>
  <si>
    <t>実績</t>
    <rPh sb="0" eb="2">
      <t>ジッセキ</t>
    </rPh>
    <phoneticPr fontId="2"/>
  </si>
  <si>
    <t>UR-0488-01</t>
  </si>
  <si>
    <t>UR-0490</t>
  </si>
  <si>
    <t>UR-0493</t>
  </si>
  <si>
    <t>UR-0505</t>
  </si>
  <si>
    <t>UR-0476</t>
  </si>
  <si>
    <t>UTS-0855</t>
  </si>
  <si>
    <t>UR-4341-02</t>
  </si>
  <si>
    <t>UR-4488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</si>
</sst>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G4" activePane="bottomRight" state="frozen"/>
      <selection pane="topRight" activeCell="G1" sqref="G1"/>
      <selection pane="bottomLeft" activeCell="A4" sqref="A4"/>
      <selection pane="bottomRight" activeCell="BO15" sqref="BO1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23</v>
      </c>
      <c r="C4" s="6">
        <v>211997260</v>
      </c>
      <c r="D4" s="6" t="s">
        <v>11</v>
      </c>
      <c r="E4" s="7">
        <v>0.75526620370370368</v>
      </c>
      <c r="F4" s="7">
        <v>0.75866898148148143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13</v>
      </c>
      <c r="C6" s="6">
        <v>211994329</v>
      </c>
      <c r="D6" s="6" t="s">
        <v>11</v>
      </c>
      <c r="E6" s="7">
        <v>0.75880787037037034</v>
      </c>
      <c r="F6" s="7">
        <v>0.77295138888888892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 t="s">
        <v>11</v>
      </c>
      <c r="E7" s="7">
        <v>0.80274305555555558</v>
      </c>
      <c r="F7" s="7">
        <v>0.80456018518518524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15</v>
      </c>
      <c r="C9" s="6">
        <v>211994321</v>
      </c>
      <c r="D9" s="6" t="s">
        <v>11</v>
      </c>
      <c r="E9" s="7">
        <v>0.77305555555555561</v>
      </c>
      <c r="F9" s="7">
        <v>0.78236111111111106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 t="s">
        <v>11</v>
      </c>
      <c r="E10" s="7">
        <v>0.80467592592592596</v>
      </c>
      <c r="F10" s="7">
        <v>0.80799768518518522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24</v>
      </c>
      <c r="C12" s="6">
        <v>211997238</v>
      </c>
      <c r="D12" s="6" t="s">
        <v>11</v>
      </c>
      <c r="E12" s="7">
        <v>0.81828703703703709</v>
      </c>
      <c r="F12" s="7">
        <v>0.82284722222222217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 t="s">
        <v>11</v>
      </c>
      <c r="E13" s="7">
        <v>9.4097222222222221E-3</v>
      </c>
      <c r="F13" s="7">
        <v>1.1458333333333333E-2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24</v>
      </c>
      <c r="C15" s="6">
        <v>211997239</v>
      </c>
      <c r="D15" s="6" t="s">
        <v>11</v>
      </c>
      <c r="E15" s="7">
        <v>0.84798611111111111</v>
      </c>
      <c r="F15" s="7">
        <v>0.85226851851851848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 t="s">
        <v>11</v>
      </c>
      <c r="E16" s="7">
        <v>1.15625E-2</v>
      </c>
      <c r="F16" s="7">
        <v>1.4108796296296296E-2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25</v>
      </c>
      <c r="C18" s="6">
        <v>211997242</v>
      </c>
      <c r="D18" s="6" t="s">
        <v>11</v>
      </c>
      <c r="E18" s="7">
        <v>1.8981481481481482E-3</v>
      </c>
      <c r="F18" s="7">
        <v>2.0023148148148148E-3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 t="s">
        <v>11</v>
      </c>
      <c r="E19" s="7">
        <v>2.1064814814814813E-3</v>
      </c>
      <c r="F19" s="7">
        <v>9.3055555555555548E-3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H4:DH12 H14:DH14 H16:DH134">
    <cfRule type="expression" dxfId="12" priority="6">
      <formula>AND($D4="実績", $E4 &lt;= G$3, G$3 &lt; $F4 + IF($F4 &lt; $E4, 1, 0))</formula>
    </cfRule>
  </conditionalFormatting>
  <conditionalFormatting sqref="G13:DH13">
    <cfRule type="expression" dxfId="11" priority="8">
      <formula>AND($D15="計画", $E15 &lt;= F$3, F$3 &lt; $F15 + IF($F15 &lt; $E15, 1, 0))</formula>
    </cfRule>
  </conditionalFormatting>
  <conditionalFormatting sqref="G15:DH15">
    <cfRule type="expression" dxfId="10" priority="9">
      <formula>AND(#REF!="計画", #REF! &lt;= F$3, F$3 &lt; #REF! + IF(#REF! &lt; #REF!,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R18" sqref="BR18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12</v>
      </c>
      <c r="C4" s="6">
        <v>211997762</v>
      </c>
      <c r="D4" s="6" t="s">
        <v>11</v>
      </c>
      <c r="E4" s="7">
        <v>0.71684027777777781</v>
      </c>
      <c r="F4" s="7">
        <v>0.74025462962962962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0.7403819444444445</v>
      </c>
      <c r="F5" s="7">
        <v>0.7510648148148148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18</v>
      </c>
      <c r="C7" s="6">
        <v>211997765</v>
      </c>
      <c r="D7" s="6" t="s">
        <v>11</v>
      </c>
      <c r="E7" s="7">
        <v>0.78604166666666664</v>
      </c>
      <c r="F7" s="7">
        <v>0.81491898148148145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11</v>
      </c>
      <c r="E8" s="7">
        <v>0.81503472222222217</v>
      </c>
      <c r="F8" s="7">
        <v>0.81718749999999996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14</v>
      </c>
      <c r="C10" s="6">
        <v>211997766</v>
      </c>
      <c r="D10" s="6" t="s">
        <v>11</v>
      </c>
      <c r="E10" s="7">
        <v>0.95724537037037039</v>
      </c>
      <c r="F10" s="7">
        <v>0.96592592592592597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11</v>
      </c>
      <c r="E11" s="7">
        <v>0.98131944444444441</v>
      </c>
      <c r="F11" s="7">
        <v>0.98903935185185188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10</v>
      </c>
      <c r="C13" s="6">
        <v>211997764</v>
      </c>
      <c r="D13" s="6" t="s">
        <v>11</v>
      </c>
      <c r="E13" s="7">
        <v>0.98918981481481483</v>
      </c>
      <c r="F13" s="7">
        <v>0.98925925925925928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 t="s">
        <v>11</v>
      </c>
      <c r="E14" s="7">
        <v>0.98939814814814819</v>
      </c>
      <c r="F14" s="7">
        <v>0.99180555555555561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19</v>
      </c>
      <c r="C16" s="6">
        <v>211997767</v>
      </c>
      <c r="D16" s="6" t="s">
        <v>11</v>
      </c>
      <c r="E16" s="7">
        <v>0.99709490740740736</v>
      </c>
      <c r="F16" s="7">
        <v>1.7858796296296296E-2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 t="s">
        <v>11</v>
      </c>
      <c r="E17" s="7">
        <v>1.800925925925926E-2</v>
      </c>
      <c r="F17" s="7">
        <v>2.642361111111111E-2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 t="s">
        <v>20</v>
      </c>
      <c r="C19" s="6">
        <v>211997768</v>
      </c>
      <c r="D19" s="6" t="s">
        <v>11</v>
      </c>
      <c r="E19" s="7">
        <v>2.7407407407407408E-2</v>
      </c>
      <c r="F19" s="7">
        <v>2.9444444444444443E-2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 t="s">
        <v>11</v>
      </c>
      <c r="E20" s="7">
        <v>3.3831018518518517E-2</v>
      </c>
      <c r="F20" s="7">
        <v>3.7337962962962962E-2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21</v>
      </c>
      <c r="C22" s="6">
        <v>211997769</v>
      </c>
      <c r="D22" s="6" t="s">
        <v>11</v>
      </c>
      <c r="E22" s="7">
        <v>2.9583333333333333E-2</v>
      </c>
      <c r="F22" s="7">
        <v>3.2719907407407406E-2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22</v>
      </c>
      <c r="C24" s="6">
        <v>211997760</v>
      </c>
      <c r="D24" s="6" t="s">
        <v>11</v>
      </c>
      <c r="E24" s="7">
        <v>3.2881944444444443E-2</v>
      </c>
      <c r="F24" s="7">
        <v>3.3657407407407407E-2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D5" sqref="D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211997770</v>
      </c>
      <c r="D4" s="6" t="s">
        <v>17</v>
      </c>
      <c r="E4" s="7">
        <v>0.86829861111111106</v>
      </c>
      <c r="F4" s="7">
        <v>0.96796296296296291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17</v>
      </c>
      <c r="E5" s="7">
        <v>0.96820601851851851</v>
      </c>
      <c r="F5" s="7">
        <v>0.9773263888888889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AV4" activePane="bottomRight" state="frozen"/>
      <selection pane="topRight" activeCell="G1" sqref="G1"/>
      <selection pane="bottomLeft" activeCell="A4" sqref="A4"/>
      <selection pane="bottomRight" activeCell="D4" sqref="D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13</v>
      </c>
      <c r="C4" s="6">
        <v>211994328</v>
      </c>
      <c r="D4" s="6" t="s">
        <v>11</v>
      </c>
      <c r="E4" s="7">
        <v>0.73590277777777779</v>
      </c>
      <c r="F4" s="7">
        <v>0.75189814814814815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15</v>
      </c>
      <c r="C6" s="6">
        <v>211993800</v>
      </c>
      <c r="D6" s="6" t="s">
        <v>11</v>
      </c>
      <c r="E6" s="7">
        <v>0.75206018518518514</v>
      </c>
      <c r="F6" s="7">
        <v>0.77339120370370373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16</v>
      </c>
      <c r="C8" s="6">
        <v>211997247</v>
      </c>
      <c r="D8" s="6" t="s">
        <v>11</v>
      </c>
      <c r="E8" s="7">
        <v>0.77354166666666668</v>
      </c>
      <c r="F8" s="7">
        <v>0.87898148148148147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12</v>
      </c>
      <c r="C10" s="6">
        <v>211997762</v>
      </c>
      <c r="D10" s="6" t="s">
        <v>11</v>
      </c>
      <c r="E10" s="7">
        <v>0.88098379629629631</v>
      </c>
      <c r="F10" s="7">
        <v>0.92287037037037034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13</v>
      </c>
      <c r="C12" s="6">
        <v>211994329</v>
      </c>
      <c r="D12" s="6" t="s">
        <v>11</v>
      </c>
      <c r="E12" s="7">
        <v>0.92376157407407411</v>
      </c>
      <c r="F12" s="7">
        <v>0.9596527777777778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9</v>
      </c>
      <c r="C14" s="6">
        <v>211997770</v>
      </c>
      <c r="D14" s="6" t="s">
        <v>11</v>
      </c>
      <c r="E14" s="7">
        <v>0.95981481481481479</v>
      </c>
      <c r="F14" s="7">
        <v>3.4791666666666665E-2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B6089C-DC21-4487-A7DE-E222667BF51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407EB5A-F249-4AD4-9C83-BCEAF902FA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2024-12-03T23:33:58Z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