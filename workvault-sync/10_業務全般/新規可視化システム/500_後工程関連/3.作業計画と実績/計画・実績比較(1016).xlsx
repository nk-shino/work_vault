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92" documentId="8_{607CF1B5-904F-4E66-9F3E-B098E6776F89}" xr6:coauthVersionLast="47" xr6:coauthVersionMax="47" xr10:uidLastSave="{02D1DE4C-3CDE-4BC5-A166-E89EA846154F}"/>
  <bookViews>
    <workbookView xWindow="20370" yWindow="-4650" windowWidth="29040" windowHeight="15840" activeTab="3" xr2:uid="{D4E99A79-39B5-4714-8CFE-6838D0007EB9}"/>
    <workbookView xWindow="20370" yWindow="-4650" windowWidth="29040" windowHeight="15840" xr2:uid="{2D1F461A-2DA2-4843-99C5-592810CCEBDB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J20" i="6" s="1"/>
  <c r="I21" i="6" s="1"/>
  <c r="J21" i="6" s="1"/>
  <c r="J19" i="6"/>
  <c r="J7" i="6"/>
  <c r="I8" i="6" s="1"/>
  <c r="J8" i="6" s="1"/>
  <c r="I9" i="6" s="1"/>
  <c r="J9" i="6" s="1"/>
  <c r="I10" i="6" s="1"/>
  <c r="J10" i="6" s="1"/>
  <c r="I11" i="6" s="1"/>
  <c r="J11" i="6" s="1"/>
  <c r="I12" i="6" s="1"/>
  <c r="J12" i="6" s="1"/>
  <c r="I7" i="6"/>
  <c r="J6" i="6"/>
  <c r="I6" i="5"/>
  <c r="H7" i="5" s="1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H16" i="5" s="1"/>
  <c r="I16" i="5" s="1"/>
  <c r="H17" i="5" s="1"/>
  <c r="I17" i="5" s="1"/>
  <c r="H18" i="5" s="1"/>
  <c r="I18" i="5" s="1"/>
  <c r="H19" i="5" s="1"/>
  <c r="I19" i="5" s="1"/>
  <c r="H20" i="5" s="1"/>
  <c r="I20" i="5" s="1"/>
  <c r="H21" i="5" s="1"/>
  <c r="I21" i="5" s="1"/>
</calcChain>
</file>

<file path=xl/sharedStrings.xml><?xml version="1.0" encoding="utf-8"?>
<sst xmlns="http://schemas.openxmlformats.org/spreadsheetml/2006/main" count="208" uniqueCount="61">
  <si>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</si>
  <si>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</si>
  <si>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</si>
  <si>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</si>
  <si>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</si>
  <si>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</si>
  <si>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</si>
  <si>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</si>
  <si>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</si>
  <si>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UR-06101-01</t>
  </si>
  <si>
    <t>←マスタ未登録</t>
    <rPh sb="4" eb="7">
      <t>ミ</t>
    </rPh>
    <phoneticPr fontId="2"/>
  </si>
  <si>
    <t>TypeID</t>
  </si>
  <si>
    <t>orderNumber</t>
  </si>
  <si>
    <t>台数</t>
    <rPh sb="0" eb="2">
      <t>ダイスウ</t>
    </rPh>
    <phoneticPr fontId="2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</si>
  <si>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</si>
  <si>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</si>
  <si>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Line-1</t>
  </si>
  <si>
    <t>仕掛</t>
    <rPh sb="0" eb="2">
      <t>シカカリ</t>
    </rPh>
    <phoneticPr fontId="2"/>
  </si>
  <si>
    <t>Line-3</t>
  </si>
  <si>
    <t>Line-2</t>
  </si>
  <si>
    <t>品目名</t>
    <rPh sb="0" eb="3">
      <t>ヒンモクメイ</t>
    </rPh>
    <phoneticPr fontId="2"/>
  </si>
  <si>
    <t>指図</t>
    <rPh sb="0" eb="2">
      <t>サシズ</t>
    </rPh>
    <phoneticPr fontId="2"/>
  </si>
  <si>
    <t>SMT終了予定時刻</t>
    <rPh sb="3" eb="7">
      <t>シュウリョウヨテイ</t>
    </rPh>
    <rPh sb="7" eb="9">
      <t>ジコク</t>
    </rPh>
    <phoneticPr fontId="2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</si>
  <si>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</si>
  <si>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</si>
  <si>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―</t>
  </si>
  <si>
    <t>UR-0598</t>
  </si>
  <si>
    <t>UR-0486</t>
  </si>
  <si>
    <t>UR-0489</t>
  </si>
  <si>
    <t>211977908</t>
  </si>
  <si>
    <t>211976126</t>
  </si>
  <si>
    <t>UR-0554</t>
  </si>
  <si>
    <t>UR-0608</t>
  </si>
  <si>
    <t>UR-0596</t>
  </si>
  <si>
    <t>UR-0605</t>
  </si>
  <si>
    <t>実績</t>
    <rPh sb="0" eb="2">
      <t>ジッセキ</t>
    </rPh>
    <phoneticPr fontId="2"/>
  </si>
  <si>
    <t>計画</t>
    <rPh sb="0" eb="2">
      <t>ケイカク</t>
    </rPh>
    <phoneticPr fontId="2"/>
  </si>
  <si>
    <t>ライン</t>
    <phoneticPr fontId="2"/>
  </si>
  <si>
    <t>AOI終了予定時刻</t>
    <rPh sb="3" eb="5">
      <t>シュウリョウ</t>
    </rPh>
    <rPh sb="5" eb="9">
      <t>ヨテイジコク</t>
    </rPh>
    <phoneticPr fontId="9"/>
  </si>
  <si>
    <t>目視工数</t>
    <rPh sb="0" eb="2">
      <t>モクシ</t>
    </rPh>
    <rPh sb="2" eb="4">
      <t>コウスウ</t>
    </rPh>
    <phoneticPr fontId="9"/>
  </si>
  <si>
    <t>211980504</t>
  </si>
  <si>
    <t>211978380</t>
  </si>
  <si>
    <t>211980499</t>
  </si>
  <si>
    <t>211980502</t>
  </si>
  <si>
    <t>211976127</t>
  </si>
  <si>
    <t>211980505</t>
  </si>
  <si>
    <t>211980500</t>
  </si>
  <si>
    <t>URS-42144-02</t>
  </si>
  <si>
    <t>211977840</t>
  </si>
  <si>
    <t>AOI工数</t>
    <rPh sb="3" eb="5">
      <t>コウスウ</t>
    </rPh>
    <phoneticPr fontId="9"/>
  </si>
  <si>
    <t>UR-0617-01</t>
  </si>
  <si>
    <t>211980507</t>
  </si>
  <si>
    <t>UT-1026</t>
  </si>
  <si>
    <t>211980529</t>
  </si>
  <si>
    <t>211980506</t>
  </si>
  <si>
    <t>URS-4273</t>
  </si>
  <si>
    <t>211980522</t>
  </si>
  <si>
    <t>URS-4289</t>
  </si>
  <si>
    <t>211980523</t>
  </si>
  <si>
    <t>２号機計画</t>
    <rPh sb="1" eb="3">
      <t>ゴウキ</t>
    </rPh>
    <rPh sb="3" eb="5">
      <t>ケイカク</t>
    </rPh>
    <phoneticPr fontId="2"/>
  </si>
  <si>
    <t>１号機計画</t>
    <rPh sb="1" eb="3">
      <t>ゴウキ</t>
    </rPh>
    <rPh sb="3" eb="5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</si>
</sst>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7" fillId="0" borderId="1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7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9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6DCDC40-0F83-47A4-BDAF-6D04CD29C1D8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14</xdr:row>
      <xdr:rowOff>0</xdr:rowOff>
    </xdr:from>
    <xdr:to>
      <xdr:col>6</xdr:col>
      <xdr:colOff>0</xdr:colOff>
      <xdr:row>16</xdr:row>
      <xdr:rowOff>28161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B2FEC38-3965-4DEF-8BA3-12D3A9E0B678}"/>
            </a:ext>
          </a:extLst>
        </xdr:cNvPr>
        <xdr:cNvSpPr txBox="1"/>
      </xdr:nvSpPr>
      <xdr:spPr>
        <a:xfrm>
          <a:off x="780222" y="333375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試作･</a:t>
          </a:r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6A9F353-7A5D-490B-BA5C-826E85BFD75A}"/>
            </a:ext>
          </a:extLst>
        </xdr:cNvPr>
        <xdr:cNvSpPr txBox="1"/>
      </xdr:nvSpPr>
      <xdr:spPr>
        <a:xfrm>
          <a:off x="702365" y="5362990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Normal="100"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C20" sqref="B20:C20"/>
    </sheetView>
    <sheetView tabSelected="1" workbookViewId="1">
      <pane xSplit="6" ySplit="3" topLeftCell="BF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33</v>
      </c>
      <c r="C4" s="6">
        <v>211976127</v>
      </c>
      <c r="D4" s="6" t="s">
        <v>35</v>
      </c>
      <c r="E4" s="7">
        <v>0.770625</v>
      </c>
      <c r="F4" s="7">
        <v>0.77915509259259264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35</v>
      </c>
      <c r="E5" s="7">
        <v>0.86537037037037035</v>
      </c>
      <c r="F5" s="7">
        <v>0.86550925925925926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30" t="s">
        <v>59</v>
      </c>
      <c r="D6" s="6" t="s">
        <v>36</v>
      </c>
      <c r="E6" s="7">
        <v>0.72916666666666663</v>
      </c>
      <c r="F6" s="7">
        <v>0.76041666666666663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8</v>
      </c>
      <c r="C7" s="6">
        <v>211980502</v>
      </c>
      <c r="D7" s="6" t="s">
        <v>35</v>
      </c>
      <c r="E7" s="7">
        <v>0.77983796296296293</v>
      </c>
      <c r="F7" s="7">
        <v>0.78501157407407407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35</v>
      </c>
      <c r="E8" s="7">
        <v>0.79317129629629635</v>
      </c>
      <c r="F8" s="7">
        <v>0.82344907407407408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36</v>
      </c>
      <c r="E9" s="7">
        <v>0.72916666666666663</v>
      </c>
      <c r="F9" s="7">
        <v>0.7847222222222221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34</v>
      </c>
      <c r="C10" s="6">
        <v>211980505</v>
      </c>
      <c r="D10" s="6" t="s">
        <v>35</v>
      </c>
      <c r="E10" s="7">
        <v>0.88539351851851855</v>
      </c>
      <c r="F10" s="7">
        <v>0.89641203703703709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35</v>
      </c>
      <c r="E11" s="7">
        <v>0.91315972222222219</v>
      </c>
      <c r="F11" s="7">
        <v>0.92319444444444443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30" t="s">
        <v>59</v>
      </c>
      <c r="D12" s="6" t="s">
        <v>36</v>
      </c>
      <c r="E12" s="7">
        <v>0.76041666666666663</v>
      </c>
      <c r="F12" s="7">
        <v>0.79049351221891528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52</v>
      </c>
      <c r="C13" s="6">
        <v>211980529</v>
      </c>
      <c r="D13" s="6" t="s">
        <v>35</v>
      </c>
      <c r="E13" s="7">
        <v>0.92534722222222221</v>
      </c>
      <c r="F13" s="7">
        <v>0.92803240740740744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35</v>
      </c>
      <c r="E14" s="7">
        <v>0.95443287037037039</v>
      </c>
      <c r="F14" s="7">
        <v>0.95908564814814812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36</v>
      </c>
      <c r="E15" s="7">
        <v>0.81191889684633733</v>
      </c>
      <c r="F15" s="7">
        <v>0.83130229122973176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47</v>
      </c>
      <c r="C16" s="6">
        <v>211977840</v>
      </c>
      <c r="D16" s="6" t="s">
        <v>35</v>
      </c>
      <c r="E16" s="7">
        <v>0.97905092592592591</v>
      </c>
      <c r="F16" s="7">
        <v>0.99366898148148153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35</v>
      </c>
      <c r="E17" s="7">
        <v>1.800925925925926E-2</v>
      </c>
      <c r="F17" s="7">
        <v>3.5104166666666665E-2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 t="s">
        <v>36</v>
      </c>
      <c r="E18" s="7">
        <v>0.85434503263184824</v>
      </c>
      <c r="F18" s="7">
        <v>0.91116763902518239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8" priority="4">
      <formula>AND($D4="計画", $E4 &lt;= F$3, F$3 &lt; $F4 + IF($F4 &lt; $E4, 1, 0))</formula>
    </cfRule>
  </conditionalFormatting>
  <conditionalFormatting sqref="H4:DH134">
    <cfRule type="expression" dxfId="7" priority="5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E12" sqref="E12:F12"/>
    </sheetView>
    <sheetView workbookViewId="1">
      <pane xSplit="6" ySplit="3" topLeftCell="BF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28</v>
      </c>
      <c r="C4" s="6">
        <v>211980500</v>
      </c>
      <c r="D4" s="6" t="s">
        <v>35</v>
      </c>
      <c r="E4" s="7">
        <v>0.74987268518518524</v>
      </c>
      <c r="F4" s="7">
        <v>0.75550925925925927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35</v>
      </c>
      <c r="E5" s="7">
        <v>0.76194444444444442</v>
      </c>
      <c r="F5" s="7">
        <v>0.76472222222222219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36</v>
      </c>
      <c r="E6" s="7">
        <v>0.79049351221891528</v>
      </c>
      <c r="F6" s="7">
        <v>0.84021689458583415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32</v>
      </c>
      <c r="C7" s="6">
        <v>211980506</v>
      </c>
      <c r="D7" s="6" t="s">
        <v>35</v>
      </c>
      <c r="E7" s="7">
        <v>0.81701388888888893</v>
      </c>
      <c r="F7" s="7">
        <v>0.81712962962962965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35</v>
      </c>
      <c r="E8" s="7">
        <v>0.81723379629629633</v>
      </c>
      <c r="F8" s="7">
        <v>0.81732638888888887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30" t="s">
        <v>60</v>
      </c>
      <c r="D9" s="6" t="s">
        <v>36</v>
      </c>
      <c r="E9" s="7">
        <v>0.83130229122973176</v>
      </c>
      <c r="F9" s="7">
        <v>0.84131593210274769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55</v>
      </c>
      <c r="C10" s="6">
        <v>211980522</v>
      </c>
      <c r="D10" s="6" t="s">
        <v>35</v>
      </c>
      <c r="E10" s="7">
        <v>0.88238425925925923</v>
      </c>
      <c r="F10" s="7">
        <v>0.88326388888888885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35</v>
      </c>
      <c r="E11" s="7">
        <v>0.89981481481481485</v>
      </c>
      <c r="F11" s="7">
        <v>0.90268518518518515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30" t="s">
        <v>60</v>
      </c>
      <c r="D12" s="6" t="s">
        <v>36</v>
      </c>
      <c r="E12" s="7">
        <v>0.84131593210274769</v>
      </c>
      <c r="F12" s="7">
        <v>0.85434503263184824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50</v>
      </c>
      <c r="C13" s="6">
        <v>211980507</v>
      </c>
      <c r="D13" s="6" t="s">
        <v>35</v>
      </c>
      <c r="E13" s="7">
        <v>0.93228009259259259</v>
      </c>
      <c r="F13" s="7">
        <v>0.97526620370370365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35</v>
      </c>
      <c r="E14" s="7">
        <v>7.9745370370370369E-3</v>
      </c>
      <c r="F14" s="7">
        <v>1.3472222222222222E-2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30" t="s">
        <v>60</v>
      </c>
      <c r="D15" s="6" t="s">
        <v>36</v>
      </c>
      <c r="E15" s="7">
        <v>0.7847222222222221</v>
      </c>
      <c r="F15" s="7">
        <v>0.81191889684633733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4" priority="1">
      <formula>AND($D4="計画", $E4 &lt;= G$3, G$3 &lt; $F4 + IF($F4 &lt; $E4, 1, 0))</formula>
    </cfRule>
    <cfRule type="expression" dxfId="3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zoomScale="85" zoomScaleNormal="85" workbookViewId="0">
      <pane xSplit="6" ySplit="3" topLeftCell="AX4" activePane="bottomRight" state="frozen"/>
      <selection pane="topRight" activeCell="G1" sqref="G1"/>
      <selection pane="bottomLeft" activeCell="A4" sqref="A4"/>
      <selection pane="bottomRight" activeCell="E15" sqref="E15:F15"/>
    </sheetView>
    <sheetView workbookViewId="1">
      <pane xSplit="6" ySplit="3" topLeftCell="BH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9</v>
      </c>
      <c r="C4" s="6">
        <v>211977908</v>
      </c>
      <c r="D4" s="6" t="s">
        <v>35</v>
      </c>
      <c r="E4" s="7">
        <v>0.73416666666666663</v>
      </c>
      <c r="F4" s="7">
        <v>0.74670138888888893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36</v>
      </c>
      <c r="E5" s="7">
        <v>0.72916666666666663</v>
      </c>
      <c r="F5" s="7">
        <v>0.76444397718383761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9</v>
      </c>
      <c r="C6" s="6">
        <v>211978380</v>
      </c>
      <c r="D6" s="6" t="s">
        <v>35</v>
      </c>
      <c r="E6" s="7">
        <v>0.74687499999999996</v>
      </c>
      <c r="F6" s="7">
        <v>0.75871527777777781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36</v>
      </c>
      <c r="E7" s="7">
        <v>0.84830015479001519</v>
      </c>
      <c r="F7" s="7">
        <v>0.88357746530718617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26</v>
      </c>
      <c r="C8" s="6">
        <v>211976126</v>
      </c>
      <c r="D8" s="6" t="s">
        <v>35</v>
      </c>
      <c r="E8" s="7">
        <v>0.76501157407407405</v>
      </c>
      <c r="F8" s="7">
        <v>0.76976851851851846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36</v>
      </c>
      <c r="E9" s="7">
        <v>0.76444397718383761</v>
      </c>
      <c r="F9" s="7">
        <v>0.79569397718383761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31</v>
      </c>
      <c r="C10" s="6">
        <v>211980504</v>
      </c>
      <c r="D10" s="6" t="s">
        <v>35</v>
      </c>
      <c r="E10" s="7">
        <v>0.77569444444444446</v>
      </c>
      <c r="F10" s="7">
        <v>0.79387731481481483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36</v>
      </c>
      <c r="E11" s="7">
        <v>0.79569397718383761</v>
      </c>
      <c r="F11" s="7">
        <v>0.84830015479001519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27</v>
      </c>
      <c r="C12" s="6">
        <v>211980499</v>
      </c>
      <c r="D12" s="6" t="s">
        <v>35</v>
      </c>
      <c r="E12" s="7">
        <v>0.79648148148148146</v>
      </c>
      <c r="F12" s="7">
        <v>0.80151620370370369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36</v>
      </c>
      <c r="E13" s="7">
        <v>0.88357746530718617</v>
      </c>
      <c r="F13" s="7">
        <v>0.90179491425123615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28</v>
      </c>
      <c r="C14" s="6">
        <v>211980500</v>
      </c>
      <c r="D14" s="6" t="s">
        <v>35</v>
      </c>
      <c r="E14" s="7">
        <v>0.80376157407407411</v>
      </c>
      <c r="F14" s="7">
        <v>0.81365740740740744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36</v>
      </c>
      <c r="E15" s="7">
        <v>1.0099298348861567</v>
      </c>
      <c r="F15" s="7">
        <v>1.0474926644091835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32</v>
      </c>
      <c r="C16" s="6">
        <v>211980506</v>
      </c>
      <c r="D16" s="6" t="s">
        <v>35</v>
      </c>
      <c r="E16" s="7">
        <v>0.82122685185185185</v>
      </c>
      <c r="F16" s="7">
        <v>0.85638888888888887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36</v>
      </c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8</v>
      </c>
      <c r="C18" s="6">
        <v>211980502</v>
      </c>
      <c r="D18" s="6" t="s">
        <v>35</v>
      </c>
      <c r="E18" s="7">
        <v>0.86020833333333335</v>
      </c>
      <c r="F18" s="7">
        <v>0.91326388888888888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 t="s">
        <v>36</v>
      </c>
      <c r="E19" s="7">
        <v>0.90179491425123615</v>
      </c>
      <c r="F19" s="7">
        <v>0.94742983488615673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33</v>
      </c>
      <c r="C20" s="6">
        <v>211976127</v>
      </c>
      <c r="D20" s="6" t="s">
        <v>35</v>
      </c>
      <c r="E20" s="7">
        <v>0.91810185185185189</v>
      </c>
      <c r="F20" s="7">
        <v>0.97240740740740739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 t="s">
        <v>36</v>
      </c>
      <c r="E21" s="7">
        <v>0.94742983488615673</v>
      </c>
      <c r="F21" s="7">
        <v>0.97867983488615673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34</v>
      </c>
      <c r="C22" s="6">
        <v>211980505</v>
      </c>
      <c r="D22" s="6" t="s">
        <v>35</v>
      </c>
      <c r="E22" s="7">
        <v>0.9765625</v>
      </c>
      <c r="F22" s="7">
        <v>0.98394675925925923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 t="s">
        <v>36</v>
      </c>
      <c r="E23" s="7">
        <v>0.97867983488615673</v>
      </c>
      <c r="F23" s="7">
        <v>1.0099298348861567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3 C21 C7 C9 C11 C13 C23:C1048576">
    <cfRule type="duplicateValues" dxfId="2" priority="1"/>
  </conditionalFormatting>
  <conditionalFormatting sqref="G4:DH99">
    <cfRule type="expression" dxfId="1" priority="2">
      <formula>AND($D4="計画", $E4 &lt;= F$3, F$3 &lt; $F4 + IF($F4 &lt; $E4, 1, 0))</formula>
    </cfRule>
    <cfRule type="expression" dxfId="0" priority="3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J21"/>
  <sheetViews>
    <sheetView workbookViewId="0">
      <selection activeCell="I9" sqref="I9"/>
    </sheetView>
    <sheetView zoomScale="85" zoomScaleNormal="85" workbookViewId="1">
      <selection activeCell="G29" sqref="G29"/>
    </sheetView>
  </sheetViews>
  <sheetFormatPr defaultRowHeight="18.75"/>
  <cols>
    <col min="2" max="2" width="14.5" bestFit="1" customWidth="1"/>
    <col min="3" max="3" width="11" bestFit="1" customWidth="1"/>
    <col min="4" max="4" width="5.25" bestFit="1" customWidth="1"/>
    <col min="5" max="5" width="7.125" bestFit="1" customWidth="1"/>
    <col min="6" max="6" width="17.5" style="25" bestFit="1" customWidth="1"/>
    <col min="7" max="7" width="8.375" style="23" bestFit="1" customWidth="1"/>
    <col min="8" max="8" width="9" style="23"/>
    <col min="9" max="10" width="20.625" bestFit="1" customWidth="1"/>
  </cols>
  <sheetData>
    <row r="2" spans="2:10">
      <c r="H2" s="21"/>
      <c r="I2" t="s">
        <v>10</v>
      </c>
    </row>
    <row r="4" spans="2:10">
      <c r="I4" s="2"/>
      <c r="J4" s="2"/>
    </row>
    <row r="5" spans="2:10">
      <c r="B5" s="6" t="s">
        <v>20</v>
      </c>
      <c r="C5" s="6" t="s">
        <v>21</v>
      </c>
      <c r="D5" s="6" t="s">
        <v>13</v>
      </c>
      <c r="E5" s="6" t="s">
        <v>37</v>
      </c>
      <c r="F5" s="24" t="s">
        <v>22</v>
      </c>
      <c r="G5" s="22" t="s">
        <v>49</v>
      </c>
      <c r="H5" s="22" t="s">
        <v>39</v>
      </c>
      <c r="I5" s="6" t="s">
        <v>23</v>
      </c>
      <c r="J5" s="6" t="s">
        <v>24</v>
      </c>
    </row>
    <row r="6" spans="2:10">
      <c r="B6" s="6" t="s">
        <v>8</v>
      </c>
      <c r="C6" s="6" t="s">
        <v>43</v>
      </c>
      <c r="D6" s="6">
        <v>144</v>
      </c>
      <c r="E6" s="6" t="s">
        <v>18</v>
      </c>
      <c r="F6" s="28" t="s">
        <v>17</v>
      </c>
      <c r="G6" s="22">
        <v>1.3333333333333326</v>
      </c>
      <c r="H6" s="22">
        <v>1.0952380952380953</v>
      </c>
      <c r="I6" s="16">
        <v>0.72916666666666663</v>
      </c>
      <c r="J6" s="16">
        <f t="shared" ref="J6:J12" si="0">I6+G6/24</f>
        <v>0.7847222222222221</v>
      </c>
    </row>
    <row r="7" spans="2:10">
      <c r="B7" s="6" t="s">
        <v>50</v>
      </c>
      <c r="C7" s="6" t="s">
        <v>51</v>
      </c>
      <c r="D7" s="6">
        <v>96</v>
      </c>
      <c r="E7" s="6" t="s">
        <v>16</v>
      </c>
      <c r="F7" s="28" t="s">
        <v>17</v>
      </c>
      <c r="G7" s="22">
        <v>0.65272019097876666</v>
      </c>
      <c r="H7" s="22" t="s">
        <v>25</v>
      </c>
      <c r="I7" s="16">
        <f t="shared" ref="I7:I12" si="1">J6</f>
        <v>0.7847222222222221</v>
      </c>
      <c r="J7" s="16">
        <f t="shared" si="0"/>
        <v>0.81191889684633733</v>
      </c>
    </row>
    <row r="8" spans="2:10">
      <c r="B8" s="6" t="s">
        <v>52</v>
      </c>
      <c r="C8" s="6" t="s">
        <v>53</v>
      </c>
      <c r="D8" s="6">
        <v>24</v>
      </c>
      <c r="E8" s="6" t="s">
        <v>16</v>
      </c>
      <c r="F8" s="28" t="s">
        <v>17</v>
      </c>
      <c r="G8" s="22">
        <v>0.46520146520146527</v>
      </c>
      <c r="H8" s="22" t="s">
        <v>25</v>
      </c>
      <c r="I8" s="16">
        <f t="shared" si="1"/>
        <v>0.81191889684633733</v>
      </c>
      <c r="J8" s="16">
        <f t="shared" si="0"/>
        <v>0.83130229122973176</v>
      </c>
    </row>
    <row r="9" spans="2:10">
      <c r="B9" s="6" t="s">
        <v>32</v>
      </c>
      <c r="C9" s="6" t="s">
        <v>54</v>
      </c>
      <c r="D9" s="6">
        <v>48</v>
      </c>
      <c r="E9" s="6" t="s">
        <v>16</v>
      </c>
      <c r="F9" s="28" t="s">
        <v>17</v>
      </c>
      <c r="G9" s="22">
        <v>0.24032738095238099</v>
      </c>
      <c r="H9" s="22" t="s">
        <v>25</v>
      </c>
      <c r="I9" s="16">
        <f t="shared" si="1"/>
        <v>0.83130229122973176</v>
      </c>
      <c r="J9" s="16">
        <f t="shared" si="0"/>
        <v>0.84131593210274769</v>
      </c>
    </row>
    <row r="10" spans="2:10">
      <c r="B10" s="6" t="s">
        <v>55</v>
      </c>
      <c r="C10" s="6" t="s">
        <v>56</v>
      </c>
      <c r="D10" s="6">
        <v>144</v>
      </c>
      <c r="E10" s="6" t="s">
        <v>16</v>
      </c>
      <c r="F10" s="28" t="s">
        <v>17</v>
      </c>
      <c r="G10" s="22">
        <v>0.3126984126984127</v>
      </c>
      <c r="H10" s="22" t="s">
        <v>25</v>
      </c>
      <c r="I10" s="16">
        <f>J9</f>
        <v>0.84131593210274769</v>
      </c>
      <c r="J10" s="16">
        <f t="shared" si="0"/>
        <v>0.85434503263184824</v>
      </c>
    </row>
    <row r="11" spans="2:10">
      <c r="B11" s="6" t="s">
        <v>47</v>
      </c>
      <c r="C11" s="6" t="s">
        <v>48</v>
      </c>
      <c r="D11" s="6">
        <v>240</v>
      </c>
      <c r="E11" s="6" t="s">
        <v>16</v>
      </c>
      <c r="F11" s="29">
        <v>45581.854398148149</v>
      </c>
      <c r="G11" s="22">
        <v>1.3637425534400189</v>
      </c>
      <c r="H11" s="22">
        <v>0.95569053459486664</v>
      </c>
      <c r="I11" s="16">
        <f t="shared" si="1"/>
        <v>0.85434503263184824</v>
      </c>
      <c r="J11" s="16">
        <f t="shared" si="0"/>
        <v>0.91116763902518239</v>
      </c>
    </row>
    <row r="12" spans="2:10">
      <c r="B12" s="6" t="s">
        <v>57</v>
      </c>
      <c r="C12" s="6" t="s">
        <v>58</v>
      </c>
      <c r="D12" s="6">
        <v>160</v>
      </c>
      <c r="E12" s="6" t="s">
        <v>16</v>
      </c>
      <c r="F12" s="29">
        <v>45581.934421296297</v>
      </c>
      <c r="G12" s="22">
        <v>0.56277056277056281</v>
      </c>
      <c r="H12" s="22" t="s">
        <v>25</v>
      </c>
      <c r="I12" s="16">
        <f t="shared" si="1"/>
        <v>0.91116763902518239</v>
      </c>
      <c r="J12" s="16">
        <f t="shared" si="0"/>
        <v>0.93461641247395588</v>
      </c>
    </row>
    <row r="17" spans="2:10">
      <c r="I17" s="2"/>
    </row>
    <row r="18" spans="2:10">
      <c r="B18" s="6" t="s">
        <v>20</v>
      </c>
      <c r="C18" s="6" t="s">
        <v>21</v>
      </c>
      <c r="D18" s="6" t="s">
        <v>13</v>
      </c>
      <c r="E18" s="6" t="s">
        <v>37</v>
      </c>
      <c r="F18" s="24" t="s">
        <v>22</v>
      </c>
      <c r="G18" s="22" t="s">
        <v>49</v>
      </c>
      <c r="H18" s="22" t="s">
        <v>39</v>
      </c>
      <c r="I18" s="6" t="s">
        <v>23</v>
      </c>
      <c r="J18" s="6" t="s">
        <v>24</v>
      </c>
    </row>
    <row r="19" spans="2:10">
      <c r="B19" s="6" t="s">
        <v>33</v>
      </c>
      <c r="C19" s="6" t="s">
        <v>44</v>
      </c>
      <c r="D19" s="6">
        <v>46</v>
      </c>
      <c r="E19" s="6" t="s">
        <v>19</v>
      </c>
      <c r="F19" s="28" t="s">
        <v>17</v>
      </c>
      <c r="G19" s="27">
        <v>0.75</v>
      </c>
      <c r="H19" s="27">
        <v>0.75</v>
      </c>
      <c r="I19" s="16">
        <v>0.72916666666666663</v>
      </c>
      <c r="J19" s="16">
        <f>I19+G19/24</f>
        <v>0.76041666666666663</v>
      </c>
    </row>
    <row r="20" spans="2:10">
      <c r="B20" s="6" t="s">
        <v>34</v>
      </c>
      <c r="C20" s="6" t="s">
        <v>45</v>
      </c>
      <c r="D20" s="6">
        <v>60</v>
      </c>
      <c r="E20" s="6" t="s">
        <v>19</v>
      </c>
      <c r="F20" s="28" t="s">
        <v>17</v>
      </c>
      <c r="G20" s="22">
        <v>0.72184429325396837</v>
      </c>
      <c r="H20" s="27">
        <v>0.75</v>
      </c>
      <c r="I20" s="16">
        <f t="shared" ref="I20:I21" si="2">J19</f>
        <v>0.76041666666666663</v>
      </c>
      <c r="J20" s="16">
        <f t="shared" ref="J20:J21" si="3">I20+G20/24</f>
        <v>0.79049351221891528</v>
      </c>
    </row>
    <row r="21" spans="2:10">
      <c r="B21" s="6" t="s">
        <v>28</v>
      </c>
      <c r="C21" s="6" t="s">
        <v>46</v>
      </c>
      <c r="D21" s="6">
        <v>48</v>
      </c>
      <c r="E21" s="6" t="s">
        <v>19</v>
      </c>
      <c r="F21" s="28" t="s">
        <v>17</v>
      </c>
      <c r="G21" s="22">
        <v>1.1933611768060515</v>
      </c>
      <c r="H21" s="22">
        <v>0.90150790855264284</v>
      </c>
      <c r="I21" s="16">
        <f t="shared" si="2"/>
        <v>0.79049351221891528</v>
      </c>
      <c r="J21" s="16">
        <f t="shared" si="3"/>
        <v>0.84021689458583415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21"/>
  <sheetViews>
    <sheetView workbookViewId="0">
      <selection activeCell="I9" sqref="I9"/>
    </sheetView>
    <sheetView workbookViewId="1">
      <selection activeCell="B16" sqref="B16"/>
    </sheetView>
  </sheetViews>
  <sheetFormatPr defaultRowHeight="18.75"/>
  <cols>
    <col min="2" max="2" width="14.37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8" max="8" width="15.125" bestFit="1" customWidth="1"/>
    <col min="9" max="9" width="13" bestFit="1" customWidth="1"/>
  </cols>
  <sheetData>
    <row r="1" spans="2:9">
      <c r="F1" s="25"/>
    </row>
    <row r="2" spans="2:9">
      <c r="F2" s="25"/>
      <c r="G2" s="21"/>
      <c r="H2" t="s">
        <v>10</v>
      </c>
    </row>
    <row r="3" spans="2:9">
      <c r="F3" s="25"/>
    </row>
    <row r="4" spans="2:9">
      <c r="F4" s="25"/>
    </row>
    <row r="5" spans="2:9">
      <c r="B5" s="6" t="s">
        <v>11</v>
      </c>
      <c r="C5" s="6" t="s">
        <v>12</v>
      </c>
      <c r="D5" s="6" t="s">
        <v>13</v>
      </c>
      <c r="E5" s="6" t="s">
        <v>37</v>
      </c>
      <c r="F5" s="26" t="s">
        <v>38</v>
      </c>
      <c r="G5" s="22" t="s">
        <v>39</v>
      </c>
      <c r="H5" s="6" t="s">
        <v>14</v>
      </c>
      <c r="I5" s="6" t="s">
        <v>15</v>
      </c>
    </row>
    <row r="6" spans="2:9">
      <c r="B6" s="6" t="s">
        <v>9</v>
      </c>
      <c r="C6" s="6" t="s">
        <v>29</v>
      </c>
      <c r="D6" s="6">
        <v>48</v>
      </c>
      <c r="E6" s="6" t="s">
        <v>18</v>
      </c>
      <c r="F6" s="28" t="s">
        <v>17</v>
      </c>
      <c r="G6" s="22">
        <v>0.84665545241210305</v>
      </c>
      <c r="H6" s="16">
        <v>0.72916666666666663</v>
      </c>
      <c r="I6" s="16">
        <f>H6+G6/24</f>
        <v>0.76444397718383761</v>
      </c>
    </row>
    <row r="7" spans="2:9">
      <c r="B7" s="6" t="s">
        <v>26</v>
      </c>
      <c r="C7" s="6" t="s">
        <v>30</v>
      </c>
      <c r="D7" s="6">
        <v>24</v>
      </c>
      <c r="E7" s="6" t="s">
        <v>19</v>
      </c>
      <c r="F7" s="28" t="s">
        <v>17</v>
      </c>
      <c r="G7" s="27">
        <v>0.75</v>
      </c>
      <c r="H7" s="16">
        <f>I6</f>
        <v>0.76444397718383761</v>
      </c>
      <c r="I7" s="16">
        <f>H7+G7/24</f>
        <v>0.79569397718383761</v>
      </c>
    </row>
    <row r="8" spans="2:9">
      <c r="B8" s="6" t="s">
        <v>31</v>
      </c>
      <c r="C8" s="6" t="s">
        <v>40</v>
      </c>
      <c r="D8" s="6">
        <v>48</v>
      </c>
      <c r="E8" s="6" t="s">
        <v>16</v>
      </c>
      <c r="F8" s="28" t="s">
        <v>17</v>
      </c>
      <c r="G8" s="22">
        <v>1.2625482625482627</v>
      </c>
      <c r="H8" s="16">
        <f t="shared" ref="H8:H21" si="0">I7</f>
        <v>0.79569397718383761</v>
      </c>
      <c r="I8" s="16">
        <f t="shared" ref="I8:I21" si="1">H8+G8/24</f>
        <v>0.84830015479001519</v>
      </c>
    </row>
    <row r="9" spans="2:9">
      <c r="B9" s="6" t="s">
        <v>9</v>
      </c>
      <c r="C9" s="6" t="s">
        <v>41</v>
      </c>
      <c r="D9" s="6">
        <v>48</v>
      </c>
      <c r="E9" s="6" t="s">
        <v>18</v>
      </c>
      <c r="F9" s="28" t="s">
        <v>17</v>
      </c>
      <c r="G9" s="22">
        <v>0.84665545241210305</v>
      </c>
      <c r="H9" s="16">
        <f t="shared" si="0"/>
        <v>0.84830015479001519</v>
      </c>
      <c r="I9" s="16">
        <f t="shared" si="1"/>
        <v>0.88357746530718617</v>
      </c>
    </row>
    <row r="10" spans="2:9">
      <c r="B10" s="6" t="s">
        <v>27</v>
      </c>
      <c r="C10" s="6" t="s">
        <v>42</v>
      </c>
      <c r="D10" s="6">
        <v>60</v>
      </c>
      <c r="E10" s="6" t="s">
        <v>19</v>
      </c>
      <c r="F10" s="28" t="s">
        <v>17</v>
      </c>
      <c r="G10" s="22">
        <v>0.43721877465719833</v>
      </c>
      <c r="H10" s="16">
        <f t="shared" si="0"/>
        <v>0.88357746530718617</v>
      </c>
      <c r="I10" s="16">
        <f t="shared" si="1"/>
        <v>0.90179491425123615</v>
      </c>
    </row>
    <row r="11" spans="2:9">
      <c r="B11" s="6" t="s">
        <v>8</v>
      </c>
      <c r="C11" s="6" t="s">
        <v>43</v>
      </c>
      <c r="D11" s="6">
        <v>144</v>
      </c>
      <c r="E11" s="6" t="s">
        <v>18</v>
      </c>
      <c r="F11" s="26">
        <v>0.7847222222222221</v>
      </c>
      <c r="G11" s="22">
        <v>1.0952380952380953</v>
      </c>
      <c r="H11" s="16">
        <f t="shared" si="0"/>
        <v>0.90179491425123615</v>
      </c>
      <c r="I11" s="16">
        <f t="shared" si="1"/>
        <v>0.94742983488615673</v>
      </c>
    </row>
    <row r="12" spans="2:9">
      <c r="B12" s="6" t="s">
        <v>33</v>
      </c>
      <c r="C12" s="6" t="s">
        <v>44</v>
      </c>
      <c r="D12" s="6">
        <v>46</v>
      </c>
      <c r="E12" s="6" t="s">
        <v>19</v>
      </c>
      <c r="F12" s="26">
        <v>0.76041666666666663</v>
      </c>
      <c r="G12" s="27">
        <v>0.75</v>
      </c>
      <c r="H12" s="16">
        <f t="shared" si="0"/>
        <v>0.94742983488615673</v>
      </c>
      <c r="I12" s="16">
        <f t="shared" si="1"/>
        <v>0.97867983488615673</v>
      </c>
    </row>
    <row r="13" spans="2:9">
      <c r="B13" s="6" t="s">
        <v>34</v>
      </c>
      <c r="C13" s="6" t="s">
        <v>45</v>
      </c>
      <c r="D13" s="6">
        <v>60</v>
      </c>
      <c r="E13" s="6" t="s">
        <v>19</v>
      </c>
      <c r="F13" s="26">
        <v>0.79049351221891528</v>
      </c>
      <c r="G13" s="27">
        <v>0.75</v>
      </c>
      <c r="H13" s="16">
        <f t="shared" si="0"/>
        <v>0.97867983488615673</v>
      </c>
      <c r="I13" s="16">
        <f t="shared" si="1"/>
        <v>1.0099298348861567</v>
      </c>
    </row>
    <row r="14" spans="2:9">
      <c r="B14" s="6" t="s">
        <v>28</v>
      </c>
      <c r="C14" s="6" t="s">
        <v>46</v>
      </c>
      <c r="D14" s="6">
        <v>48</v>
      </c>
      <c r="E14" s="6" t="s">
        <v>19</v>
      </c>
      <c r="F14" s="26">
        <v>0.84021689458583415</v>
      </c>
      <c r="G14" s="22">
        <v>0.90150790855264284</v>
      </c>
      <c r="H14" s="16">
        <f t="shared" si="0"/>
        <v>1.0099298348861567</v>
      </c>
      <c r="I14" s="16">
        <f t="shared" si="1"/>
        <v>1.0474926644091835</v>
      </c>
    </row>
    <row r="15" spans="2:9">
      <c r="B15" s="6" t="s">
        <v>47</v>
      </c>
      <c r="C15" s="6" t="s">
        <v>48</v>
      </c>
      <c r="D15" s="6">
        <v>240</v>
      </c>
      <c r="E15" s="6" t="s">
        <v>16</v>
      </c>
      <c r="F15" s="26">
        <v>0.91116763902518239</v>
      </c>
      <c r="G15" s="22">
        <v>0.95569053459486664</v>
      </c>
      <c r="H15" s="16">
        <f t="shared" si="0"/>
        <v>1.0474926644091835</v>
      </c>
      <c r="I15" s="16">
        <f t="shared" si="1"/>
        <v>1.0873131033506362</v>
      </c>
    </row>
    <row r="16" spans="2:9">
      <c r="B16" s="6"/>
      <c r="C16" s="6"/>
      <c r="D16" s="6"/>
      <c r="E16" s="16"/>
      <c r="F16" s="26"/>
      <c r="G16" s="22"/>
      <c r="H16" s="16">
        <f t="shared" si="0"/>
        <v>1.0873131033506362</v>
      </c>
      <c r="I16" s="16">
        <f t="shared" si="1"/>
        <v>1.0873131033506362</v>
      </c>
    </row>
    <row r="17" spans="2:9">
      <c r="B17" s="6"/>
      <c r="C17" s="6"/>
      <c r="D17" s="6"/>
      <c r="E17" s="6"/>
      <c r="F17" s="26"/>
      <c r="G17" s="22"/>
      <c r="H17" s="16">
        <f t="shared" si="0"/>
        <v>1.0873131033506362</v>
      </c>
      <c r="I17" s="16">
        <f t="shared" si="1"/>
        <v>1.0873131033506362</v>
      </c>
    </row>
    <row r="18" spans="2:9">
      <c r="B18" s="6"/>
      <c r="C18" s="6"/>
      <c r="D18" s="6"/>
      <c r="E18" s="6"/>
      <c r="F18" s="26"/>
      <c r="G18" s="22"/>
      <c r="H18" s="16">
        <f t="shared" si="0"/>
        <v>1.0873131033506362</v>
      </c>
      <c r="I18" s="16">
        <f t="shared" si="1"/>
        <v>1.0873131033506362</v>
      </c>
    </row>
    <row r="19" spans="2:9">
      <c r="B19" s="6"/>
      <c r="C19" s="6"/>
      <c r="D19" s="6"/>
      <c r="E19" s="6"/>
      <c r="F19" s="26"/>
      <c r="G19" s="22"/>
      <c r="H19" s="16">
        <f t="shared" si="0"/>
        <v>1.0873131033506362</v>
      </c>
      <c r="I19" s="16">
        <f t="shared" si="1"/>
        <v>1.0873131033506362</v>
      </c>
    </row>
    <row r="20" spans="2:9">
      <c r="B20" s="6"/>
      <c r="C20" s="6"/>
      <c r="D20" s="6"/>
      <c r="E20" s="6"/>
      <c r="F20" s="26"/>
      <c r="G20" s="22"/>
      <c r="H20" s="16">
        <f t="shared" si="0"/>
        <v>1.0873131033506362</v>
      </c>
      <c r="I20" s="16">
        <f t="shared" si="1"/>
        <v>1.0873131033506362</v>
      </c>
    </row>
    <row r="21" spans="2:9">
      <c r="B21" s="6"/>
      <c r="C21" s="6"/>
      <c r="D21" s="6"/>
      <c r="E21" s="6"/>
      <c r="F21" s="26"/>
      <c r="G21" s="22"/>
      <c r="H21" s="16">
        <f t="shared" si="0"/>
        <v>1.0873131033506362</v>
      </c>
      <c r="I21" s="16">
        <f t="shared" si="1"/>
        <v>1.0873131033506362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223D8E-7C19-4A0E-A953-8D1C3ECC35E1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2024-10-16T23:53:51Z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