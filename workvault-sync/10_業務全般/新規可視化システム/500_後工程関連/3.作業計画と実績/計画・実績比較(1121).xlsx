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9" documentId="8_{6B923446-E810-4410-BA16-94CA4DD805CB}" xr6:coauthVersionLast="47" xr6:coauthVersionMax="47" xr10:uidLastSave="{044B2F46-E5D7-435D-AE1F-063C539F538B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<sst xmlns="http://schemas.openxmlformats.org/spreadsheetml/2006/main" count="85" uniqueCount="26">
  <si>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</si>
  <si>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</si>
  <si>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</si>
  <si>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</si>
  <si>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</si>
  <si>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</si>
  <si>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</si>
  <si>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</si>
  <si>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</si>
  <si>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UR-0486</t>
  </si>
  <si>
    <t>UR-0481-01</t>
  </si>
  <si>
    <t>UR-0476</t>
  </si>
  <si>
    <t>UR-0511</t>
  </si>
  <si>
    <t>UR-05091-03</t>
  </si>
  <si>
    <t>UR-0505</t>
  </si>
  <si>
    <t>UR-0488-01</t>
  </si>
  <si>
    <t>UR-4329-03</t>
  </si>
  <si>
    <t>UR-0509-02</t>
  </si>
  <si>
    <t>UT-2508</t>
  </si>
  <si>
    <t>実績</t>
    <rPh sb="0" eb="2">
      <t>ジッセキ</t>
    </rPh>
    <phoneticPr fontId="2"/>
  </si>
  <si>
    <t>UR-0483</t>
  </si>
  <si>
    <t>UR-0480</t>
  </si>
  <si>
    <t>UR-0493</t>
  </si>
  <si>
    <t>UR-4207-02</t>
  </si>
  <si>
    <t>UR-0550</t>
  </si>
  <si>
    <t>UR-0524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</si>
</sst>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7" fillId="0" borderId="1" xfId="0" applyFont="1" applyBorder="1">
      <alignment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AU4" activePane="bottomRight" state="frozen"/>
      <selection pane="topRight" activeCell="G1" sqref="G1"/>
      <selection pane="bottomLeft" activeCell="A4" sqref="A4"/>
      <selection pane="bottomRight" activeCell="F13" sqref="F1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23</v>
      </c>
      <c r="C4" s="6">
        <v>211992467</v>
      </c>
      <c r="D4" s="6" t="s">
        <v>19</v>
      </c>
      <c r="E4" s="7">
        <v>0.72445601851851849</v>
      </c>
      <c r="F4" s="7">
        <v>0.75070601851851848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16</v>
      </c>
      <c r="C6" s="6">
        <v>211993727</v>
      </c>
      <c r="D6" s="6" t="s">
        <v>19</v>
      </c>
      <c r="E6" s="7">
        <v>0.75443287037037032</v>
      </c>
      <c r="F6" s="7">
        <v>0.7562268518518519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16</v>
      </c>
      <c r="C8" s="6">
        <v>211993728</v>
      </c>
      <c r="D8" s="6" t="s">
        <v>19</v>
      </c>
      <c r="E8" s="7">
        <v>0.75847222222222221</v>
      </c>
      <c r="F8" s="7">
        <v>0.76222222222222225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24</v>
      </c>
      <c r="C10" s="6">
        <v>211992462</v>
      </c>
      <c r="D10" s="6" t="s">
        <v>19</v>
      </c>
      <c r="E10" s="7">
        <v>0.76236111111111116</v>
      </c>
      <c r="F10" s="7">
        <v>0.78609953703703705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19</v>
      </c>
      <c r="E11" s="7">
        <v>0.78630787037037042</v>
      </c>
      <c r="F11" s="7">
        <v>0.80249999999999999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25</v>
      </c>
      <c r="C13" s="6">
        <v>211992864</v>
      </c>
      <c r="D13" s="6" t="s">
        <v>19</v>
      </c>
      <c r="E13" s="7">
        <v>1.4699074074074074E-3</v>
      </c>
      <c r="F13" s="7">
        <v>3.8680555555555558E-2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8"/>
      <c r="F18" s="9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9" priority="5">
      <formula>AND($D4="計画", $E4 &lt;= F$3, F$3 &lt; $F4 + IF($F4 &lt; $E4, 1, 0))</formula>
    </cfRule>
  </conditionalFormatting>
  <conditionalFormatting sqref="H4:DH134">
    <cfRule type="expression" dxfId="8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17" sqref="D17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15</v>
      </c>
      <c r="C4" s="6">
        <v>211989665</v>
      </c>
      <c r="D4" s="6" t="s">
        <v>19</v>
      </c>
      <c r="E4" s="7">
        <v>0.80943287037037037</v>
      </c>
      <c r="F4" s="7">
        <v>0.87601851851851853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9</v>
      </c>
      <c r="C6" s="6">
        <v>211992860</v>
      </c>
      <c r="D6" s="6" t="s">
        <v>19</v>
      </c>
      <c r="E6" s="7">
        <v>0.96280092592592592</v>
      </c>
      <c r="F6" s="7">
        <v>0.96481481481481479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14</v>
      </c>
      <c r="C8" s="6">
        <v>211992862</v>
      </c>
      <c r="D8" s="6" t="s">
        <v>19</v>
      </c>
      <c r="E8" s="7">
        <v>0.98363425925925929</v>
      </c>
      <c r="F8" s="7">
        <v>0.98833333333333329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20</v>
      </c>
      <c r="C10" s="6">
        <v>211992859</v>
      </c>
      <c r="D10" s="6" t="s">
        <v>19</v>
      </c>
      <c r="E10" s="7">
        <v>0.98848379629629635</v>
      </c>
      <c r="F10" s="7">
        <v>0.9993171296296296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20</v>
      </c>
      <c r="C11" s="6">
        <v>211992859</v>
      </c>
      <c r="D11" s="6" t="s">
        <v>19</v>
      </c>
      <c r="E11" s="7">
        <v>2.4837962962962964E-2</v>
      </c>
      <c r="F11" s="7">
        <v>3.2210648148148148E-2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21</v>
      </c>
      <c r="C13" s="6">
        <v>211992857</v>
      </c>
      <c r="D13" s="6" t="s">
        <v>19</v>
      </c>
      <c r="E13" s="7">
        <v>1.3958333333333333E-2</v>
      </c>
      <c r="F13" s="7">
        <v>2.0983796296296296E-2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22</v>
      </c>
      <c r="C15" s="6">
        <v>211992861</v>
      </c>
      <c r="D15" s="6" t="s">
        <v>19</v>
      </c>
      <c r="E15" s="7">
        <v>2.1168981481481483E-2</v>
      </c>
      <c r="F15" s="7">
        <v>2.2650462962962963E-2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11</v>
      </c>
      <c r="C17" s="6">
        <v>211992856</v>
      </c>
      <c r="D17" s="6" t="s">
        <v>19</v>
      </c>
      <c r="E17" s="7">
        <v>2.2766203703703705E-2</v>
      </c>
      <c r="F17" s="7">
        <v>2.4641203703703703E-2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5" sqref="D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13</v>
      </c>
      <c r="C4" s="6">
        <v>211990201</v>
      </c>
      <c r="D4" s="6" t="s">
        <v>19</v>
      </c>
      <c r="E4" s="7">
        <v>0.8580902777777778</v>
      </c>
      <c r="F4" s="7">
        <v>0.96839120370370368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19</v>
      </c>
      <c r="E5" s="7">
        <v>0.96863425925925928</v>
      </c>
      <c r="F5" s="7">
        <v>0.97552083333333328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D22" sqref="D2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9</v>
      </c>
      <c r="C4" s="6">
        <v>211992457</v>
      </c>
      <c r="D4" s="6" t="s">
        <v>19</v>
      </c>
      <c r="E4" s="7">
        <v>0.72174768518518517</v>
      </c>
      <c r="F4" s="7">
        <v>0.73217592592592595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15</v>
      </c>
      <c r="C6" s="6">
        <v>211989664</v>
      </c>
      <c r="D6" s="6" t="s">
        <v>19</v>
      </c>
      <c r="E6" s="7">
        <v>0.7329282407407407</v>
      </c>
      <c r="F6" s="7">
        <v>0.74575231481481485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16</v>
      </c>
      <c r="C8" s="6">
        <v>211993727</v>
      </c>
      <c r="D8" s="6" t="s">
        <v>19</v>
      </c>
      <c r="E8" s="7">
        <v>0.76208333333333333</v>
      </c>
      <c r="F8" s="7">
        <v>0.85910879629629633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24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16</v>
      </c>
      <c r="C10" s="6">
        <v>211993728</v>
      </c>
      <c r="D10" s="6" t="s">
        <v>19</v>
      </c>
      <c r="E10" s="7">
        <v>0.86295138888888889</v>
      </c>
      <c r="F10" s="7">
        <v>0.93574074074074076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24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17</v>
      </c>
      <c r="C12" s="6">
        <v>211992460</v>
      </c>
      <c r="D12" s="6" t="s">
        <v>19</v>
      </c>
      <c r="E12" s="7">
        <v>0.92072916666666671</v>
      </c>
      <c r="F12" s="7">
        <v>0.93208333333333337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17</v>
      </c>
      <c r="C14" s="6">
        <v>211992461</v>
      </c>
      <c r="D14" s="6" t="s">
        <v>19</v>
      </c>
      <c r="E14" s="7">
        <v>0.93296296296296299</v>
      </c>
      <c r="F14" s="7">
        <v>0.95224537037037038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18</v>
      </c>
      <c r="C16" s="6">
        <v>211992486</v>
      </c>
      <c r="D16" s="6" t="s">
        <v>19</v>
      </c>
      <c r="E16" s="7">
        <v>0.95366898148148149</v>
      </c>
      <c r="F16" s="7">
        <v>0.97917824074074078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12</v>
      </c>
      <c r="C18" s="6">
        <v>211992911</v>
      </c>
      <c r="D18" s="6" t="s">
        <v>19</v>
      </c>
      <c r="E18" s="7">
        <v>0.95424768518518521</v>
      </c>
      <c r="F18" s="7">
        <v>0.97844907407407411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10</v>
      </c>
      <c r="C20" s="6">
        <v>211992858</v>
      </c>
      <c r="D20" s="6" t="s">
        <v>19</v>
      </c>
      <c r="E20" s="7">
        <v>0.9786111111111111</v>
      </c>
      <c r="F20" s="7">
        <v>3.3333333333333333E-2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13</v>
      </c>
      <c r="C22" s="6">
        <v>211990201</v>
      </c>
      <c r="D22" s="6" t="s">
        <v>19</v>
      </c>
      <c r="E22" s="7">
        <v>0.97995370370370372</v>
      </c>
      <c r="F22" s="7">
        <v>3.5069444444444445E-2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9 C15 C17 C5 C13 C11 C7 C9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10ACF460-DF19-4CE7-8BF9-C22AD83B523E}"/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2024-11-21T23:36:50Z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