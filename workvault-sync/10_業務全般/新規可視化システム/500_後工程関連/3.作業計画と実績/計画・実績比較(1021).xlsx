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23" documentId="8_{FF6264FA-737A-421E-922A-24C90133BAA9}" xr6:coauthVersionLast="47" xr6:coauthVersionMax="47" xr10:uidLastSave="{A3613A1E-2760-4C01-AB7D-1585FAF8D371}"/>
  <bookViews>
    <workbookView xWindow="20370" yWindow="-4650" windowWidth="29040" windowHeight="15840" xr2:uid="{66D40786-C3EF-4208-8AC5-A8E28D46B20B}"/>
    <workbookView xWindow="-120" yWindow="-120" windowWidth="20730" windowHeight="11160" activeTab="4" xr2:uid="{5A5E0B32-2F09-43AB-9E5B-DE53E3BE1A3D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6" l="1"/>
  <c r="J18" i="6"/>
  <c r="I17" i="6"/>
  <c r="J17" i="6" s="1"/>
  <c r="J16" i="6"/>
  <c r="J6" i="6"/>
  <c r="I7" i="6" s="1"/>
  <c r="J7" i="6" s="1"/>
  <c r="I8" i="6" s="1"/>
  <c r="J8" i="6" s="1"/>
  <c r="I9" i="6" s="1"/>
  <c r="J9" i="6" s="1"/>
  <c r="I10" i="6" s="1"/>
  <c r="J10" i="6" s="1"/>
  <c r="H7" i="5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H15" i="5" s="1"/>
  <c r="I15" i="5" s="1"/>
  <c r="H16" i="5" s="1"/>
  <c r="I16" i="5" s="1"/>
  <c r="H17" i="5" s="1"/>
  <c r="I17" i="5" s="1"/>
  <c r="H18" i="5" s="1"/>
  <c r="I18" i="5" s="1"/>
</calcChain>
</file>

<file path=xl/sharedStrings.xml><?xml version="1.0" encoding="utf-8"?>
<sst xmlns="http://schemas.openxmlformats.org/spreadsheetml/2006/main" count="221" uniqueCount="69">
  <si>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</si>
  <si>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</si>
  <si>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</si>
  <si>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</si>
  <si>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</si>
  <si>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</si>
  <si>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</si>
  <si>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</si>
  <si>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</si>
  <si>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UTS-0967-01</t>
  </si>
  <si>
    <t>211981416</t>
  </si>
  <si>
    <t>UR-06101-01</t>
  </si>
  <si>
    <t>UR-0605</t>
  </si>
  <si>
    <t>211980999</t>
  </si>
  <si>
    <t>UR-0553</t>
  </si>
  <si>
    <t>211981433</t>
  </si>
  <si>
    <t>211978921</t>
  </si>
  <si>
    <t>211980556</t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</si>
  <si>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</si>
  <si>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</si>
  <si>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</si>
  <si>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</si>
  <si>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</si>
  <si>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</si>
  <si>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</si>
  <si>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</si>
  <si>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</si>
  <si>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</si>
  <si>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</si>
  <si>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</si>
  <si>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Line-3</t>
  </si>
  <si>
    <t>―</t>
  </si>
  <si>
    <t>Line-2</t>
  </si>
  <si>
    <t>TypeID</t>
  </si>
  <si>
    <t>orderNumber</t>
  </si>
  <si>
    <t>AOI終了予定時刻</t>
    <rPh sb="3" eb="5">
      <t>シュウリョウ</t>
    </rPh>
    <rPh sb="5" eb="9">
      <t>ヨテイジコク</t>
    </rPh>
    <phoneticPr fontId="9"/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</si>
  <si>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</si>
  <si>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</si>
  <si>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10/21 目視</t>
    <phoneticPr fontId="2"/>
  </si>
  <si>
    <t>URS-4531</t>
  </si>
  <si>
    <t>211982149</t>
  </si>
  <si>
    <t>UR-0598</t>
  </si>
  <si>
    <t>211978925</t>
  </si>
  <si>
    <t>110012121</t>
  </si>
  <si>
    <t>UT-2507-01</t>
  </si>
  <si>
    <t>211982150</t>
  </si>
  <si>
    <t>211980557</t>
  </si>
  <si>
    <t>211978922</t>
  </si>
  <si>
    <t>UR-0552</t>
  </si>
  <si>
    <t>211982135</t>
  </si>
  <si>
    <t>UR-0550</t>
  </si>
  <si>
    <t>211982134</t>
  </si>
  <si>
    <t>UR-4424</t>
  </si>
  <si>
    <t>211973514</t>
  </si>
  <si>
    <t>UR-4435</t>
  </si>
  <si>
    <t>211982138</t>
  </si>
  <si>
    <t>URS-0419</t>
  </si>
  <si>
    <t>211982122</t>
  </si>
  <si>
    <t>UR-0559-06</t>
  </si>
  <si>
    <t>実績</t>
    <rPh sb="0" eb="2">
      <t>ジッセキ</t>
    </rPh>
    <phoneticPr fontId="2"/>
  </si>
  <si>
    <t>計画</t>
    <rPh sb="0" eb="2">
      <t>ケイカク</t>
    </rPh>
    <phoneticPr fontId="2"/>
  </si>
  <si>
    <t>UR-0559-06</t>
    <phoneticPr fontId="2"/>
  </si>
  <si>
    <t>計画外</t>
    <rPh sb="0" eb="3">
      <t>ケイカクガイ</t>
    </rPh>
    <phoneticPr fontId="2"/>
  </si>
  <si>
    <t>実績なし</t>
    <rPh sb="0" eb="2">
      <t>ジッセキ</t>
    </rPh>
    <phoneticPr fontId="2"/>
  </si>
  <si>
    <t>実績</t>
    <rPh sb="0" eb="2">
      <t>ジッセキ</t>
    </rPh>
    <phoneticPr fontId="2"/>
  </si>
  <si>
    <t>計画</t>
    <rPh sb="0" eb="2">
      <t>ケイカク</t>
    </rPh>
    <phoneticPr fontId="2"/>
  </si>
  <si>
    <t>実績データなし</t>
    <rPh sb="0" eb="2">
      <t>ジッセキ</t>
    </rPh>
    <phoneticPr fontId="2"/>
  </si>
  <si>
    <t>１号機で計画</t>
    <rPh sb="1" eb="3">
      <t>ゴウキ</t>
    </rPh>
    <rPh sb="4" eb="6">
      <t>ケイカク</t>
    </rPh>
    <phoneticPr fontId="2"/>
  </si>
  <si>
    <t>実績データなし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</si>
</sst>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7" fillId="0" borderId="1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176" fontId="7" fillId="3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358588</xdr:colOff>
      <xdr:row>4</xdr:row>
      <xdr:rowOff>89648</xdr:rowOff>
    </xdr:from>
    <xdr:to>
      <xdr:col>5</xdr:col>
      <xdr:colOff>22412</xdr:colOff>
      <xdr:row>6</xdr:row>
      <xdr:rowOff>134472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EDB26F4-04D6-D41C-3A55-ABAACC190485}"/>
            </a:ext>
          </a:extLst>
        </xdr:cNvPr>
        <xdr:cNvSpPr txBox="1"/>
      </xdr:nvSpPr>
      <xdr:spPr>
        <a:xfrm>
          <a:off x="661147" y="1154207"/>
          <a:ext cx="2846294" cy="582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rgbClr val="FF0000"/>
              </a:solidFill>
            </a:rPr>
            <a:t>アンローダー故障中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42EF1C3-42F4-41B7-836F-70D904AD5901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11</xdr:row>
      <xdr:rowOff>0</xdr:rowOff>
    </xdr:from>
    <xdr:to>
      <xdr:col>6</xdr:col>
      <xdr:colOff>0</xdr:colOff>
      <xdr:row>13</xdr:row>
      <xdr:rowOff>28161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1C7AE95-08FE-43D7-A247-A223E8FC5AC5}"/>
            </a:ext>
          </a:extLst>
        </xdr:cNvPr>
        <xdr:cNvSpPr txBox="1"/>
      </xdr:nvSpPr>
      <xdr:spPr>
        <a:xfrm>
          <a:off x="780222" y="26193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B4CA94C-4310-4ECD-9938-531CD61ECF31}"/>
            </a:ext>
          </a:extLst>
        </xdr:cNvPr>
        <xdr:cNvSpPr txBox="1"/>
      </xdr:nvSpPr>
      <xdr:spPr>
        <a:xfrm>
          <a:off x="702365" y="6553615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G4" sqref="G4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58</v>
      </c>
      <c r="C4" s="6">
        <v>110012121</v>
      </c>
      <c r="D4" s="6" t="s">
        <v>64</v>
      </c>
      <c r="E4" s="7">
        <v>0.72241898148148154</v>
      </c>
      <c r="F4" s="7">
        <v>0.72613425925925923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65</v>
      </c>
      <c r="E5" s="7">
        <v>0.75</v>
      </c>
      <c r="F5" s="7">
        <v>0.77828273412698412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52</v>
      </c>
      <c r="C6" s="6">
        <v>211973514</v>
      </c>
      <c r="D6" s="6" t="s">
        <v>59</v>
      </c>
      <c r="E6" s="7">
        <v>0.74498842592592596</v>
      </c>
      <c r="F6" s="7">
        <v>0.76483796296296291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59</v>
      </c>
      <c r="E7" s="7">
        <v>0.76799768518518519</v>
      </c>
      <c r="F7" s="7">
        <v>0.78031249999999996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65</v>
      </c>
      <c r="E8" s="7">
        <v>0.77828273412698412</v>
      </c>
      <c r="F8" s="7">
        <v>0.9136389091173055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8</v>
      </c>
      <c r="C9" s="6">
        <v>211980557</v>
      </c>
      <c r="D9" s="6" t="s">
        <v>59</v>
      </c>
      <c r="E9" s="7">
        <v>0.80429398148148146</v>
      </c>
      <c r="F9" s="7">
        <v>0.91065972222222225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59</v>
      </c>
      <c r="E10" s="7">
        <v>0.93744212962962958</v>
      </c>
      <c r="F10" s="7">
        <v>0.95526620370370374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65</v>
      </c>
      <c r="E11" s="7">
        <v>0.93100002022841666</v>
      </c>
      <c r="F11" s="7">
        <v>1.0321904964188928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66</v>
      </c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54</v>
      </c>
      <c r="C14" s="6" t="s">
        <v>55</v>
      </c>
      <c r="D14" s="6" t="s">
        <v>65</v>
      </c>
      <c r="E14" s="7">
        <v>0.9136389091173055</v>
      </c>
      <c r="F14" s="7">
        <v>0.93100002022841666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5" priority="5">
      <formula>AND($D4="計画", $E4 &lt;= F$3, F$3 &lt; $F4 + IF($F4 &lt; $E4, 1, 0))</formula>
    </cfRule>
  </conditionalFormatting>
  <conditionalFormatting sqref="H4:DH134">
    <cfRule type="expression" dxfId="14" priority="6">
      <formula>AND($D4="実績", $E4 &lt;= G$3, G$3 &lt; $F4 + IF($F4 &lt; $E4, 1, 0))</formula>
    </cfRule>
  </conditionalFormatting>
  <conditionalFormatting sqref="C14">
    <cfRule type="duplicateValues" dxfId="2" priority="1"/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selection activeCell="D18" sqref="D18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12</v>
      </c>
      <c r="C4" s="6">
        <v>211982136</v>
      </c>
      <c r="D4" s="6" t="s">
        <v>59</v>
      </c>
      <c r="E4" s="7">
        <v>0.7286111111111111</v>
      </c>
      <c r="F4" s="7">
        <v>0.73685185185185187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59</v>
      </c>
      <c r="E5" s="7">
        <v>0.73711805555555554</v>
      </c>
      <c r="F5" s="7">
        <v>0.74041666666666661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30"/>
      <c r="C6" s="28" t="s">
        <v>62</v>
      </c>
      <c r="D6" s="30" t="s">
        <v>60</v>
      </c>
      <c r="E6" s="31"/>
      <c r="F6" s="31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56</v>
      </c>
      <c r="C7" s="6">
        <v>211982122</v>
      </c>
      <c r="D7" s="6" t="s">
        <v>59</v>
      </c>
      <c r="E7" s="7">
        <v>0.80068287037037034</v>
      </c>
      <c r="F7" s="7">
        <v>0.80333333333333334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30"/>
      <c r="C8" s="30"/>
      <c r="D8" s="30" t="s">
        <v>60</v>
      </c>
      <c r="E8" s="31">
        <v>0.79563492063492069</v>
      </c>
      <c r="F8" s="31">
        <v>0.80637046485260777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48</v>
      </c>
      <c r="C9" s="6">
        <v>211982135</v>
      </c>
      <c r="D9" s="6" t="s">
        <v>59</v>
      </c>
      <c r="E9" s="7">
        <v>0.91173611111111108</v>
      </c>
      <c r="F9" s="7">
        <v>0.91186342592592595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59</v>
      </c>
      <c r="E10" s="7">
        <v>0.91200231481481486</v>
      </c>
      <c r="F10" s="7">
        <v>0.92289351851851853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30"/>
      <c r="C11" s="30"/>
      <c r="D11" s="30" t="s">
        <v>60</v>
      </c>
      <c r="E11" s="31">
        <v>45586.850439814814</v>
      </c>
      <c r="F11" s="31">
        <v>45586.868119803476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11</v>
      </c>
      <c r="C12" s="6">
        <v>211978922</v>
      </c>
      <c r="D12" s="6" t="s">
        <v>59</v>
      </c>
      <c r="E12" s="7">
        <v>0.92303240740740744</v>
      </c>
      <c r="F12" s="7">
        <v>0.93405092592592598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59</v>
      </c>
      <c r="E13" s="7">
        <v>0.95894675925925921</v>
      </c>
      <c r="F13" s="7">
        <v>0.96625000000000005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30"/>
      <c r="C14" s="28" t="s">
        <v>67</v>
      </c>
      <c r="D14" s="30" t="s">
        <v>60</v>
      </c>
      <c r="E14" s="31">
        <v>1.0321904964188928</v>
      </c>
      <c r="F14" s="31">
        <v>1.0636155028220937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30"/>
      <c r="C15" s="30"/>
      <c r="D15" s="30"/>
      <c r="E15" s="31"/>
      <c r="F15" s="31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30" t="s">
        <v>68</v>
      </c>
      <c r="C16" s="30"/>
      <c r="D16" s="30"/>
      <c r="E16" s="31"/>
      <c r="F16" s="31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44</v>
      </c>
      <c r="C17" s="6" t="s">
        <v>45</v>
      </c>
      <c r="D17" s="6" t="s">
        <v>60</v>
      </c>
      <c r="E17" s="7">
        <v>0.75</v>
      </c>
      <c r="F17" s="7">
        <v>0.79563492063492069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50</v>
      </c>
      <c r="C18" s="6" t="s">
        <v>51</v>
      </c>
      <c r="D18" s="6" t="s">
        <v>60</v>
      </c>
      <c r="E18" s="16">
        <v>45586.935752314814</v>
      </c>
      <c r="F18" s="16">
        <v>45587.024244378306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13" priority="3">
      <formula>AND($D4="計画", $E4 &lt;= G$3, G$3 &lt; $F4 + IF($F4 &lt; $E4, 1, 0))</formula>
    </cfRule>
    <cfRule type="expression" dxfId="12" priority="4">
      <formula>AND($D4="実績", $E4 &lt;= G$3, G$3 &lt; $F4 + IF($F4 &lt; $E4, 1, 0))</formula>
    </cfRule>
  </conditionalFormatting>
  <conditionalFormatting sqref="C17">
    <cfRule type="duplicateValues" dxfId="1" priority="2"/>
  </conditionalFormatting>
  <conditionalFormatting sqref="C18">
    <cfRule type="duplicateValues" dxfId="0" priority="1"/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/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11" priority="1">
      <formula>AND($D4="計画", $E4 &lt;= G$3, G$3 &lt; $F4 + IF($F4 &lt; $E4, 1, 0))</formula>
    </cfRule>
    <cfRule type="expression" dxfId="1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U9" activePane="bottomRight" state="frozen"/>
      <selection pane="topRight" activeCell="G1" sqref="G1"/>
      <selection pane="bottomLeft" activeCell="A4" sqref="A4"/>
      <selection pane="bottomRight" activeCell="CV3" sqref="CV3:DH3"/>
    </sheetView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38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11</v>
      </c>
      <c r="C4" s="6">
        <v>211978921</v>
      </c>
      <c r="D4" s="6" t="s">
        <v>59</v>
      </c>
      <c r="E4" s="7">
        <v>0.75126157407407412</v>
      </c>
      <c r="F4" s="7">
        <v>0.7514467592592593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60</v>
      </c>
      <c r="E5" s="7">
        <v>0.77492559523809523</v>
      </c>
      <c r="F5" s="7">
        <v>0.81020290575526621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14</v>
      </c>
      <c r="C6" s="6">
        <v>211981433</v>
      </c>
      <c r="D6" s="6" t="s">
        <v>59</v>
      </c>
      <c r="E6" s="7">
        <v>0.75747685185185187</v>
      </c>
      <c r="F6" s="7">
        <v>0.76820601851851855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 t="s">
        <v>60</v>
      </c>
      <c r="E7" s="7">
        <v>0.75</v>
      </c>
      <c r="F7" s="7">
        <v>0.77492559523809523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9</v>
      </c>
      <c r="C8" s="6">
        <v>211981416</v>
      </c>
      <c r="D8" s="6" t="s">
        <v>59</v>
      </c>
      <c r="E8" s="7">
        <v>0.78399305555555554</v>
      </c>
      <c r="F8" s="7">
        <v>0.79659722222222218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60</v>
      </c>
      <c r="E9" s="7">
        <v>0.81020290575526621</v>
      </c>
      <c r="F9" s="7">
        <v>0.8282584613108217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8</v>
      </c>
      <c r="C10" s="6">
        <v>211980556</v>
      </c>
      <c r="D10" s="6" t="s">
        <v>59</v>
      </c>
      <c r="E10" s="7">
        <v>0.84819444444444447</v>
      </c>
      <c r="F10" s="7">
        <v>0.93659722222222219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60</v>
      </c>
      <c r="E11" s="7">
        <v>0.8282584613108217</v>
      </c>
      <c r="F11" s="7">
        <v>0.9096076676600281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39</v>
      </c>
      <c r="C12" s="6">
        <v>211982149</v>
      </c>
      <c r="D12" s="6" t="s">
        <v>59</v>
      </c>
      <c r="E12" s="7">
        <v>0.94998842592592592</v>
      </c>
      <c r="F12" s="7">
        <v>0.96383101851851849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60</v>
      </c>
      <c r="E13" s="7">
        <v>0.9096076676600281</v>
      </c>
      <c r="F13" s="7">
        <v>0.91956163591399631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58</v>
      </c>
      <c r="C14" s="6">
        <v>110012121</v>
      </c>
      <c r="D14" s="6" t="s">
        <v>59</v>
      </c>
      <c r="E14" s="7">
        <v>2.638888888888889E-3</v>
      </c>
      <c r="F14" s="7">
        <v>2.8819444444444444E-3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 t="s">
        <v>60</v>
      </c>
      <c r="E15" s="7">
        <v>0.92949060416796458</v>
      </c>
      <c r="F15" s="7">
        <v>0.95710006448542495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41</v>
      </c>
      <c r="C16" s="6">
        <v>211978925</v>
      </c>
      <c r="D16" s="6" t="s">
        <v>59</v>
      </c>
      <c r="E16" s="7">
        <v>7.5810185185185182E-3</v>
      </c>
      <c r="F16" s="7">
        <v>1.5462962962962963E-2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60</v>
      </c>
      <c r="E17" s="7">
        <v>0.91956163591399631</v>
      </c>
      <c r="F17" s="7">
        <v>0.92949060416796458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12</v>
      </c>
      <c r="C18" s="6">
        <v>211982136</v>
      </c>
      <c r="D18" s="6" t="s">
        <v>59</v>
      </c>
      <c r="E18" s="7">
        <v>1.6250000000000001E-2</v>
      </c>
      <c r="F18" s="7">
        <v>2.2685185185185187E-2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28" t="s">
        <v>62</v>
      </c>
      <c r="D19" s="6" t="s">
        <v>60</v>
      </c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8</v>
      </c>
      <c r="C20" s="6">
        <v>211980557</v>
      </c>
      <c r="D20" s="6" t="s">
        <v>59</v>
      </c>
      <c r="E20" s="7">
        <v>2.6701388888888889E-2</v>
      </c>
      <c r="F20" s="7">
        <v>3.8564814814814816E-2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 t="s">
        <v>60</v>
      </c>
      <c r="E21" s="16">
        <v>0.97728414160667487</v>
      </c>
      <c r="F21" s="16">
        <v>1.0586333479558812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63</v>
      </c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12</v>
      </c>
      <c r="C24" s="6" t="s">
        <v>13</v>
      </c>
      <c r="D24" s="6" t="s">
        <v>60</v>
      </c>
      <c r="E24" s="7">
        <v>0.72916666666666663</v>
      </c>
      <c r="F24" s="7">
        <v>0.75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44</v>
      </c>
      <c r="C25" s="6" t="s">
        <v>45</v>
      </c>
      <c r="D25" s="6" t="s">
        <v>60</v>
      </c>
      <c r="E25" s="8">
        <v>0.95710006448542495</v>
      </c>
      <c r="F25" s="9">
        <v>0.97728414160667487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11</v>
      </c>
      <c r="C26" s="6" t="s">
        <v>47</v>
      </c>
      <c r="D26" s="6" t="s">
        <v>60</v>
      </c>
      <c r="E26" s="8">
        <v>1.0586333479558812</v>
      </c>
      <c r="F26" s="9">
        <v>1.093910658473052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 t="s">
        <v>48</v>
      </c>
      <c r="C27" s="6" t="s">
        <v>49</v>
      </c>
      <c r="D27" s="6" t="s">
        <v>60</v>
      </c>
      <c r="E27" s="8">
        <v>1.093910658473052</v>
      </c>
      <c r="F27" s="9">
        <v>1.1144605450943672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50</v>
      </c>
      <c r="C28" s="6" t="s">
        <v>51</v>
      </c>
      <c r="D28" s="6" t="s">
        <v>60</v>
      </c>
      <c r="E28" s="7">
        <v>1.1144605450943672</v>
      </c>
      <c r="F28" s="7">
        <v>1.2632700689038909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1 C7 C9 C11 C13 C23 C26:C1048576">
    <cfRule type="duplicateValues" dxfId="9" priority="3"/>
  </conditionalFormatting>
  <conditionalFormatting sqref="G4:DH99">
    <cfRule type="expression" dxfId="8" priority="4">
      <formula>AND($D4="計画", $E4 &lt;= F$3, F$3 &lt; $F4 + IF($F4 &lt; $E4, 1, 0))</formula>
    </cfRule>
    <cfRule type="expression" dxfId="7" priority="5">
      <formula>AND($D4="実績", $E4 &lt;= F$3, F$3 &lt; $F4 + IF($F4 &lt; $E4, 1, 0))</formula>
    </cfRule>
  </conditionalFormatting>
  <conditionalFormatting sqref="C24">
    <cfRule type="duplicateValues" dxfId="6" priority="2"/>
  </conditionalFormatting>
  <conditionalFormatting sqref="C25">
    <cfRule type="duplicateValues" dxfId="5" priority="1"/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B2:J19"/>
  <sheetViews>
    <sheetView workbookViewId="0">
      <selection sqref="A1:XFD1048576"/>
    </sheetView>
    <sheetView tabSelected="1" topLeftCell="A7" workbookViewId="1">
      <selection activeCell="I19" sqref="I19:J19"/>
    </sheetView>
  </sheetViews>
  <sheetFormatPr defaultColWidth="9.125" defaultRowHeight="18.75"/>
  <cols>
    <col min="2" max="2" width="13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5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18</v>
      </c>
    </row>
    <row r="4" spans="2:10">
      <c r="I4" s="2"/>
      <c r="J4" s="2"/>
    </row>
    <row r="5" spans="2:10">
      <c r="B5" s="6" t="s">
        <v>19</v>
      </c>
      <c r="C5" s="6" t="s">
        <v>20</v>
      </c>
      <c r="D5" s="6" t="s">
        <v>21</v>
      </c>
      <c r="E5" s="6" t="s">
        <v>22</v>
      </c>
      <c r="F5" s="24" t="s">
        <v>23</v>
      </c>
      <c r="G5" s="22" t="s">
        <v>24</v>
      </c>
      <c r="H5" s="22" t="s">
        <v>25</v>
      </c>
      <c r="I5" s="6" t="s">
        <v>26</v>
      </c>
      <c r="J5" s="6" t="s">
        <v>27</v>
      </c>
    </row>
    <row r="6" spans="2:10">
      <c r="B6" s="6" t="s">
        <v>61</v>
      </c>
      <c r="C6" s="6" t="s">
        <v>43</v>
      </c>
      <c r="D6" s="6">
        <v>48</v>
      </c>
      <c r="E6" s="6" t="s">
        <v>30</v>
      </c>
      <c r="F6" s="27" t="s">
        <v>29</v>
      </c>
      <c r="G6" s="22">
        <v>0.67878561904761914</v>
      </c>
      <c r="H6" s="22">
        <v>0.66262704761904767</v>
      </c>
      <c r="I6" s="16">
        <v>0.75</v>
      </c>
      <c r="J6" s="16">
        <f t="shared" ref="J6:J10" si="0">I6+G6/24</f>
        <v>0.77828273412698412</v>
      </c>
    </row>
    <row r="7" spans="2:10">
      <c r="B7" s="6" t="s">
        <v>52</v>
      </c>
      <c r="C7" s="6" t="s">
        <v>53</v>
      </c>
      <c r="D7" s="6">
        <v>96</v>
      </c>
      <c r="E7" s="6" t="s">
        <v>28</v>
      </c>
      <c r="F7" s="27" t="s">
        <v>29</v>
      </c>
      <c r="G7" s="22">
        <v>3.2485481997677121</v>
      </c>
      <c r="H7" s="22" t="s">
        <v>31</v>
      </c>
      <c r="I7" s="16">
        <f t="shared" ref="I7:I9" si="1">J6</f>
        <v>0.77828273412698412</v>
      </c>
      <c r="J7" s="16">
        <f t="shared" si="0"/>
        <v>0.9136389091173055</v>
      </c>
    </row>
    <row r="8" spans="2:10">
      <c r="B8" s="6" t="s">
        <v>54</v>
      </c>
      <c r="C8" s="6" t="s">
        <v>55</v>
      </c>
      <c r="D8" s="6">
        <v>96</v>
      </c>
      <c r="E8" s="6" t="s">
        <v>28</v>
      </c>
      <c r="F8" s="27">
        <v>45586.734849537039</v>
      </c>
      <c r="G8" s="22">
        <v>0.41666666666666674</v>
      </c>
      <c r="H8" s="22" t="s">
        <v>31</v>
      </c>
      <c r="I8" s="16">
        <f>J7</f>
        <v>0.9136389091173055</v>
      </c>
      <c r="J8" s="16">
        <f t="shared" si="0"/>
        <v>0.93100002022841666</v>
      </c>
    </row>
    <row r="9" spans="2:10">
      <c r="B9" s="6" t="s">
        <v>8</v>
      </c>
      <c r="C9" s="6" t="s">
        <v>46</v>
      </c>
      <c r="D9" s="6">
        <v>288</v>
      </c>
      <c r="E9" s="6" t="s">
        <v>30</v>
      </c>
      <c r="F9" s="24">
        <v>45586.757476851853</v>
      </c>
      <c r="G9" s="22">
        <v>2.428571428571427</v>
      </c>
      <c r="H9" s="22">
        <v>1.9523809523809526</v>
      </c>
      <c r="I9" s="16">
        <f t="shared" si="1"/>
        <v>0.93100002022841666</v>
      </c>
      <c r="J9" s="16">
        <f t="shared" si="0"/>
        <v>1.0321904964188928</v>
      </c>
    </row>
    <row r="10" spans="2:10">
      <c r="B10" s="6" t="s">
        <v>11</v>
      </c>
      <c r="C10" s="6" t="s">
        <v>47</v>
      </c>
      <c r="D10" s="6">
        <v>48</v>
      </c>
      <c r="E10" s="6" t="s">
        <v>30</v>
      </c>
      <c r="F10" s="24">
        <v>45586.80746527778</v>
      </c>
      <c r="G10" s="22">
        <v>0.75420015367682192</v>
      </c>
      <c r="H10" s="22">
        <v>0.84665545241210305</v>
      </c>
      <c r="I10" s="16">
        <f>J9</f>
        <v>1.0321904964188928</v>
      </c>
      <c r="J10" s="16">
        <f t="shared" si="0"/>
        <v>1.0636155028220937</v>
      </c>
    </row>
    <row r="14" spans="2:10">
      <c r="I14" s="2"/>
    </row>
    <row r="15" spans="2:10">
      <c r="B15" s="6" t="s">
        <v>19</v>
      </c>
      <c r="C15" s="6" t="s">
        <v>20</v>
      </c>
      <c r="D15" s="6" t="s">
        <v>21</v>
      </c>
      <c r="E15" s="6" t="s">
        <v>22</v>
      </c>
      <c r="F15" s="24" t="s">
        <v>23</v>
      </c>
      <c r="G15" s="22" t="s">
        <v>24</v>
      </c>
      <c r="H15" s="22" t="s">
        <v>25</v>
      </c>
      <c r="I15" s="6" t="s">
        <v>26</v>
      </c>
      <c r="J15" s="6" t="s">
        <v>27</v>
      </c>
    </row>
    <row r="16" spans="2:10">
      <c r="B16" s="6" t="s">
        <v>44</v>
      </c>
      <c r="C16" s="6" t="s">
        <v>45</v>
      </c>
      <c r="D16" s="6">
        <v>48</v>
      </c>
      <c r="E16" s="6" t="s">
        <v>28</v>
      </c>
      <c r="F16" s="27">
        <v>45586.784224537034</v>
      </c>
      <c r="G16" s="22">
        <v>1.0952380952380953</v>
      </c>
      <c r="H16" s="22">
        <v>0.4844178509099975</v>
      </c>
      <c r="I16" s="16">
        <v>0.75</v>
      </c>
      <c r="J16" s="16">
        <f>I16+G16/24</f>
        <v>0.79563492063492069</v>
      </c>
    </row>
    <row r="17" spans="2:10">
      <c r="B17" s="6" t="s">
        <v>56</v>
      </c>
      <c r="C17" s="6" t="s">
        <v>57</v>
      </c>
      <c r="D17" s="6">
        <v>12</v>
      </c>
      <c r="E17" s="6" t="s">
        <v>28</v>
      </c>
      <c r="F17" s="24">
        <v>45586.792407407411</v>
      </c>
      <c r="G17" s="22">
        <v>0.25765306122448978</v>
      </c>
      <c r="H17" s="22" t="s">
        <v>31</v>
      </c>
      <c r="I17" s="16">
        <f t="shared" ref="I17" si="2">J16</f>
        <v>0.79563492063492069</v>
      </c>
      <c r="J17" s="16">
        <f t="shared" ref="J17:J19" si="3">I17+G17/24</f>
        <v>0.80637046485260777</v>
      </c>
    </row>
    <row r="18" spans="2:10">
      <c r="B18" s="6" t="s">
        <v>48</v>
      </c>
      <c r="C18" s="6" t="s">
        <v>49</v>
      </c>
      <c r="D18" s="6">
        <v>48</v>
      </c>
      <c r="E18" s="6" t="s">
        <v>28</v>
      </c>
      <c r="F18" s="29">
        <v>45586.850439814814</v>
      </c>
      <c r="G18" s="22">
        <v>0.42431972789115618</v>
      </c>
      <c r="H18" s="22">
        <v>0.49319727891156467</v>
      </c>
      <c r="I18" s="16">
        <v>45586.850439814814</v>
      </c>
      <c r="J18" s="16">
        <f t="shared" si="3"/>
        <v>45586.868119803476</v>
      </c>
    </row>
    <row r="19" spans="2:10">
      <c r="B19" s="6" t="s">
        <v>50</v>
      </c>
      <c r="C19" s="6" t="s">
        <v>51</v>
      </c>
      <c r="D19" s="6">
        <v>48</v>
      </c>
      <c r="E19" s="6" t="s">
        <v>28</v>
      </c>
      <c r="F19" s="29">
        <v>45586.935752314814</v>
      </c>
      <c r="G19" s="22">
        <v>2.1238095238095238</v>
      </c>
      <c r="H19" s="22">
        <v>3.5714285714285716</v>
      </c>
      <c r="I19" s="16">
        <v>45586.935752314814</v>
      </c>
      <c r="J19" s="16">
        <f t="shared" si="3"/>
        <v>45587.024244378306</v>
      </c>
    </row>
  </sheetData>
  <phoneticPr fontId="2"/>
  <conditionalFormatting sqref="C6:C19">
    <cfRule type="duplicateValues" dxfId="4" priority="1"/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20"/>
  <sheetViews>
    <sheetView workbookViewId="0">
      <selection sqref="A1:XFD1048576"/>
    </sheetView>
    <sheetView topLeftCell="A4" workbookViewId="1">
      <selection activeCell="B6" sqref="B6:B15"/>
    </sheetView>
  </sheetViews>
  <sheetFormatPr defaultColWidth="9.125"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5"/>
    </row>
    <row r="2" spans="2:9">
      <c r="F2" s="25"/>
      <c r="G2" s="21"/>
      <c r="H2" t="s">
        <v>18</v>
      </c>
    </row>
    <row r="3" spans="2:9">
      <c r="F3" s="25"/>
    </row>
    <row r="4" spans="2:9">
      <c r="F4" s="25"/>
    </row>
    <row r="5" spans="2:9">
      <c r="B5" s="6" t="s">
        <v>33</v>
      </c>
      <c r="C5" s="6" t="s">
        <v>34</v>
      </c>
      <c r="D5" s="6" t="s">
        <v>21</v>
      </c>
      <c r="E5" s="6" t="s">
        <v>22</v>
      </c>
      <c r="F5" s="26" t="s">
        <v>35</v>
      </c>
      <c r="G5" s="22" t="s">
        <v>25</v>
      </c>
      <c r="H5" s="6" t="s">
        <v>36</v>
      </c>
      <c r="I5" s="6" t="s">
        <v>37</v>
      </c>
    </row>
    <row r="6" spans="2:9">
      <c r="B6" s="30" t="s">
        <v>12</v>
      </c>
      <c r="C6" s="6" t="s">
        <v>13</v>
      </c>
      <c r="D6" s="6">
        <v>36</v>
      </c>
      <c r="E6" s="6" t="s">
        <v>32</v>
      </c>
      <c r="F6" s="27" t="s">
        <v>29</v>
      </c>
      <c r="G6" s="22">
        <v>0.23820952380952384</v>
      </c>
      <c r="H6" s="16">
        <v>0.72916666666666663</v>
      </c>
      <c r="I6" s="16">
        <v>0.75</v>
      </c>
    </row>
    <row r="7" spans="2:9">
      <c r="B7" s="30" t="s">
        <v>14</v>
      </c>
      <c r="C7" s="6" t="s">
        <v>15</v>
      </c>
      <c r="D7" s="6">
        <v>48</v>
      </c>
      <c r="E7" s="6" t="s">
        <v>28</v>
      </c>
      <c r="F7" s="27" t="s">
        <v>29</v>
      </c>
      <c r="G7" s="22">
        <v>0.59821428571428581</v>
      </c>
      <c r="H7" s="16">
        <f>I6</f>
        <v>0.75</v>
      </c>
      <c r="I7" s="16">
        <f>H7+G7/24</f>
        <v>0.77492559523809523</v>
      </c>
    </row>
    <row r="8" spans="2:9">
      <c r="B8" s="30" t="s">
        <v>11</v>
      </c>
      <c r="C8" s="6" t="s">
        <v>16</v>
      </c>
      <c r="D8" s="6">
        <v>48</v>
      </c>
      <c r="E8" s="6" t="s">
        <v>30</v>
      </c>
      <c r="F8" s="27" t="s">
        <v>29</v>
      </c>
      <c r="G8" s="22">
        <v>0.84665545241210305</v>
      </c>
      <c r="H8" s="16">
        <f>I7</f>
        <v>0.77492559523809523</v>
      </c>
      <c r="I8" s="16">
        <f t="shared" ref="I8:I18" si="0">H8+G8/24</f>
        <v>0.81020290575526621</v>
      </c>
    </row>
    <row r="9" spans="2:9">
      <c r="B9" s="30" t="s">
        <v>9</v>
      </c>
      <c r="C9" s="6" t="s">
        <v>10</v>
      </c>
      <c r="D9" s="6">
        <v>270</v>
      </c>
      <c r="E9" s="6" t="s">
        <v>28</v>
      </c>
      <c r="F9" s="27" t="s">
        <v>29</v>
      </c>
      <c r="G9" s="22">
        <v>0.43333333333333307</v>
      </c>
      <c r="H9" s="16">
        <f>I8</f>
        <v>0.81020290575526621</v>
      </c>
      <c r="I9" s="16">
        <f t="shared" si="0"/>
        <v>0.8282584613108217</v>
      </c>
    </row>
    <row r="10" spans="2:9">
      <c r="B10" s="30" t="s">
        <v>8</v>
      </c>
      <c r="C10" s="6" t="s">
        <v>17</v>
      </c>
      <c r="D10" s="6">
        <v>288</v>
      </c>
      <c r="E10" s="6" t="s">
        <v>30</v>
      </c>
      <c r="F10" s="27" t="s">
        <v>29</v>
      </c>
      <c r="G10" s="22">
        <v>1.9523809523809526</v>
      </c>
      <c r="H10" s="16">
        <f>I9</f>
        <v>0.8282584613108217</v>
      </c>
      <c r="I10" s="16">
        <f t="shared" si="0"/>
        <v>0.9096076676600281</v>
      </c>
    </row>
    <row r="11" spans="2:9">
      <c r="B11" s="30" t="s">
        <v>39</v>
      </c>
      <c r="C11" s="6" t="s">
        <v>40</v>
      </c>
      <c r="D11" s="6">
        <v>96</v>
      </c>
      <c r="E11" s="6" t="s">
        <v>28</v>
      </c>
      <c r="F11" s="27" t="s">
        <v>29</v>
      </c>
      <c r="G11" s="22">
        <v>0.2388952380952381</v>
      </c>
      <c r="H11" s="16">
        <f t="shared" ref="H11:H18" si="1">I10</f>
        <v>0.9096076676600281</v>
      </c>
      <c r="I11" s="16">
        <f t="shared" si="0"/>
        <v>0.91956163591399631</v>
      </c>
    </row>
    <row r="12" spans="2:9">
      <c r="B12" s="30" t="s">
        <v>41</v>
      </c>
      <c r="C12" s="6" t="s">
        <v>42</v>
      </c>
      <c r="D12" s="6">
        <v>24</v>
      </c>
      <c r="E12" s="6" t="s">
        <v>32</v>
      </c>
      <c r="F12" s="27" t="s">
        <v>29</v>
      </c>
      <c r="G12" s="22">
        <v>0.23829523809523809</v>
      </c>
      <c r="H12" s="16">
        <f t="shared" si="1"/>
        <v>0.91956163591399631</v>
      </c>
      <c r="I12" s="16">
        <f t="shared" si="0"/>
        <v>0.92949060416796458</v>
      </c>
    </row>
    <row r="13" spans="2:9">
      <c r="B13" s="30" t="s">
        <v>61</v>
      </c>
      <c r="C13" s="6" t="s">
        <v>43</v>
      </c>
      <c r="D13" s="6">
        <v>48</v>
      </c>
      <c r="E13" s="6" t="s">
        <v>30</v>
      </c>
      <c r="F13" s="26">
        <v>0.77828273412698412</v>
      </c>
      <c r="G13" s="22">
        <v>0.66262704761904767</v>
      </c>
      <c r="H13" s="16">
        <f t="shared" si="1"/>
        <v>0.92949060416796458</v>
      </c>
      <c r="I13" s="16">
        <f t="shared" si="0"/>
        <v>0.95710006448542495</v>
      </c>
    </row>
    <row r="14" spans="2:9">
      <c r="B14" s="30" t="s">
        <v>44</v>
      </c>
      <c r="C14" s="6" t="s">
        <v>45</v>
      </c>
      <c r="D14" s="6">
        <v>48</v>
      </c>
      <c r="E14" s="6" t="s">
        <v>28</v>
      </c>
      <c r="F14" s="26">
        <v>0.79563492063492069</v>
      </c>
      <c r="G14" s="22">
        <v>0.4844178509099975</v>
      </c>
      <c r="H14" s="16">
        <f t="shared" si="1"/>
        <v>0.95710006448542495</v>
      </c>
      <c r="I14" s="16">
        <f t="shared" si="0"/>
        <v>0.97728414160667487</v>
      </c>
    </row>
    <row r="15" spans="2:9">
      <c r="B15" s="30" t="s">
        <v>8</v>
      </c>
      <c r="C15" s="6" t="s">
        <v>46</v>
      </c>
      <c r="D15" s="6">
        <v>288</v>
      </c>
      <c r="E15" s="6" t="s">
        <v>30</v>
      </c>
      <c r="F15" s="26">
        <v>0.87947321031746029</v>
      </c>
      <c r="G15" s="22">
        <v>1.9523809523809526</v>
      </c>
      <c r="H15" s="16">
        <f t="shared" si="1"/>
        <v>0.97728414160667487</v>
      </c>
      <c r="I15" s="16">
        <f t="shared" si="0"/>
        <v>1.0586333479558812</v>
      </c>
    </row>
    <row r="16" spans="2:9">
      <c r="B16" s="6" t="s">
        <v>11</v>
      </c>
      <c r="C16" s="6" t="s">
        <v>47</v>
      </c>
      <c r="D16" s="6">
        <v>48</v>
      </c>
      <c r="E16" s="16" t="s">
        <v>30</v>
      </c>
      <c r="F16" s="26">
        <v>1.1648059790125698</v>
      </c>
      <c r="G16" s="22">
        <v>0.84665545241210305</v>
      </c>
      <c r="H16" s="16">
        <f t="shared" si="1"/>
        <v>1.0586333479558812</v>
      </c>
      <c r="I16" s="16">
        <f t="shared" si="0"/>
        <v>1.093910658473052</v>
      </c>
    </row>
    <row r="17" spans="2:9">
      <c r="B17" s="6" t="s">
        <v>48</v>
      </c>
      <c r="C17" s="6" t="s">
        <v>49</v>
      </c>
      <c r="D17" s="6">
        <v>48</v>
      </c>
      <c r="E17" s="6" t="s">
        <v>28</v>
      </c>
      <c r="F17" s="26">
        <v>45586.868119803476</v>
      </c>
      <c r="G17" s="22">
        <v>0.49319727891156467</v>
      </c>
      <c r="H17" s="16">
        <f t="shared" si="1"/>
        <v>1.093910658473052</v>
      </c>
      <c r="I17" s="16">
        <f t="shared" si="0"/>
        <v>1.1144605450943672</v>
      </c>
    </row>
    <row r="18" spans="2:9">
      <c r="B18" s="6" t="s">
        <v>50</v>
      </c>
      <c r="C18" s="6" t="s">
        <v>51</v>
      </c>
      <c r="D18" s="6">
        <v>48</v>
      </c>
      <c r="E18" s="6" t="s">
        <v>28</v>
      </c>
      <c r="F18" s="26">
        <v>45587.024244378306</v>
      </c>
      <c r="G18" s="22">
        <v>3.5714285714285716</v>
      </c>
      <c r="H18" s="16">
        <f t="shared" si="1"/>
        <v>1.1144605450943672</v>
      </c>
      <c r="I18" s="16">
        <f t="shared" si="0"/>
        <v>1.2632700689038909</v>
      </c>
    </row>
    <row r="19" spans="2:9">
      <c r="F19" s="25"/>
      <c r="G19" s="23"/>
      <c r="H19" s="23"/>
    </row>
    <row r="20" spans="2:9">
      <c r="F20" s="25"/>
      <c r="G20" s="23"/>
      <c r="H20" s="23"/>
    </row>
  </sheetData>
  <phoneticPr fontId="2"/>
  <conditionalFormatting sqref="C6:C18">
    <cfRule type="duplicateValues" dxfId="3" priority="1"/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B13484-79EA-4A11-B11B-8BF16FC3B613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2024-10-21T23:41:45Z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