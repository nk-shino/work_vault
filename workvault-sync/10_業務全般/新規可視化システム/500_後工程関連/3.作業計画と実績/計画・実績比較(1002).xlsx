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108" documentId="8_{3778564E-69D8-4AAC-AAE5-DA9539B176C8}" xr6:coauthVersionLast="47" xr6:coauthVersionMax="47" xr10:uidLastSave="{846BC4E8-D12E-41D1-8F22-86C789F5216B}"/>
  <bookViews>
    <workbookView xWindow="20370" yWindow="-120" windowWidth="29040" windowHeight="15840" firstSheet="2" xr2:uid="{D4E99A79-39B5-4714-8CFE-6838D0007EB9}"/>
  </bookViews>
  <sheets>
    <sheet name="AOI1号機" sheetId="1" r:id="rId1"/>
    <sheet name="AOI2号機" sheetId="3" r:id="rId2"/>
    <sheet name="目視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<sst xmlns="http://schemas.openxmlformats.org/spreadsheetml/2006/main" count="122" uniqueCount="31">
  <si>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</si>
  <si>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</si>
  <si>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</si>
  <si>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</si>
  <si>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</si>
  <si>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</si>
  <si>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</si>
  <si>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</si>
  <si>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UR-42143-02</t>
  </si>
  <si>
    <t>計画</t>
    <rPh sb="0" eb="2">
      <t>ケイカク</t>
    </rPh>
    <phoneticPr fontId="2"/>
  </si>
  <si>
    <t>実績データなし</t>
    <rPh sb="0" eb="2">
      <t>ジッセキ</t>
    </rPh>
    <phoneticPr fontId="2"/>
  </si>
  <si>
    <t>UR-0559-05</t>
  </si>
  <si>
    <t>実績</t>
    <rPh sb="0" eb="2">
      <t>ジッセキ</t>
    </rPh>
    <phoneticPr fontId="2"/>
  </si>
  <si>
    <t>UR-43351-02</t>
  </si>
  <si>
    <t>URS-4289</t>
  </si>
  <si>
    <t>URS-0595</t>
  </si>
  <si>
    <t>UT-0972-02</t>
  </si>
  <si>
    <t>UT-0987-01</t>
  </si>
  <si>
    <t>UR-0388</t>
  </si>
  <si>
    <t>UT-0992-01</t>
  </si>
  <si>
    <t>URS-0543</t>
  </si>
  <si>
    <t>UR-43721</t>
  </si>
  <si>
    <t>URS-4530</t>
  </si>
  <si>
    <t>UR-4207-02</t>
  </si>
  <si>
    <t>UR-4421-01</t>
  </si>
  <si>
    <t>UT-0969</t>
  </si>
  <si>
    <t>UR-0563</t>
  </si>
  <si>
    <t>UR-4425</t>
  </si>
  <si>
    <t>UR-0483</t>
  </si>
  <si>
    <t>UR-4461</t>
  </si>
  <si>
    <t>UR-05091-03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</si>
</sst>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</cellXfs>
  <cellStyles count="1">
    <cellStyle name="標準" xfId="0" builtinId="0"/>
  </cellStyles>
  <dxfs count="6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3"/>
  <sheetViews>
    <sheetView tabSelected="1" zoomScale="70" zoomScaleNormal="70" workbookViewId="0"/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8</v>
      </c>
      <c r="C4" s="6">
        <v>211975534</v>
      </c>
      <c r="D4" s="6" t="s">
        <v>9</v>
      </c>
      <c r="E4" s="8">
        <v>0.72916666666666663</v>
      </c>
      <c r="F4" s="9">
        <v>0.76306332556332557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 t="s">
        <v>10</v>
      </c>
      <c r="C5" s="6"/>
      <c r="D5" s="6"/>
      <c r="E5" s="8"/>
      <c r="F5" s="9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 t="s">
        <v>11</v>
      </c>
      <c r="C6" s="6">
        <v>211975561</v>
      </c>
      <c r="D6" s="6" t="s">
        <v>9</v>
      </c>
      <c r="E6" s="8">
        <v>0.76306332556332557</v>
      </c>
      <c r="F6" s="9">
        <v>0.79134605969030969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11</v>
      </c>
      <c r="C7" s="6">
        <v>211975561</v>
      </c>
      <c r="D7" s="6" t="s">
        <v>12</v>
      </c>
      <c r="E7" s="7">
        <v>0.77131944444444445</v>
      </c>
      <c r="F7" s="7">
        <v>0.81813657407407403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 t="s">
        <v>11</v>
      </c>
      <c r="C8" s="6">
        <v>211975561</v>
      </c>
      <c r="D8" s="6" t="s">
        <v>12</v>
      </c>
      <c r="E8" s="7">
        <v>0.8497569444444445</v>
      </c>
      <c r="F8" s="7">
        <v>0.86812500000000004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 t="s">
        <v>13</v>
      </c>
      <c r="C9" s="6">
        <v>211975003</v>
      </c>
      <c r="D9" s="6" t="s">
        <v>9</v>
      </c>
      <c r="E9" s="7">
        <v>0.79134605969030969</v>
      </c>
      <c r="F9" s="7">
        <v>0.83301272635697632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13</v>
      </c>
      <c r="C10" s="6">
        <v>211975003</v>
      </c>
      <c r="D10" s="6" t="s">
        <v>12</v>
      </c>
      <c r="E10" s="7">
        <v>0.73201388888888885</v>
      </c>
      <c r="F10" s="7">
        <v>0.75159722222222225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 t="s">
        <v>14</v>
      </c>
      <c r="C11" s="6">
        <v>211975550</v>
      </c>
      <c r="D11" s="6" t="s">
        <v>9</v>
      </c>
      <c r="E11" s="7">
        <v>0.83301272635697632</v>
      </c>
      <c r="F11" s="7">
        <v>0.85392497383172383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 t="s">
        <v>14</v>
      </c>
      <c r="C12" s="6">
        <v>211975550</v>
      </c>
      <c r="D12" s="6" t="s">
        <v>12</v>
      </c>
      <c r="E12" s="7">
        <v>0.87506944444444446</v>
      </c>
      <c r="F12" s="7">
        <v>0.89153935185185185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 t="s">
        <v>14</v>
      </c>
      <c r="C13" s="6">
        <v>211975550</v>
      </c>
      <c r="D13" s="6" t="s">
        <v>12</v>
      </c>
      <c r="E13" s="7">
        <v>0.89167824074074076</v>
      </c>
      <c r="F13" s="7">
        <v>0.90765046296296292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 t="s">
        <v>15</v>
      </c>
      <c r="C14" s="6">
        <v>211975562</v>
      </c>
      <c r="D14" s="6" t="s">
        <v>9</v>
      </c>
      <c r="E14" s="8">
        <v>0.85392497383172383</v>
      </c>
      <c r="F14" s="9">
        <v>0.89559164049839046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 t="s">
        <v>10</v>
      </c>
      <c r="C15" s="6"/>
      <c r="D15" s="6"/>
      <c r="E15" s="8"/>
      <c r="F15" s="9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 t="s">
        <v>16</v>
      </c>
      <c r="C16" s="6">
        <v>211975555</v>
      </c>
      <c r="D16" s="6" t="s">
        <v>9</v>
      </c>
      <c r="E16" s="7">
        <v>0.89559164049839046</v>
      </c>
      <c r="F16" s="7">
        <v>0.92178211668886667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 t="s">
        <v>10</v>
      </c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 t="s">
        <v>17</v>
      </c>
      <c r="C18" s="6">
        <v>211975556</v>
      </c>
      <c r="D18" s="6" t="s">
        <v>9</v>
      </c>
      <c r="E18" s="7">
        <v>0.92178211668886667</v>
      </c>
      <c r="F18" s="7">
        <v>0.96439642609422083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 t="s">
        <v>17</v>
      </c>
      <c r="C19" s="6">
        <v>211975556</v>
      </c>
      <c r="D19" s="6" t="s">
        <v>12</v>
      </c>
      <c r="E19" s="7">
        <v>0.98370370370370375</v>
      </c>
      <c r="F19" s="7">
        <v>5.9953703703703705E-3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 t="s">
        <v>17</v>
      </c>
      <c r="C20" s="6">
        <v>211975556</v>
      </c>
      <c r="D20" s="6" t="s">
        <v>12</v>
      </c>
      <c r="E20" s="7">
        <v>6.1342592592592594E-3</v>
      </c>
      <c r="F20" s="7">
        <v>1.474537037037037E-2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 t="s">
        <v>18</v>
      </c>
      <c r="C21" s="6">
        <v>211975528</v>
      </c>
      <c r="D21" s="6" t="s">
        <v>9</v>
      </c>
      <c r="E21" s="8">
        <v>0.96439642609422083</v>
      </c>
      <c r="F21" s="9">
        <v>0.97661534143813622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 t="s">
        <v>18</v>
      </c>
      <c r="C22" s="6">
        <v>211975528</v>
      </c>
      <c r="D22" s="6" t="s">
        <v>12</v>
      </c>
      <c r="E22" s="8">
        <v>0.99954861111111115</v>
      </c>
      <c r="F22" s="9">
        <v>1.7037037037037038E-2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 t="s">
        <v>18</v>
      </c>
      <c r="C23" s="6">
        <v>211975528</v>
      </c>
      <c r="D23" s="6" t="s">
        <v>12</v>
      </c>
      <c r="E23" s="7">
        <v>1.7199074074074075E-2</v>
      </c>
      <c r="F23" s="7">
        <v>1.8726851851851852E-2</v>
      </c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 t="s">
        <v>19</v>
      </c>
      <c r="C24" s="6">
        <v>211975557</v>
      </c>
      <c r="D24" s="6" t="s">
        <v>9</v>
      </c>
      <c r="E24" s="7">
        <v>0.97661534143813622</v>
      </c>
      <c r="F24" s="7">
        <v>1.0254744684222632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 t="s">
        <v>10</v>
      </c>
      <c r="C25" s="6"/>
      <c r="D25" s="6"/>
      <c r="E25" s="7"/>
      <c r="F25" s="19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 t="s">
        <v>20</v>
      </c>
      <c r="C26" s="6">
        <v>211975007</v>
      </c>
      <c r="D26" s="6" t="s">
        <v>9</v>
      </c>
      <c r="E26" s="8">
        <v>1.0254744684222632</v>
      </c>
      <c r="F26" s="9">
        <v>1.061188754136549</v>
      </c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 t="s">
        <v>10</v>
      </c>
      <c r="C27" s="6"/>
      <c r="D27" s="6"/>
      <c r="E27" s="8"/>
      <c r="F27" s="9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 t="s">
        <v>21</v>
      </c>
      <c r="C28" s="6">
        <v>211968080</v>
      </c>
      <c r="D28" s="6" t="s">
        <v>9</v>
      </c>
      <c r="E28" s="7">
        <v>1.061188754136549</v>
      </c>
      <c r="F28" s="7">
        <v>1.1121302418427426</v>
      </c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 t="s">
        <v>10</v>
      </c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 t="s">
        <v>22</v>
      </c>
      <c r="C30" s="6">
        <v>211975015</v>
      </c>
      <c r="D30" s="6" t="s">
        <v>9</v>
      </c>
      <c r="E30" s="7">
        <v>1.1121302418427426</v>
      </c>
      <c r="F30" s="7">
        <v>1.1537969085094093</v>
      </c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 t="s">
        <v>10</v>
      </c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 t="s">
        <v>13</v>
      </c>
      <c r="C32" s="6">
        <v>211975003</v>
      </c>
      <c r="D32" s="6" t="s">
        <v>9</v>
      </c>
      <c r="E32" s="7">
        <v>1.1537969085094093</v>
      </c>
      <c r="F32" s="7">
        <v>1.195463575176076</v>
      </c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 t="s">
        <v>10</v>
      </c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 t="s">
        <v>23</v>
      </c>
      <c r="C34" s="6">
        <v>211975002</v>
      </c>
      <c r="D34" s="6" t="s">
        <v>9</v>
      </c>
      <c r="E34" s="7">
        <v>1.195463575176076</v>
      </c>
      <c r="F34" s="7">
        <v>1.2089551544722921</v>
      </c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 t="s">
        <v>10</v>
      </c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 t="s">
        <v>24</v>
      </c>
      <c r="C36" s="6">
        <v>211975005</v>
      </c>
      <c r="D36" s="6" t="s">
        <v>9</v>
      </c>
      <c r="E36" s="7">
        <v>1.2089551544722921</v>
      </c>
      <c r="F36" s="7">
        <v>1.2283879275815357</v>
      </c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 t="s">
        <v>10</v>
      </c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 t="s">
        <v>25</v>
      </c>
      <c r="C38" s="6">
        <v>211975554</v>
      </c>
      <c r="D38" s="6" t="s">
        <v>12</v>
      </c>
      <c r="E38" s="7">
        <v>0.90884259259259259</v>
      </c>
      <c r="F38" s="7">
        <v>0.90895833333333331</v>
      </c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 t="s">
        <v>25</v>
      </c>
      <c r="C39" s="6">
        <v>211975554</v>
      </c>
      <c r="D39" s="6" t="s">
        <v>12</v>
      </c>
      <c r="E39" s="7">
        <v>0.90908564814814818</v>
      </c>
      <c r="F39" s="7">
        <v>0.92016203703703703</v>
      </c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 t="s">
        <v>26</v>
      </c>
      <c r="C40" s="6">
        <v>211975533</v>
      </c>
      <c r="D40" s="6" t="s">
        <v>12</v>
      </c>
      <c r="E40" s="7">
        <v>0.93439814814814814</v>
      </c>
      <c r="F40" s="7">
        <v>0.96304398148148151</v>
      </c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 t="s">
        <v>16</v>
      </c>
      <c r="C41" s="6">
        <v>211975555</v>
      </c>
      <c r="D41" s="6" t="s">
        <v>12</v>
      </c>
      <c r="E41" s="7">
        <v>0.96317129629629628</v>
      </c>
      <c r="F41" s="7">
        <v>0.96324074074074073</v>
      </c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 t="s">
        <v>16</v>
      </c>
      <c r="C42" s="6">
        <v>211975555</v>
      </c>
      <c r="D42" s="6" t="s">
        <v>12</v>
      </c>
      <c r="E42" s="7">
        <v>0.96335648148148145</v>
      </c>
      <c r="F42" s="7">
        <v>0.97545138888888894</v>
      </c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 t="s">
        <v>27</v>
      </c>
      <c r="C43" s="6">
        <v>211975538</v>
      </c>
      <c r="D43" s="6" t="s">
        <v>12</v>
      </c>
      <c r="E43" s="7">
        <v>0.97832175925925924</v>
      </c>
      <c r="F43" s="7">
        <v>0.98348379629629634</v>
      </c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 t="s">
        <v>27</v>
      </c>
      <c r="C44" s="6">
        <v>211975538</v>
      </c>
      <c r="D44" s="6" t="s">
        <v>12</v>
      </c>
      <c r="E44" s="7">
        <v>0.98368055555555556</v>
      </c>
      <c r="F44" s="7">
        <v>0.99799768518518517</v>
      </c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19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8"/>
      <c r="F47" s="9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19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8"/>
      <c r="F56" s="9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8"/>
      <c r="F57" s="9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7"/>
      <c r="F83" s="7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7"/>
      <c r="F84" s="7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12"/>
      <c r="F89" s="13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6"/>
      <c r="D90" s="6"/>
      <c r="E90" s="12"/>
      <c r="F90" s="13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>
      <c r="A94" s="6"/>
      <c r="B94" s="6"/>
      <c r="C94" s="6"/>
      <c r="D94" s="6"/>
      <c r="E94" s="7"/>
      <c r="F94" s="7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>
      <c r="A95" s="6"/>
      <c r="B95" s="6"/>
      <c r="C95" s="6"/>
      <c r="D95" s="6"/>
      <c r="E95" s="7"/>
      <c r="F95" s="7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>
      <c r="A96" s="6"/>
      <c r="B96" s="6"/>
      <c r="C96" s="6"/>
      <c r="D96" s="6"/>
      <c r="E96" s="17"/>
      <c r="F96" s="18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.6" customHeight="1">
      <c r="A97" s="6"/>
      <c r="B97" s="6"/>
      <c r="C97" s="6"/>
      <c r="D97" s="6"/>
      <c r="E97" s="12"/>
      <c r="F97" s="13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>
      <c r="A98" s="6"/>
      <c r="B98" s="6"/>
      <c r="C98" s="6"/>
      <c r="D98" s="6"/>
      <c r="E98" s="12"/>
      <c r="F98" s="13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" customHeight="1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>
      <c r="A108" s="6"/>
      <c r="B108" s="6"/>
      <c r="C108" s="6"/>
      <c r="D108" s="6"/>
      <c r="E108" s="7"/>
      <c r="F108" s="7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>
      <c r="A110" s="6"/>
      <c r="B110" s="6"/>
      <c r="C110" s="6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>
      <c r="A112" s="6"/>
      <c r="B112" s="6"/>
      <c r="C112" s="11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>
      <c r="A114" s="6"/>
      <c r="B114" s="14"/>
      <c r="C114" s="15"/>
      <c r="D114" s="6"/>
      <c r="E114" s="12"/>
      <c r="F114" s="13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>
      <c r="A115" s="6"/>
      <c r="B115" s="6"/>
      <c r="C115" s="6"/>
      <c r="D115" s="6"/>
      <c r="E115" s="7"/>
      <c r="F115" s="7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>
      <c r="A116" s="6"/>
      <c r="B116" s="6"/>
      <c r="C116" s="6"/>
      <c r="D116" s="6"/>
      <c r="E116" s="7"/>
      <c r="F116" s="7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>
      <c r="A118" s="6"/>
      <c r="B118" s="10"/>
      <c r="C118" s="11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>
      <c r="A131" s="6"/>
      <c r="B131" s="6"/>
      <c r="C131" s="15"/>
      <c r="D131" s="6"/>
      <c r="E131" s="12"/>
      <c r="F131" s="13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  <row r="132" spans="1:112" ht="21.6" customHeight="1">
      <c r="A132" s="6"/>
      <c r="B132" s="14"/>
      <c r="C132" s="15"/>
      <c r="D132" s="6"/>
      <c r="E132" s="12"/>
      <c r="F132" s="13"/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</row>
    <row r="133" spans="1:112" ht="21.6" customHeight="1">
      <c r="A133" s="6"/>
      <c r="B133" s="6"/>
      <c r="C133" s="6"/>
      <c r="D133" s="6"/>
      <c r="E133" s="7"/>
      <c r="F133" s="7"/>
      <c r="G133" s="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</row>
  </sheetData>
  <phoneticPr fontId="2"/>
  <conditionalFormatting sqref="G4:DH136">
    <cfRule type="expression" dxfId="5" priority="3">
      <formula>AND($D4="計画", $E4 &lt;= F$3, F$3 &lt; $F4 + IF($F4 &lt; $E4, 1, 0))</formula>
    </cfRule>
    <cfRule type="expression" dxfId="4" priority="4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dimension ref="A1:DH66"/>
  <sheetViews>
    <sheetView zoomScale="85" zoomScaleNormal="85" workbookViewId="0">
      <selection activeCell="B4" sqref="B4:F9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/>
      <c r="C4" s="6"/>
      <c r="D4" s="6"/>
      <c r="E4" s="8"/>
      <c r="F4" s="9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/>
      <c r="E6" s="8"/>
      <c r="F6" s="9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/>
      <c r="E8" s="8"/>
      <c r="F8" s="9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/>
      <c r="C10" s="6"/>
      <c r="D10" s="6"/>
      <c r="E10" s="8"/>
      <c r="F10" s="9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/>
      <c r="E11" s="8"/>
      <c r="F11" s="9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3" priority="1">
      <formula>AND($D4="計画", $E4 &lt;= G$3, G$3 &lt; $F4 + IF($F4 &lt; $E4, 1, 0))</formula>
    </cfRule>
    <cfRule type="expression" dxfId="2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1"/>
  <sheetViews>
    <sheetView zoomScale="85" zoomScaleNormal="85" workbookViewId="0"/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4.8611111111111098E-2</v>
      </c>
      <c r="CY3" s="5">
        <v>9.0277777777777804E-2</v>
      </c>
      <c r="CZ3" s="5">
        <v>0.131944444444444</v>
      </c>
      <c r="DA3" s="5">
        <v>0.17361111111111099</v>
      </c>
      <c r="DB3" s="5">
        <v>0.21527777777777801</v>
      </c>
      <c r="DC3" s="5">
        <v>0.25694444444444398</v>
      </c>
      <c r="DD3" s="5">
        <v>0.29861111111111099</v>
      </c>
      <c r="DE3" s="5">
        <v>0.34027777777777801</v>
      </c>
      <c r="DF3" s="5">
        <v>0.38194444444444398</v>
      </c>
      <c r="DG3" s="5">
        <v>0.42361111111111099</v>
      </c>
      <c r="DH3" s="5">
        <v>0.46527777777777801</v>
      </c>
    </row>
    <row r="4" spans="1:112" ht="21.6" customHeight="1">
      <c r="A4" s="6"/>
      <c r="B4" s="6" t="s">
        <v>28</v>
      </c>
      <c r="C4" s="6">
        <v>211975530</v>
      </c>
      <c r="D4" s="6" t="s">
        <v>9</v>
      </c>
      <c r="E4" s="8">
        <v>0.72916666666666663</v>
      </c>
      <c r="F4" s="9">
        <v>0.77758382379168889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 t="s">
        <v>28</v>
      </c>
      <c r="C5" s="6">
        <v>211975530</v>
      </c>
      <c r="D5" s="6" t="s">
        <v>12</v>
      </c>
      <c r="E5" s="7">
        <v>0.87934027777777779</v>
      </c>
      <c r="F5" s="7">
        <v>0.8794791666666667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 t="s">
        <v>29</v>
      </c>
      <c r="C6" s="6">
        <v>211975539</v>
      </c>
      <c r="D6" s="6" t="s">
        <v>9</v>
      </c>
      <c r="E6" s="7">
        <v>0.77758382379168889</v>
      </c>
      <c r="F6" s="7">
        <v>0.97559969680756198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10</v>
      </c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 t="s">
        <v>30</v>
      </c>
      <c r="C8" s="6">
        <v>211968055</v>
      </c>
      <c r="D8" s="6" t="s">
        <v>9</v>
      </c>
      <c r="E8" s="7">
        <v>0.97559969680756198</v>
      </c>
      <c r="F8" s="7">
        <v>1.0569489031567683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 t="s">
        <v>30</v>
      </c>
      <c r="C9" s="6">
        <v>211968055</v>
      </c>
      <c r="D9" s="6" t="s">
        <v>12</v>
      </c>
      <c r="E9" s="7">
        <v>0.75378472222222226</v>
      </c>
      <c r="F9" s="7">
        <v>0.86312500000000003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8</v>
      </c>
      <c r="C10" s="6">
        <v>211975534</v>
      </c>
      <c r="D10" s="6" t="s">
        <v>9</v>
      </c>
      <c r="E10" s="7">
        <v>1.0569489031567683</v>
      </c>
      <c r="F10" s="7">
        <v>1.0715315427394079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 t="s">
        <v>10</v>
      </c>
      <c r="C11" s="6"/>
      <c r="D11" s="6"/>
      <c r="E11" s="7"/>
      <c r="F11" s="19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 t="s">
        <v>11</v>
      </c>
      <c r="C12" s="6">
        <v>211975561</v>
      </c>
      <c r="D12" s="6" t="s">
        <v>9</v>
      </c>
      <c r="E12" s="8">
        <v>1.0715315427394079</v>
      </c>
      <c r="F12" s="9">
        <v>1.0991410030568682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 t="s">
        <v>11</v>
      </c>
      <c r="C13" s="6">
        <v>211975561</v>
      </c>
      <c r="D13" s="6" t="s">
        <v>12</v>
      </c>
      <c r="E13" s="7">
        <v>0.90074074074074073</v>
      </c>
      <c r="F13" s="7">
        <v>0.90092592592592591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 t="s">
        <v>20</v>
      </c>
      <c r="C14" s="6">
        <v>211975007</v>
      </c>
      <c r="D14" s="6" t="s">
        <v>9</v>
      </c>
      <c r="E14" s="7">
        <v>1.0991410030568682</v>
      </c>
      <c r="F14" s="7">
        <v>1.1447759236917889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 t="s">
        <v>10</v>
      </c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 t="s">
        <v>21</v>
      </c>
      <c r="C16" s="6">
        <v>211968080</v>
      </c>
      <c r="D16" s="6" t="s">
        <v>9</v>
      </c>
      <c r="E16" s="7">
        <v>1.1447759236917889</v>
      </c>
      <c r="F16" s="7">
        <v>1.1985807789672325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 t="s">
        <v>10</v>
      </c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 t="s">
        <v>22</v>
      </c>
      <c r="C18" s="6">
        <v>211975015</v>
      </c>
      <c r="D18" s="6" t="s">
        <v>9</v>
      </c>
      <c r="E18" s="7">
        <v>1.1985807789672325</v>
      </c>
      <c r="F18" s="7">
        <v>1.2402474456338992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 t="s">
        <v>10</v>
      </c>
      <c r="C19" s="6"/>
      <c r="D19" s="6"/>
      <c r="E19" s="8"/>
      <c r="F19" s="9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8"/>
      <c r="F21" s="9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8"/>
      <c r="F23" s="9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8"/>
      <c r="F25" s="9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8"/>
      <c r="F26" s="9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17"/>
      <c r="F28" s="18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17"/>
      <c r="F29" s="18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17"/>
      <c r="F31" s="18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17"/>
      <c r="F34" s="18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12"/>
      <c r="F37" s="13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12"/>
      <c r="F39" s="13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16"/>
      <c r="F58" s="16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" customHeight="1">
      <c r="A66" s="6"/>
      <c r="B66" s="6"/>
      <c r="C66" s="6"/>
      <c r="D66" s="6"/>
      <c r="E66" s="16"/>
      <c r="F66" s="16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>
      <c r="A69" s="6"/>
      <c r="B69" s="6"/>
      <c r="C69" s="6"/>
      <c r="D69" s="6"/>
      <c r="E69" s="17"/>
      <c r="F69" s="18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>
      <c r="A70" s="6"/>
      <c r="B70" s="6"/>
      <c r="C70" s="6"/>
      <c r="D70" s="6"/>
      <c r="E70" s="12"/>
      <c r="F70" s="13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12"/>
      <c r="F73" s="13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12"/>
      <c r="F80" s="13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12"/>
      <c r="F82" s="13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7"/>
      <c r="F85" s="7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11"/>
      <c r="D89" s="6"/>
      <c r="E89" s="8"/>
      <c r="F89" s="9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</sheetData>
  <phoneticPr fontId="2"/>
  <conditionalFormatting sqref="H4:DH98">
    <cfRule type="expression" dxfId="1" priority="1">
      <formula>AND($D4="計画", $E4 &lt;= G$3, G$3 &lt; $F4 + IF($F4 &lt; $E4, 1, 0))</formula>
    </cfRule>
    <cfRule type="expression" dxfId="0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319C3116-BB26-4046-9CEE-30119B9D2759}"/>
</file>

<file path=customXml/itemProps2.xml><?xml version="1.0" encoding="utf-8"?>
<ds:datastoreItem xmlns:ds="http://schemas.openxmlformats.org/officeDocument/2006/customXml" ds:itemID="{03DF15B6-03E2-4844-BFD8-ABC78716F32C}"/>
</file>

<file path=customXml/itemProps3.xml><?xml version="1.0" encoding="utf-8"?>
<ds:datastoreItem xmlns:ds="http://schemas.openxmlformats.org/officeDocument/2006/customXml" ds:itemID="{D9B6089C-DC21-4487-A7DE-E222667BF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MOTEKI Yumiko (茂木 由美子)</cp:lastModifiedBy>
  <cp:revision/>
  <dcterms:created xsi:type="dcterms:W3CDTF">2024-09-18T03:10:58Z</dcterms:created>
  <dcterms:modified xsi:type="dcterms:W3CDTF">2024-10-07T05:25:12Z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