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42" documentId="8_{6D94B6FA-7B29-40D1-A945-0BB5C63AEB96}" xr6:coauthVersionLast="47" xr6:coauthVersionMax="47" xr10:uidLastSave="{0123BC59-CB3A-4EDA-8F16-282EFF83E575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<sst xmlns="http://schemas.openxmlformats.org/spreadsheetml/2006/main" count="86" uniqueCount="27">
  <si>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</si>
  <si>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</si>
  <si>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</si>
  <si>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</si>
  <si>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</si>
  <si>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</si>
  <si>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</si>
  <si>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</si>
  <si>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UR-06101-01</t>
  </si>
  <si>
    <t>UR-05091-03</t>
  </si>
  <si>
    <t>UR-0610-01</t>
  </si>
  <si>
    <t>実績</t>
    <rPh sb="0" eb="2">
      <t>ジッセキ</t>
    </rPh>
    <phoneticPr fontId="2"/>
  </si>
  <si>
    <t>＊計画データ作成改修中（実績データのみ）</t>
    <phoneticPr fontId="2"/>
  </si>
  <si>
    <t>センサーエラーのため稼働なし</t>
    <rPh sb="10" eb="12">
      <t>カドウ</t>
    </rPh>
    <phoneticPr fontId="2"/>
  </si>
  <si>
    <t>UR-0559-06</t>
  </si>
  <si>
    <t>UR-0481-01</t>
  </si>
  <si>
    <t>UR-0511</t>
  </si>
  <si>
    <t>実績</t>
    <rPh sb="0" eb="2">
      <t>ジッセキ</t>
    </rPh>
    <phoneticPr fontId="2"/>
  </si>
  <si>
    <t>UR-4329-03</t>
  </si>
  <si>
    <t>UR-0483</t>
  </si>
  <si>
    <t>UR-0488-01</t>
  </si>
  <si>
    <t>UR-4453</t>
  </si>
  <si>
    <t>実績</t>
    <rPh sb="0" eb="2">
      <t>ジッセキ</t>
    </rPh>
    <phoneticPr fontId="2"/>
  </si>
  <si>
    <t>UR-4207-02</t>
  </si>
  <si>
    <t>URS-0542</t>
  </si>
  <si>
    <t>UR-0523</t>
  </si>
  <si>
    <t>UR-43721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</si>
</sst>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22" sqref="B2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12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8</v>
      </c>
      <c r="C4" s="6">
        <v>211988384</v>
      </c>
      <c r="D4" s="6" t="s">
        <v>22</v>
      </c>
      <c r="E4" s="7">
        <v>0.72105324074074073</v>
      </c>
      <c r="F4" s="7">
        <v>0.73418981481481482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22</v>
      </c>
      <c r="E5" s="7">
        <v>0.76253472222222218</v>
      </c>
      <c r="F5" s="7">
        <v>0.76520833333333338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14</v>
      </c>
      <c r="C7" s="6">
        <v>211988382</v>
      </c>
      <c r="D7" s="6" t="s">
        <v>22</v>
      </c>
      <c r="E7" s="7">
        <v>0.73429398148148151</v>
      </c>
      <c r="F7" s="7">
        <v>0.75001157407407404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22</v>
      </c>
      <c r="E8" s="7">
        <v>0.76533564814814814</v>
      </c>
      <c r="F8" s="7">
        <v>0.77471064814814816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23</v>
      </c>
      <c r="C10" s="6">
        <v>211988386</v>
      </c>
      <c r="D10" s="6" t="s">
        <v>22</v>
      </c>
      <c r="E10" s="7">
        <v>0.78031249999999996</v>
      </c>
      <c r="F10" s="7">
        <v>0.79534722222222221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24</v>
      </c>
      <c r="C12" s="6">
        <v>211988395</v>
      </c>
      <c r="D12" s="6" t="s">
        <v>22</v>
      </c>
      <c r="E12" s="7">
        <v>0.80141203703703701</v>
      </c>
      <c r="F12" s="7">
        <v>0.80284722222222227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22</v>
      </c>
      <c r="E13" s="7">
        <v>0.81093749999999998</v>
      </c>
      <c r="F13" s="7">
        <v>0.81224537037037037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25</v>
      </c>
      <c r="C15" s="6">
        <v>211988381</v>
      </c>
      <c r="D15" s="6" t="s">
        <v>22</v>
      </c>
      <c r="E15" s="7">
        <v>0.81453703703703706</v>
      </c>
      <c r="F15" s="7">
        <v>0.9110300925925926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9</v>
      </c>
      <c r="C17" s="6">
        <v>211983864</v>
      </c>
      <c r="D17" s="6" t="s">
        <v>22</v>
      </c>
      <c r="E17" s="7">
        <v>0.91219907407407408</v>
      </c>
      <c r="F17" s="7">
        <v>8.3333333333333339E-4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 t="s">
        <v>22</v>
      </c>
      <c r="E18" s="7">
        <v>9.4907407407407408E-4</v>
      </c>
      <c r="F18" s="7">
        <v>2.1412037037037038E-2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26</v>
      </c>
      <c r="C20" s="6">
        <v>211985447</v>
      </c>
      <c r="D20" s="6" t="s">
        <v>22</v>
      </c>
      <c r="E20" s="7">
        <v>2.193287037037037E-2</v>
      </c>
      <c r="F20" s="7">
        <v>3.2824074074074075E-2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16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D7" sqref="D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12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20</v>
      </c>
      <c r="C4" s="6">
        <v>211984406</v>
      </c>
      <c r="D4" s="6" t="s">
        <v>22</v>
      </c>
      <c r="E4" s="7">
        <v>0.75101851851851853</v>
      </c>
      <c r="F4" s="7">
        <v>0.75836805555555553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21</v>
      </c>
      <c r="C6" s="6">
        <v>211988391</v>
      </c>
      <c r="D6" s="6" t="s">
        <v>22</v>
      </c>
      <c r="E6" s="7">
        <v>0.77164351851851853</v>
      </c>
      <c r="F6" s="7">
        <v>0.79799768518518521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8">
    <cfRule type="duplicateValues" dxfId="10" priority="1"/>
  </conditionalFormatting>
  <conditionalFormatting sqref="H4:DH69">
    <cfRule type="expression" dxfId="9" priority="3">
      <formula>AND($D4="計画", $E4 &lt;= G$3, G$3 &lt; $F4 + IF($F4 &lt; $E4, 1, 0))</formula>
    </cfRule>
    <cfRule type="expression" dxfId="8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selection activeCell="B5" sqref="B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12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13</v>
      </c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1">
      <formula>AND($D4="計画", $E4 &lt;= G$3, G$3 &lt; $F4 + IF($F4 &lt; $E4, 1, 0))</formula>
    </cfRule>
    <cfRule type="expression" dxfId="6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I12" activePane="bottomRight" state="frozen"/>
      <selection pane="topRight" activeCell="G1" sqref="G1"/>
      <selection pane="bottomLeft" activeCell="A4" sqref="A4"/>
      <selection pane="bottomRight" activeCell="B4" sqref="B4:F3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12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9</v>
      </c>
      <c r="C4" s="6">
        <v>211983862</v>
      </c>
      <c r="D4" s="6" t="s">
        <v>11</v>
      </c>
      <c r="E4" s="7">
        <v>0.72340277777777773</v>
      </c>
      <c r="F4" s="7">
        <v>0.81234953703703705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9</v>
      </c>
      <c r="C6" s="6">
        <v>211983863</v>
      </c>
      <c r="D6" s="6" t="s">
        <v>17</v>
      </c>
      <c r="E6" s="7">
        <v>0.80526620370370372</v>
      </c>
      <c r="F6" s="7">
        <v>0.89884259259259258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10</v>
      </c>
      <c r="C8" s="6">
        <v>211987044</v>
      </c>
      <c r="D8" s="6" t="s">
        <v>17</v>
      </c>
      <c r="E8" s="7">
        <v>0.81251157407407404</v>
      </c>
      <c r="F8" s="7">
        <v>0.86306712962962961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18</v>
      </c>
      <c r="C10" s="6">
        <v>211987048</v>
      </c>
      <c r="D10" s="6" t="s">
        <v>17</v>
      </c>
      <c r="E10" s="7">
        <v>0.86471064814814813</v>
      </c>
      <c r="F10" s="7">
        <v>0.96965277777777781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10</v>
      </c>
      <c r="C12" s="6">
        <v>211987778</v>
      </c>
      <c r="D12" s="6" t="s">
        <v>17</v>
      </c>
      <c r="E12" s="7">
        <v>0.89968749999999997</v>
      </c>
      <c r="F12" s="7">
        <v>0.91020833333333329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8</v>
      </c>
      <c r="C14" s="6">
        <v>211987779</v>
      </c>
      <c r="D14" s="6" t="s">
        <v>17</v>
      </c>
      <c r="E14" s="7">
        <v>0.91087962962962965</v>
      </c>
      <c r="F14" s="7">
        <v>0.92086805555555551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14</v>
      </c>
      <c r="C16" s="6">
        <v>211987777</v>
      </c>
      <c r="D16" s="6" t="s">
        <v>17</v>
      </c>
      <c r="E16" s="7">
        <v>0.92143518518518519</v>
      </c>
      <c r="F16" s="7">
        <v>0.93104166666666666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14</v>
      </c>
      <c r="C18" s="6">
        <v>211988382</v>
      </c>
      <c r="D18" s="6" t="s">
        <v>17</v>
      </c>
      <c r="E18" s="7">
        <v>0.93229166666666663</v>
      </c>
      <c r="F18" s="7">
        <v>0.94885416666666667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8</v>
      </c>
      <c r="C20" s="6">
        <v>211988384</v>
      </c>
      <c r="D20" s="6" t="s">
        <v>17</v>
      </c>
      <c r="E20" s="7">
        <v>0.94920138888888894</v>
      </c>
      <c r="F20" s="7">
        <v>0.9576041666666667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15</v>
      </c>
      <c r="C22" s="6">
        <v>211987038</v>
      </c>
      <c r="D22" s="6" t="s">
        <v>17</v>
      </c>
      <c r="E22" s="7">
        <v>0.9617013888888889</v>
      </c>
      <c r="F22" s="7">
        <v>0.99483796296296301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19</v>
      </c>
      <c r="C24" s="6">
        <v>211987039</v>
      </c>
      <c r="D24" s="6" t="s">
        <v>17</v>
      </c>
      <c r="E24" s="7">
        <v>0.97311342592592598</v>
      </c>
      <c r="F24" s="7">
        <v>0.99951388888888892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16</v>
      </c>
      <c r="C26" s="6">
        <v>211987775</v>
      </c>
      <c r="D26" s="6" t="s">
        <v>17</v>
      </c>
      <c r="E26" s="7">
        <v>0.9956018518518519</v>
      </c>
      <c r="F26" s="7">
        <v>1.3321759259259259E-2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20</v>
      </c>
      <c r="C28" s="6">
        <v>211984405</v>
      </c>
      <c r="D28" s="6" t="s">
        <v>17</v>
      </c>
      <c r="E28" s="7">
        <v>4.8263888888888887E-3</v>
      </c>
      <c r="F28" s="7">
        <v>1.9293981481481481E-2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 t="s">
        <v>16</v>
      </c>
      <c r="C30" s="6">
        <v>211988380</v>
      </c>
      <c r="D30" s="6" t="s">
        <v>17</v>
      </c>
      <c r="E30" s="7">
        <v>1.4166666666666666E-2</v>
      </c>
      <c r="F30" s="7">
        <v>2.9224537037037038E-2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31:C1048576 C1:C3">
    <cfRule type="duplicateValues" dxfId="5" priority="4"/>
  </conditionalFormatting>
  <conditionalFormatting sqref="G4:DH99">
    <cfRule type="expression" dxfId="2" priority="5">
      <formula>AND($D4="計画", $E4 &lt;= F$3, F$3 &lt; $F4 + IF($F4 &lt; $E4, 1, 0))</formula>
    </cfRule>
    <cfRule type="expression" dxfId="1" priority="6">
      <formula>AND($D4="実績", $E4 &lt;= F$3, F$3 &lt; $F4 + IF($F4 &lt; $E4, 1, 0))</formula>
    </cfRule>
  </conditionalFormatting>
  <conditionalFormatting sqref="C13 C21 C19 C15 C17">
    <cfRule type="duplicateValues" dxfId="0" priority="1"/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F1:H1"/>
  <sheetViews>
    <sheetView workbookViewId="0">
      <selection activeCell="A16"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F1"/>
  <sheetViews>
    <sheetView workbookViewId="0">
      <selection activeCell="L6" sqref="L6"/>
    </sheetView>
  </sheetViews>
  <sheetFormatPr defaultColWidth="9.375" defaultRowHeight="18.75" x14ac:dyDescent="0.4"/>
  <cols>
    <col min="6" max="6" width="9.37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4950346D-6D00-46E9-BB01-7C3F6BECBDA0}"/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2024-11-11T23:48:37Z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