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14" documentId="8_{DD498560-9BB8-4C0A-926E-27B4B3BD2C78}" xr6:coauthVersionLast="47" xr6:coauthVersionMax="47" xr10:uidLastSave="{D6C0E470-39F8-44CC-A201-5994B700DC1C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<sst xmlns="http://schemas.openxmlformats.org/spreadsheetml/2006/main" count="62" uniqueCount="18">
  <si>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</si>
  <si>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</si>
  <si>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</si>
  <si>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</si>
  <si>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</si>
  <si>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</si>
  <si>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</si>
  <si>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</si>
  <si>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UR-06101-01</t>
  </si>
  <si>
    <t>UR-05091-03</t>
  </si>
  <si>
    <t>UR-0610-01</t>
  </si>
  <si>
    <t>実績</t>
    <rPh sb="0" eb="2">
      <t>ジッセキ</t>
    </rPh>
    <phoneticPr fontId="2"/>
  </si>
  <si>
    <t>稼働データなし</t>
    <rPh sb="0" eb="2">
      <t>カドウ</t>
    </rPh>
    <phoneticPr fontId="2"/>
  </si>
  <si>
    <t>URS-4533</t>
  </si>
  <si>
    <t>URS-4530</t>
  </si>
  <si>
    <t>UR-4424</t>
  </si>
  <si>
    <t>計画</t>
    <rPh sb="0" eb="2">
      <t>ケイカク</t>
    </rPh>
    <phoneticPr fontId="2"/>
  </si>
  <si>
    <t>＊計画データ作成改修中（実績データのみ）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</si>
</sst>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1" xfId="0" applyFill="1" applyBorder="1">
      <alignment vertical="center"/>
    </xf>
    <xf numFmtId="20" fontId="0" fillId="0" borderId="1" xfId="0" applyNumberFormat="1" applyFill="1" applyBorder="1" applyAlignment="1">
      <alignment horizontal="center" vertical="center"/>
    </xf>
    <xf numFmtId="20" fontId="0" fillId="0" borderId="1" xfId="0" applyNumberFormat="1" applyFill="1" applyBorder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2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2" sqref="B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6"/>
      <c r="J1" s="2"/>
      <c r="K1" t="s">
        <v>1</v>
      </c>
    </row>
    <row r="2" spans="1:112" x14ac:dyDescent="0.4">
      <c r="B2" t="s">
        <v>17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8</v>
      </c>
      <c r="C4" s="6">
        <v>211987779</v>
      </c>
      <c r="D4" s="6" t="s">
        <v>11</v>
      </c>
      <c r="E4" s="7">
        <v>0.72564814814814815</v>
      </c>
      <c r="F4" s="7">
        <v>0.73964120370370368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0.75097222222222226</v>
      </c>
      <c r="F5" s="7">
        <v>0.75690972222222219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23"/>
      <c r="C6" s="6"/>
      <c r="D6" s="23" t="s">
        <v>16</v>
      </c>
      <c r="E6" s="24"/>
      <c r="F6" s="24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10</v>
      </c>
      <c r="C7" s="6">
        <v>211987778</v>
      </c>
      <c r="D7" s="6" t="s">
        <v>11</v>
      </c>
      <c r="E7" s="7">
        <v>0.74002314814814818</v>
      </c>
      <c r="F7" s="7">
        <v>0.75086805555555558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23"/>
      <c r="C8" s="6"/>
      <c r="D8" s="23" t="s">
        <v>16</v>
      </c>
      <c r="E8" s="24"/>
      <c r="F8" s="24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13</v>
      </c>
      <c r="C9" s="6">
        <v>211987792</v>
      </c>
      <c r="D9" s="6" t="s">
        <v>11</v>
      </c>
      <c r="E9" s="7">
        <v>0.76915509259259263</v>
      </c>
      <c r="F9" s="7">
        <v>0.76922453703703708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11</v>
      </c>
      <c r="E10" s="7">
        <v>0.7693402777777778</v>
      </c>
      <c r="F10" s="7">
        <v>0.78592592592592592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23"/>
      <c r="C11" s="6"/>
      <c r="D11" s="23" t="s">
        <v>16</v>
      </c>
      <c r="E11" s="24"/>
      <c r="F11" s="24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14</v>
      </c>
      <c r="C12" s="6">
        <v>211987791</v>
      </c>
      <c r="D12" s="6" t="s">
        <v>11</v>
      </c>
      <c r="E12" s="7">
        <v>0.7860300925925926</v>
      </c>
      <c r="F12" s="7">
        <v>0.78736111111111107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11</v>
      </c>
      <c r="E13" s="7">
        <v>0.78815972222222219</v>
      </c>
      <c r="F13" s="7">
        <v>0.8093055555555555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23"/>
      <c r="C14" s="6"/>
      <c r="D14" s="23" t="s">
        <v>16</v>
      </c>
      <c r="E14" s="24"/>
      <c r="F14" s="24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15</v>
      </c>
      <c r="C15" s="6">
        <v>211983342</v>
      </c>
      <c r="D15" s="6" t="s">
        <v>11</v>
      </c>
      <c r="E15" s="7">
        <v>0.88549768518518523</v>
      </c>
      <c r="F15" s="7">
        <v>0.99775462962962957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11</v>
      </c>
      <c r="E16" s="7">
        <v>0.99788194444444445</v>
      </c>
      <c r="F16" s="7">
        <v>1.712962962962963E-2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23"/>
      <c r="C17" s="6"/>
      <c r="D17" s="23" t="s">
        <v>16</v>
      </c>
      <c r="E17" s="24"/>
      <c r="F17" s="24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23"/>
      <c r="C18" s="23"/>
      <c r="D18" s="23"/>
      <c r="E18" s="24"/>
      <c r="F18" s="24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23"/>
      <c r="C19" s="23"/>
      <c r="D19" s="23"/>
      <c r="E19" s="24"/>
      <c r="F19" s="24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23"/>
      <c r="C20" s="23"/>
      <c r="D20" s="23"/>
      <c r="E20" s="24"/>
      <c r="F20" s="24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23"/>
      <c r="C21" s="23"/>
      <c r="D21" s="23"/>
      <c r="E21" s="24"/>
      <c r="F21" s="24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23"/>
      <c r="C22" s="23"/>
      <c r="D22" s="23"/>
      <c r="E22" s="24"/>
      <c r="F22" s="24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23"/>
      <c r="C23" s="23"/>
      <c r="D23" s="23"/>
      <c r="E23" s="24"/>
      <c r="F23" s="24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23"/>
      <c r="C24" s="23"/>
      <c r="D24" s="23"/>
      <c r="E24" s="25"/>
      <c r="F24" s="24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23"/>
      <c r="C25" s="23"/>
      <c r="D25" s="23"/>
      <c r="E25" s="24"/>
      <c r="F25" s="24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23"/>
      <c r="C26" s="23"/>
      <c r="D26" s="23"/>
      <c r="E26" s="24"/>
      <c r="F26" s="24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1" priority="5">
      <formula>AND($D4="計画", $E4 &lt;= F$3, F$3 &lt; $F4 + IF($F4 &lt; $E4, 1, 0))</formula>
    </cfRule>
  </conditionalFormatting>
  <conditionalFormatting sqref="H4:DH134">
    <cfRule type="expression" dxfId="10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pane xSplit="6" ySplit="3" topLeftCell="BC4" activePane="bottomRight" state="frozen"/>
      <selection pane="topRight" activeCell="G1" sqref="G1"/>
      <selection pane="bottomLeft" activeCell="A4" sqref="A4"/>
      <selection pane="bottomRight" activeCell="B2" sqref="B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17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12</v>
      </c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8">
    <cfRule type="duplicateValues" dxfId="9" priority="1"/>
  </conditionalFormatting>
  <conditionalFormatting sqref="H4:DH69">
    <cfRule type="expression" dxfId="8" priority="3">
      <formula>AND($D4="計画", $E4 &lt;= G$3, G$3 &lt; $F4 + IF($F4 &lt; $E4, 1, 0))</formula>
    </cfRule>
    <cfRule type="expression" dxfId="7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>
      <selection activeCell="B2" sqref="B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17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211983863</v>
      </c>
      <c r="D4" s="6" t="s">
        <v>11</v>
      </c>
      <c r="E4" s="7">
        <v>0.85055555555555551</v>
      </c>
      <c r="F4" s="7">
        <v>0.9675231481481481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0.96783564814814815</v>
      </c>
      <c r="F5" s="7">
        <v>0.96796296296296291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 t="s">
        <v>16</v>
      </c>
      <c r="E6" s="7">
        <v>0.81454466452285901</v>
      </c>
      <c r="F6" s="7">
        <v>0.91573514071333517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2" sqref="B2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17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8</v>
      </c>
      <c r="C4" s="6">
        <v>211987078</v>
      </c>
      <c r="D4" s="6" t="s">
        <v>11</v>
      </c>
      <c r="E4" s="7">
        <v>2.599537037037037E-2</v>
      </c>
      <c r="F4" s="7">
        <v>4.2025462962962966E-2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23"/>
      <c r="C5" s="6"/>
      <c r="D5" s="23" t="s">
        <v>16</v>
      </c>
      <c r="E5" s="24">
        <v>0.97926469930558302</v>
      </c>
      <c r="F5" s="24">
        <v>1.4537037037037038E-2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23"/>
      <c r="C6" s="23"/>
      <c r="D6" s="23"/>
      <c r="E6" s="24"/>
      <c r="F6" s="24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23"/>
      <c r="C7" s="23"/>
      <c r="D7" s="23"/>
      <c r="E7" s="24"/>
      <c r="F7" s="24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23"/>
      <c r="E8" s="24"/>
      <c r="F8" s="24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23"/>
      <c r="E9" s="24"/>
      <c r="F9" s="24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23"/>
      <c r="E10" s="24"/>
      <c r="F10" s="24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23"/>
      <c r="E11" s="24"/>
      <c r="F11" s="24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23"/>
      <c r="E12" s="24"/>
      <c r="F12" s="24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23"/>
      <c r="E13" s="24"/>
      <c r="F13" s="24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23"/>
      <c r="E14" s="24"/>
      <c r="F14" s="24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23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23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23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23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23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23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23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23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23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8"/>
      <c r="F25" s="9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8"/>
      <c r="F26" s="9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8"/>
      <c r="F27" s="9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 C13 C23 C26:C1048576 C1:C3 C11 C7 C9">
    <cfRule type="duplicateValues" dxfId="4" priority="3"/>
  </conditionalFormatting>
  <conditionalFormatting sqref="C24">
    <cfRule type="duplicateValues" dxfId="3" priority="2"/>
  </conditionalFormatting>
  <conditionalFormatting sqref="C25">
    <cfRule type="duplicateValues" dxfId="2" priority="1"/>
  </conditionalFormatting>
  <conditionalFormatting sqref="G4:DH99">
    <cfRule type="expression" dxfId="1" priority="4">
      <formula>AND($D4="計画", $E4 &lt;= F$3, F$3 &lt; $F4 + IF($F4 &lt; $E4, 1, 0))</formula>
    </cfRule>
    <cfRule type="expression" dxfId="0" priority="5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F1:H1"/>
  <sheetViews>
    <sheetView workbookViewId="0">
      <selection activeCell="A16"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F1"/>
  <sheetViews>
    <sheetView workbookViewId="0">
      <selection activeCell="F15" sqref="F15"/>
    </sheetView>
  </sheetViews>
  <sheetFormatPr defaultColWidth="9.375" defaultRowHeight="18.75" x14ac:dyDescent="0.4"/>
  <cols>
    <col min="6" max="6" width="9.37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E0B708-0163-40B0-99B4-BCFCD39B9C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2024-11-10T23:50:50Z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